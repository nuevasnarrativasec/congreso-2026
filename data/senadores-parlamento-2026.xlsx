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armandoscargglioni/Desktop/localhost/especiales-multimedia/congreso-2026/data/"/>
    </mc:Choice>
  </mc:AlternateContent>
  <xr:revisionPtr revIDLastSave="0" documentId="13_ncr:1_{3F24A9C5-0569-A040-A5B9-628EA1CF9D45}" xr6:coauthVersionLast="47" xr6:coauthVersionMax="47" xr10:uidLastSave="{00000000-0000-0000-0000-000000000000}"/>
  <bookViews>
    <workbookView xWindow="0" yWindow="500" windowWidth="41600" windowHeight="24020" activeTab="3" xr2:uid="{00000000-000D-0000-FFFF-FFFF00000000}"/>
  </bookViews>
  <sheets>
    <sheet name="01 DATOS PERSONALES" sheetId="1" r:id="rId1"/>
    <sheet name="Pivot Table 2" sheetId="2" r:id="rId2"/>
    <sheet name="RESUMEN_DP" sheetId="3" r:id="rId3"/>
    <sheet name="02 EXPERIENCIA LABORAL" sheetId="4" r:id="rId4"/>
    <sheet name="pivot_experiencia" sheetId="5" r:id="rId5"/>
    <sheet name="03 FORM ACADEM. - EDUC. BASICA" sheetId="6" r:id="rId6"/>
    <sheet name="03 FORM. ACADEM. - EDUC TECNICA" sheetId="7" r:id="rId7"/>
    <sheet name="03 FORM. ACADEM. - EDUC. NO UNI" sheetId="8" r:id="rId8"/>
    <sheet name="03 FORM. ACADEM. - EDUC. UNIV" sheetId="9" r:id="rId9"/>
    <sheet name="03 FORM. ACADEM. - POSGRADO" sheetId="10" r:id="rId10"/>
    <sheet name="03 FORM. ACADEM. - OTRO POSGRAD" sheetId="11" r:id="rId11"/>
    <sheet name="04 CARGO PARTIDARIO" sheetId="12" r:id="rId12"/>
    <sheet name="04 CARGO ELECCION" sheetId="13" r:id="rId13"/>
    <sheet name="05 SENTENCIA PENAL" sheetId="14" r:id="rId14"/>
    <sheet name="06 SENTENCIA NO PENAL" sheetId="15" r:id="rId15"/>
    <sheet name="07 RENUNCIA PARTIDARIA" sheetId="16" r:id="rId16"/>
    <sheet name="08 INGRESOS" sheetId="17" r:id="rId17"/>
    <sheet name="Sheet4" sheetId="18" r:id="rId18"/>
    <sheet name="08 BIEN INMUEBLE" sheetId="19" r:id="rId19"/>
    <sheet name="08 BIEN MUEBLE" sheetId="20" r:id="rId20"/>
    <sheet name="08 TITULARIDAD" sheetId="21" r:id="rId21"/>
    <sheet name="09 INFORMACION ADICIONAL" sheetId="22" r:id="rId22"/>
    <sheet name="10 ANEXOS HV" sheetId="23" r:id="rId23"/>
  </sheets>
  <calcPr calcId="191029"/>
  <pivotCaches>
    <pivotCache cacheId="16" r:id="rId24"/>
    <pivotCache cacheId="21" r:id="rId2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1003" i="18" l="1"/>
  <c r="L1002" i="18"/>
  <c r="L1001" i="18"/>
  <c r="L1000" i="18"/>
  <c r="L62" i="18"/>
  <c r="L61" i="18"/>
  <c r="L60" i="18"/>
  <c r="L59" i="18"/>
  <c r="L58" i="18"/>
  <c r="L57" i="18"/>
  <c r="L56" i="18"/>
  <c r="L55" i="18"/>
  <c r="L54" i="18"/>
  <c r="L53" i="18"/>
  <c r="L52" i="18"/>
  <c r="L51" i="18"/>
  <c r="L50" i="18"/>
  <c r="L49" i="18"/>
  <c r="L48" i="18"/>
  <c r="L47" i="18"/>
  <c r="L46" i="18"/>
  <c r="L45" i="18"/>
  <c r="L44" i="18"/>
  <c r="L43" i="18"/>
  <c r="L42" i="18"/>
  <c r="L41" i="18"/>
  <c r="L40" i="18"/>
  <c r="L39" i="18"/>
  <c r="L38" i="18"/>
  <c r="L37" i="18"/>
  <c r="L36" i="18"/>
  <c r="L35" i="18"/>
  <c r="L34" i="18"/>
  <c r="L33" i="18"/>
  <c r="L32" i="18"/>
  <c r="L31" i="18"/>
  <c r="L30" i="18"/>
  <c r="L29" i="18"/>
  <c r="L28" i="18"/>
  <c r="L27" i="18"/>
  <c r="L26" i="18"/>
  <c r="L25" i="18"/>
  <c r="L24" i="18"/>
  <c r="L23" i="18"/>
  <c r="L22" i="18"/>
  <c r="L21" i="18"/>
  <c r="L20" i="18"/>
  <c r="L19" i="18"/>
  <c r="L18" i="18"/>
  <c r="L17" i="18"/>
  <c r="L16" i="18"/>
  <c r="L15" i="18"/>
  <c r="L14" i="18"/>
  <c r="L13" i="18"/>
  <c r="L12" i="18"/>
  <c r="L11" i="18"/>
  <c r="L10" i="18"/>
  <c r="L9" i="18"/>
  <c r="L8" i="18"/>
  <c r="L7" i="18"/>
  <c r="L6" i="18"/>
  <c r="L5" i="18"/>
  <c r="L4" i="18"/>
  <c r="L3" i="18"/>
  <c r="L2" i="18"/>
  <c r="L66" i="17"/>
  <c r="L65" i="17"/>
  <c r="L64" i="17"/>
  <c r="L63" i="17"/>
  <c r="L62" i="17"/>
  <c r="L61" i="17"/>
  <c r="L60" i="17"/>
  <c r="L59" i="17"/>
  <c r="L58" i="17"/>
  <c r="L57" i="17"/>
  <c r="L56" i="17"/>
  <c r="L55" i="17"/>
  <c r="L54" i="17"/>
  <c r="L53" i="17"/>
  <c r="L52" i="17"/>
  <c r="L51" i="17"/>
  <c r="L50" i="17"/>
  <c r="L49" i="17"/>
  <c r="L48" i="17"/>
  <c r="L47" i="17"/>
  <c r="L46" i="17"/>
  <c r="L45" i="17"/>
  <c r="L44" i="17"/>
  <c r="L43" i="17"/>
  <c r="L42" i="17"/>
  <c r="L41" i="17"/>
  <c r="L40" i="17"/>
  <c r="L39" i="17"/>
  <c r="L38" i="17"/>
  <c r="L37" i="17"/>
  <c r="L36" i="17"/>
  <c r="L35" i="17"/>
  <c r="L34" i="17"/>
  <c r="L33" i="17"/>
  <c r="L32" i="17"/>
  <c r="L31" i="17"/>
  <c r="L30" i="17"/>
  <c r="L29" i="17"/>
  <c r="L28" i="17"/>
  <c r="L27" i="17"/>
  <c r="L26" i="17"/>
  <c r="L25" i="17"/>
  <c r="L24" i="17"/>
  <c r="L23" i="17"/>
  <c r="L22" i="17"/>
  <c r="L21" i="17"/>
  <c r="L20" i="17"/>
  <c r="L19" i="17"/>
  <c r="L18" i="17"/>
  <c r="L17" i="17"/>
  <c r="L16" i="17"/>
  <c r="L15" i="17"/>
  <c r="L14" i="17"/>
  <c r="L13" i="17"/>
  <c r="L12" i="17"/>
  <c r="L11" i="17"/>
  <c r="L10" i="17"/>
  <c r="L9" i="17"/>
  <c r="L8" i="17"/>
  <c r="L7" i="17"/>
  <c r="L6" i="17"/>
  <c r="L5" i="17"/>
  <c r="L4" i="17"/>
  <c r="L3" i="17"/>
  <c r="L2" i="17"/>
  <c r="P181" i="4"/>
  <c r="P180" i="4"/>
  <c r="C61" i="5" s="1"/>
  <c r="P179" i="4"/>
  <c r="P178" i="4"/>
  <c r="P177" i="4"/>
  <c r="P176" i="4"/>
  <c r="P175" i="4"/>
  <c r="C59" i="5" s="1"/>
  <c r="P174" i="4"/>
  <c r="P173" i="4"/>
  <c r="P172" i="4"/>
  <c r="P171" i="4"/>
  <c r="P170" i="4"/>
  <c r="P169" i="4"/>
  <c r="C57" i="5" s="1"/>
  <c r="P168" i="4"/>
  <c r="P167" i="4"/>
  <c r="P166" i="4"/>
  <c r="P165" i="4"/>
  <c r="C55" i="5" s="1"/>
  <c r="P164" i="4"/>
  <c r="P163" i="4"/>
  <c r="P162" i="4"/>
  <c r="P161" i="4"/>
  <c r="P160" i="4"/>
  <c r="P159" i="4"/>
  <c r="P158" i="4"/>
  <c r="P157" i="4"/>
  <c r="C52" i="5" s="1"/>
  <c r="P156" i="4"/>
  <c r="C51" i="5" s="1"/>
  <c r="P155" i="4"/>
  <c r="C50" i="5" s="1"/>
  <c r="P154" i="4"/>
  <c r="P153" i="4"/>
  <c r="P152" i="4"/>
  <c r="C49" i="5" s="1"/>
  <c r="P151" i="4"/>
  <c r="P150" i="4"/>
  <c r="P149" i="4"/>
  <c r="P148" i="4"/>
  <c r="P147" i="4"/>
  <c r="P146" i="4"/>
  <c r="P145" i="4"/>
  <c r="P144" i="4"/>
  <c r="P143" i="4"/>
  <c r="P142" i="4"/>
  <c r="P141" i="4"/>
  <c r="C46" i="5" s="1"/>
  <c r="P140" i="4"/>
  <c r="P139" i="4"/>
  <c r="P138" i="4"/>
  <c r="P137" i="4"/>
  <c r="P136" i="4"/>
  <c r="P135" i="4"/>
  <c r="P134" i="4"/>
  <c r="C43" i="5" s="1"/>
  <c r="P133" i="4"/>
  <c r="C42" i="5" s="1"/>
  <c r="P132" i="4"/>
  <c r="C41" i="5" s="1"/>
  <c r="P131" i="4"/>
  <c r="C40" i="5" s="1"/>
  <c r="P130" i="4"/>
  <c r="P129" i="4"/>
  <c r="P128" i="4"/>
  <c r="P127" i="4"/>
  <c r="P126" i="4"/>
  <c r="C39" i="5" s="1"/>
  <c r="P125" i="4"/>
  <c r="C38" i="5" s="1"/>
  <c r="P124" i="4"/>
  <c r="P123" i="4"/>
  <c r="C37" i="5" s="1"/>
  <c r="P122" i="4"/>
  <c r="P121" i="4"/>
  <c r="P120" i="4"/>
  <c r="P119" i="4"/>
  <c r="P118" i="4"/>
  <c r="P117" i="4"/>
  <c r="P116" i="4"/>
  <c r="C35" i="5" s="1"/>
  <c r="P115" i="4"/>
  <c r="C34" i="5" s="1"/>
  <c r="P114" i="4"/>
  <c r="P113" i="4"/>
  <c r="P112" i="4"/>
  <c r="P111" i="4"/>
  <c r="P110" i="4"/>
  <c r="P109" i="4"/>
  <c r="P108" i="4"/>
  <c r="C32" i="5" s="1"/>
  <c r="P107" i="4"/>
  <c r="P106" i="4"/>
  <c r="C31" i="5" s="1"/>
  <c r="P105" i="4"/>
  <c r="P104" i="4"/>
  <c r="P103" i="4"/>
  <c r="P102" i="4"/>
  <c r="P101" i="4"/>
  <c r="C29" i="5" s="1"/>
  <c r="P100" i="4"/>
  <c r="P99" i="4"/>
  <c r="P98" i="4"/>
  <c r="P97" i="4"/>
  <c r="P96" i="4"/>
  <c r="C28" i="5" s="1"/>
  <c r="P95" i="4"/>
  <c r="C27" i="5" s="1"/>
  <c r="P94" i="4"/>
  <c r="P93" i="4"/>
  <c r="P92" i="4"/>
  <c r="P91" i="4"/>
  <c r="P90" i="4"/>
  <c r="P89" i="4"/>
  <c r="P88" i="4"/>
  <c r="P87" i="4"/>
  <c r="P86" i="4"/>
  <c r="C24" i="5" s="1"/>
  <c r="P85" i="4"/>
  <c r="P84" i="4"/>
  <c r="P83" i="4"/>
  <c r="P82" i="4"/>
  <c r="P81" i="4"/>
  <c r="P80" i="4"/>
  <c r="P79" i="4"/>
  <c r="P78" i="4"/>
  <c r="P77" i="4"/>
  <c r="P76" i="4"/>
  <c r="C22" i="5" s="1"/>
  <c r="P75" i="4"/>
  <c r="C21" i="5" s="1"/>
  <c r="P74" i="4"/>
  <c r="P73" i="4"/>
  <c r="P72" i="4"/>
  <c r="P71" i="4"/>
  <c r="P70" i="4"/>
  <c r="P69" i="4"/>
  <c r="P68" i="4"/>
  <c r="P67" i="4"/>
  <c r="C19" i="5" s="1"/>
  <c r="P66" i="4"/>
  <c r="P65" i="4"/>
  <c r="P64" i="4"/>
  <c r="P63" i="4"/>
  <c r="P62" i="4"/>
  <c r="P61" i="4"/>
  <c r="P60" i="4"/>
  <c r="P59" i="4"/>
  <c r="P58" i="4"/>
  <c r="P57" i="4"/>
  <c r="P56" i="4"/>
  <c r="P55" i="4"/>
  <c r="P54" i="4"/>
  <c r="P53" i="4"/>
  <c r="P52" i="4"/>
  <c r="C15" i="5" s="1"/>
  <c r="P51" i="4"/>
  <c r="P50" i="4"/>
  <c r="P49" i="4"/>
  <c r="P48" i="4"/>
  <c r="P47" i="4"/>
  <c r="P46" i="4"/>
  <c r="P45" i="4"/>
  <c r="P44" i="4"/>
  <c r="P43" i="4"/>
  <c r="P42" i="4"/>
  <c r="B12" i="5" s="1"/>
  <c r="P41" i="4"/>
  <c r="C11" i="5" s="1"/>
  <c r="P40" i="4"/>
  <c r="P39" i="4"/>
  <c r="P38" i="4"/>
  <c r="P37" i="4"/>
  <c r="P36" i="4"/>
  <c r="P35" i="4"/>
  <c r="P34" i="4"/>
  <c r="P33" i="4"/>
  <c r="P32" i="4"/>
  <c r="P31" i="4"/>
  <c r="B9" i="5" s="1"/>
  <c r="P30" i="4"/>
  <c r="P29" i="4"/>
  <c r="P28" i="4"/>
  <c r="P27" i="4"/>
  <c r="P26" i="4"/>
  <c r="P25" i="4"/>
  <c r="P24" i="4"/>
  <c r="P23" i="4"/>
  <c r="P22" i="4"/>
  <c r="P21" i="4"/>
  <c r="B7" i="5" s="1"/>
  <c r="P20" i="4"/>
  <c r="P19" i="4"/>
  <c r="P18" i="4"/>
  <c r="P17" i="4"/>
  <c r="C6" i="5" s="1"/>
  <c r="P16" i="4"/>
  <c r="P15" i="4"/>
  <c r="P14" i="4"/>
  <c r="P13" i="4"/>
  <c r="P12" i="4"/>
  <c r="P11" i="4"/>
  <c r="B4" i="5" s="1"/>
  <c r="P10" i="4"/>
  <c r="P9" i="4"/>
  <c r="P8" i="4"/>
  <c r="P7" i="4"/>
  <c r="P6" i="4"/>
  <c r="B3" i="5" s="1"/>
  <c r="P5" i="4"/>
  <c r="P4" i="4"/>
  <c r="P3" i="4"/>
  <c r="P2" i="4"/>
  <c r="A2" i="3"/>
  <c r="G11" i="2"/>
  <c r="F11" i="2"/>
  <c r="G10" i="2"/>
  <c r="F10" i="2"/>
  <c r="G9" i="2"/>
  <c r="F9" i="2"/>
  <c r="G8" i="2"/>
  <c r="F8" i="2"/>
  <c r="G7" i="2"/>
  <c r="F7" i="2"/>
  <c r="G6" i="2"/>
  <c r="F6" i="2"/>
  <c r="G5" i="2"/>
  <c r="F5" i="2"/>
  <c r="G4" i="2"/>
  <c r="F4" i="2"/>
  <c r="G3" i="2"/>
  <c r="F3" i="2"/>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Z61" i="1"/>
  <c r="Y61" i="1"/>
  <c r="X61" i="1"/>
  <c r="W61" i="1"/>
  <c r="U61" i="1"/>
  <c r="V61" i="1" s="1"/>
  <c r="T61" i="1"/>
  <c r="Z60" i="1"/>
  <c r="Y60" i="1"/>
  <c r="X60" i="1"/>
  <c r="W60" i="1"/>
  <c r="U60" i="1"/>
  <c r="V60" i="1" s="1"/>
  <c r="T60" i="1"/>
  <c r="Z59" i="1"/>
  <c r="Y59" i="1"/>
  <c r="X59" i="1"/>
  <c r="W59" i="1"/>
  <c r="U59" i="1"/>
  <c r="V59" i="1" s="1"/>
  <c r="T59" i="1"/>
  <c r="Z58" i="1"/>
  <c r="Y58" i="1"/>
  <c r="X58" i="1"/>
  <c r="W58" i="1"/>
  <c r="V58" i="1"/>
  <c r="U58" i="1"/>
  <c r="T58" i="1"/>
  <c r="Z57" i="1"/>
  <c r="Y57" i="1"/>
  <c r="X57" i="1"/>
  <c r="W57" i="1"/>
  <c r="U57" i="1"/>
  <c r="V57" i="1" s="1"/>
  <c r="T57" i="1"/>
  <c r="Z56" i="1"/>
  <c r="Y56" i="1"/>
  <c r="X56" i="1"/>
  <c r="W56" i="1"/>
  <c r="U56" i="1"/>
  <c r="V56" i="1" s="1"/>
  <c r="T56" i="1"/>
  <c r="Z55" i="1"/>
  <c r="Y55" i="1"/>
  <c r="X55" i="1"/>
  <c r="W55" i="1"/>
  <c r="U55" i="1"/>
  <c r="V55" i="1" s="1"/>
  <c r="T55" i="1"/>
  <c r="Z54" i="1"/>
  <c r="Y54" i="1"/>
  <c r="X54" i="1"/>
  <c r="W54" i="1"/>
  <c r="V54" i="1"/>
  <c r="U54" i="1"/>
  <c r="T54" i="1"/>
  <c r="Z53" i="1"/>
  <c r="Y53" i="1"/>
  <c r="X53" i="1"/>
  <c r="W53" i="1"/>
  <c r="U53" i="1"/>
  <c r="V53" i="1" s="1"/>
  <c r="T53" i="1"/>
  <c r="Z52" i="1"/>
  <c r="Y52" i="1"/>
  <c r="X52" i="1"/>
  <c r="W52" i="1"/>
  <c r="U52" i="1"/>
  <c r="V52" i="1" s="1"/>
  <c r="T52" i="1"/>
  <c r="Z51" i="1"/>
  <c r="Y51" i="1"/>
  <c r="X51" i="1"/>
  <c r="W51" i="1"/>
  <c r="U51" i="1"/>
  <c r="V51" i="1" s="1"/>
  <c r="T51" i="1"/>
  <c r="Z50" i="1"/>
  <c r="Y50" i="1"/>
  <c r="X50" i="1"/>
  <c r="W50" i="1"/>
  <c r="U50" i="1"/>
  <c r="V50" i="1" s="1"/>
  <c r="T50" i="1"/>
  <c r="Z49" i="1"/>
  <c r="Y49" i="1"/>
  <c r="X49" i="1"/>
  <c r="W49" i="1"/>
  <c r="U49" i="1"/>
  <c r="V49" i="1" s="1"/>
  <c r="T49" i="1"/>
  <c r="Z48" i="1"/>
  <c r="Y48" i="1"/>
  <c r="X48" i="1"/>
  <c r="W48" i="1"/>
  <c r="U48" i="1"/>
  <c r="V48" i="1" s="1"/>
  <c r="T48" i="1"/>
  <c r="Z47" i="1"/>
  <c r="Y47" i="1"/>
  <c r="X47" i="1"/>
  <c r="W47" i="1"/>
  <c r="U47" i="1"/>
  <c r="V47" i="1" s="1"/>
  <c r="T47" i="1"/>
  <c r="Z46" i="1"/>
  <c r="Y46" i="1"/>
  <c r="X46" i="1"/>
  <c r="W46" i="1"/>
  <c r="U46" i="1"/>
  <c r="V46" i="1" s="1"/>
  <c r="T46" i="1"/>
  <c r="Z45" i="1"/>
  <c r="Y45" i="1"/>
  <c r="X45" i="1"/>
  <c r="W45" i="1"/>
  <c r="U45" i="1"/>
  <c r="V45" i="1" s="1"/>
  <c r="T45" i="1"/>
  <c r="Z44" i="1"/>
  <c r="Y44" i="1"/>
  <c r="X44" i="1"/>
  <c r="W44" i="1"/>
  <c r="U44" i="1"/>
  <c r="V44" i="1" s="1"/>
  <c r="T44" i="1"/>
  <c r="Z43" i="1"/>
  <c r="Y43" i="1"/>
  <c r="X43" i="1"/>
  <c r="W43" i="1"/>
  <c r="U43" i="1"/>
  <c r="V43" i="1" s="1"/>
  <c r="T43" i="1"/>
  <c r="Z42" i="1"/>
  <c r="Y42" i="1"/>
  <c r="X42" i="1"/>
  <c r="W42" i="1"/>
  <c r="U42" i="1"/>
  <c r="V42" i="1" s="1"/>
  <c r="T42" i="1"/>
  <c r="Z41" i="1"/>
  <c r="Y41" i="1"/>
  <c r="X41" i="1"/>
  <c r="W41" i="1"/>
  <c r="U41" i="1"/>
  <c r="V41" i="1" s="1"/>
  <c r="T41" i="1"/>
  <c r="Z40" i="1"/>
  <c r="Y40" i="1"/>
  <c r="X40" i="1"/>
  <c r="W40" i="1"/>
  <c r="U40" i="1"/>
  <c r="V40" i="1" s="1"/>
  <c r="T40" i="1"/>
  <c r="Z39" i="1"/>
  <c r="Y39" i="1"/>
  <c r="X39" i="1"/>
  <c r="W39" i="1"/>
  <c r="U39" i="1"/>
  <c r="V39" i="1" s="1"/>
  <c r="T39" i="1"/>
  <c r="Z38" i="1"/>
  <c r="Y38" i="1"/>
  <c r="X38" i="1"/>
  <c r="W38" i="1"/>
  <c r="U38" i="1"/>
  <c r="V38" i="1" s="1"/>
  <c r="T38" i="1"/>
  <c r="Z37" i="1"/>
  <c r="Y37" i="1"/>
  <c r="X37" i="1"/>
  <c r="W37" i="1"/>
  <c r="U37" i="1"/>
  <c r="V37" i="1" s="1"/>
  <c r="T37" i="1"/>
  <c r="Z36" i="1"/>
  <c r="Y36" i="1"/>
  <c r="X36" i="1"/>
  <c r="W36" i="1"/>
  <c r="U36" i="1"/>
  <c r="V36" i="1" s="1"/>
  <c r="T36" i="1"/>
  <c r="Z35" i="1"/>
  <c r="Y35" i="1"/>
  <c r="X35" i="1"/>
  <c r="W35" i="1"/>
  <c r="U35" i="1"/>
  <c r="V35" i="1" s="1"/>
  <c r="T35" i="1"/>
  <c r="Z34" i="1"/>
  <c r="Y34" i="1"/>
  <c r="X34" i="1"/>
  <c r="W34" i="1"/>
  <c r="U34" i="1"/>
  <c r="V34" i="1" s="1"/>
  <c r="T34" i="1"/>
  <c r="Z33" i="1"/>
  <c r="Y33" i="1"/>
  <c r="X33" i="1"/>
  <c r="W33" i="1"/>
  <c r="U33" i="1"/>
  <c r="V33" i="1" s="1"/>
  <c r="T33" i="1"/>
  <c r="Z32" i="1"/>
  <c r="Y32" i="1"/>
  <c r="X32" i="1"/>
  <c r="W32" i="1"/>
  <c r="U32" i="1"/>
  <c r="V32" i="1" s="1"/>
  <c r="T32" i="1"/>
  <c r="Z31" i="1"/>
  <c r="Y31" i="1"/>
  <c r="X31" i="1"/>
  <c r="W31" i="1"/>
  <c r="U31" i="1"/>
  <c r="V31" i="1" s="1"/>
  <c r="T31" i="1"/>
  <c r="Z30" i="1"/>
  <c r="Y30" i="1"/>
  <c r="X30" i="1"/>
  <c r="W30" i="1"/>
  <c r="U30" i="1"/>
  <c r="V30" i="1" s="1"/>
  <c r="T30" i="1"/>
  <c r="Z29" i="1"/>
  <c r="Y29" i="1"/>
  <c r="X29" i="1"/>
  <c r="W29" i="1"/>
  <c r="U29" i="1"/>
  <c r="V29" i="1" s="1"/>
  <c r="T29" i="1"/>
  <c r="Z28" i="1"/>
  <c r="Y28" i="1"/>
  <c r="X28" i="1"/>
  <c r="W28" i="1"/>
  <c r="U28" i="1"/>
  <c r="V28" i="1" s="1"/>
  <c r="T28" i="1"/>
  <c r="Z27" i="1"/>
  <c r="Y27" i="1"/>
  <c r="X27" i="1"/>
  <c r="W27" i="1"/>
  <c r="U27" i="1"/>
  <c r="V27" i="1" s="1"/>
  <c r="T27" i="1"/>
  <c r="Z26" i="1"/>
  <c r="Y26" i="1"/>
  <c r="X26" i="1"/>
  <c r="W26" i="1"/>
  <c r="V26" i="1"/>
  <c r="U26" i="1"/>
  <c r="T26" i="1"/>
  <c r="Z25" i="1"/>
  <c r="Y25" i="1"/>
  <c r="X25" i="1"/>
  <c r="W25" i="1"/>
  <c r="U25" i="1"/>
  <c r="V25" i="1" s="1"/>
  <c r="T25" i="1"/>
  <c r="Z24" i="1"/>
  <c r="Y24" i="1"/>
  <c r="X24" i="1"/>
  <c r="W24" i="1"/>
  <c r="U24" i="1"/>
  <c r="V24" i="1" s="1"/>
  <c r="T24" i="1"/>
  <c r="Z23" i="1"/>
  <c r="Y23" i="1"/>
  <c r="X23" i="1"/>
  <c r="W23" i="1"/>
  <c r="V23" i="1"/>
  <c r="U23" i="1"/>
  <c r="T23" i="1"/>
  <c r="Z22" i="1"/>
  <c r="Y22" i="1"/>
  <c r="X22" i="1"/>
  <c r="W22" i="1"/>
  <c r="U22" i="1"/>
  <c r="V22" i="1" s="1"/>
  <c r="T22" i="1"/>
  <c r="Z21" i="1"/>
  <c r="Y21" i="1"/>
  <c r="X21" i="1"/>
  <c r="W21" i="1"/>
  <c r="U21" i="1"/>
  <c r="V21" i="1" s="1"/>
  <c r="T21" i="1"/>
  <c r="Z20" i="1"/>
  <c r="Y20" i="1"/>
  <c r="X20" i="1"/>
  <c r="W20" i="1"/>
  <c r="V20" i="1"/>
  <c r="U20" i="1"/>
  <c r="T20" i="1"/>
  <c r="Z19" i="1"/>
  <c r="Y19" i="1"/>
  <c r="X19" i="1"/>
  <c r="W19" i="1"/>
  <c r="U19" i="1"/>
  <c r="V19" i="1" s="1"/>
  <c r="T19" i="1"/>
  <c r="Z18" i="1"/>
  <c r="Y18" i="1"/>
  <c r="X18" i="1"/>
  <c r="W18" i="1"/>
  <c r="U18" i="1"/>
  <c r="V18" i="1" s="1"/>
  <c r="T18" i="1"/>
  <c r="Z17" i="1"/>
  <c r="Y17" i="1"/>
  <c r="X17" i="1"/>
  <c r="W17" i="1"/>
  <c r="U17" i="1"/>
  <c r="V17" i="1" s="1"/>
  <c r="T17" i="1"/>
  <c r="Z16" i="1"/>
  <c r="Y16" i="1"/>
  <c r="X16" i="1"/>
  <c r="W16" i="1"/>
  <c r="U16" i="1"/>
  <c r="V16" i="1" s="1"/>
  <c r="T16" i="1"/>
  <c r="Z15" i="1"/>
  <c r="Y15" i="1"/>
  <c r="X15" i="1"/>
  <c r="W15" i="1"/>
  <c r="U15" i="1"/>
  <c r="V15" i="1" s="1"/>
  <c r="T15" i="1"/>
  <c r="Z14" i="1"/>
  <c r="Y14" i="1"/>
  <c r="X14" i="1"/>
  <c r="W14" i="1"/>
  <c r="U14" i="1"/>
  <c r="V14" i="1" s="1"/>
  <c r="T14" i="1"/>
  <c r="Z13" i="1"/>
  <c r="Y13" i="1"/>
  <c r="X13" i="1"/>
  <c r="W13" i="1"/>
  <c r="U13" i="1"/>
  <c r="V13" i="1" s="1"/>
  <c r="T13" i="1"/>
  <c r="Z12" i="1"/>
  <c r="Y12" i="1"/>
  <c r="X12" i="1"/>
  <c r="W12" i="1"/>
  <c r="V12" i="1"/>
  <c r="U12" i="1"/>
  <c r="T12" i="1"/>
  <c r="Z11" i="1"/>
  <c r="Y11" i="1"/>
  <c r="X11" i="1"/>
  <c r="W11" i="1"/>
  <c r="U11" i="1"/>
  <c r="V11" i="1" s="1"/>
  <c r="T11" i="1"/>
  <c r="Z10" i="1"/>
  <c r="Y10" i="1"/>
  <c r="X10" i="1"/>
  <c r="W10" i="1"/>
  <c r="U10" i="1"/>
  <c r="V10" i="1" s="1"/>
  <c r="T10" i="1"/>
  <c r="Z9" i="1"/>
  <c r="Y9" i="1"/>
  <c r="X9" i="1"/>
  <c r="W9" i="1"/>
  <c r="U9" i="1"/>
  <c r="V9" i="1" s="1"/>
  <c r="T9" i="1"/>
  <c r="Z8" i="1"/>
  <c r="Y8" i="1"/>
  <c r="X8" i="1"/>
  <c r="W8" i="1"/>
  <c r="U8" i="1"/>
  <c r="V8" i="1" s="1"/>
  <c r="T8" i="1"/>
  <c r="Z7" i="1"/>
  <c r="Y7" i="1"/>
  <c r="X7" i="1"/>
  <c r="W7" i="1"/>
  <c r="U7" i="1"/>
  <c r="V7" i="1" s="1"/>
  <c r="T7" i="1"/>
  <c r="Z6" i="1"/>
  <c r="Y6" i="1"/>
  <c r="X6" i="1"/>
  <c r="W6" i="1"/>
  <c r="U6" i="1"/>
  <c r="V6" i="1" s="1"/>
  <c r="T6" i="1"/>
  <c r="Z5" i="1"/>
  <c r="Y5" i="1"/>
  <c r="X5" i="1"/>
  <c r="W5" i="1"/>
  <c r="U5" i="1"/>
  <c r="V5" i="1" s="1"/>
  <c r="T5" i="1"/>
  <c r="Z4" i="1"/>
  <c r="Y4" i="1"/>
  <c r="X4" i="1"/>
  <c r="W4" i="1"/>
  <c r="U4" i="1"/>
  <c r="V4" i="1" s="1"/>
  <c r="T4" i="1"/>
  <c r="Z3" i="1"/>
  <c r="Y3" i="1"/>
  <c r="X3" i="1"/>
  <c r="W3" i="1"/>
  <c r="U3" i="1"/>
  <c r="V3" i="1" s="1"/>
  <c r="T3" i="1"/>
  <c r="Z2" i="1"/>
  <c r="Y2" i="1"/>
  <c r="X2" i="1"/>
  <c r="C2" i="3" s="1"/>
  <c r="W2" i="1"/>
  <c r="U2" i="1"/>
  <c r="T2" i="1"/>
  <c r="B2" i="5" l="1"/>
  <c r="C30" i="5"/>
  <c r="C17" i="5"/>
  <c r="C4" i="5"/>
  <c r="B54" i="5"/>
  <c r="C58" i="5"/>
  <c r="B17" i="5"/>
  <c r="C23" i="5"/>
  <c r="C26" i="5"/>
  <c r="C14" i="5"/>
  <c r="C25" i="5"/>
  <c r="C48" i="5"/>
  <c r="C60" i="5"/>
  <c r="C53" i="5"/>
  <c r="B36" i="5"/>
  <c r="C45" i="5"/>
  <c r="B11" i="5"/>
  <c r="C20" i="5"/>
  <c r="C33" i="5"/>
  <c r="C36" i="5"/>
  <c r="C54" i="5"/>
  <c r="C47" i="5"/>
  <c r="C3" i="5"/>
  <c r="C5" i="5"/>
  <c r="C2" i="5"/>
  <c r="C7" i="5"/>
  <c r="C9" i="5"/>
  <c r="C12" i="5"/>
  <c r="C16" i="5"/>
  <c r="C18" i="5"/>
  <c r="C10" i="5"/>
  <c r="B21" i="5"/>
  <c r="C8" i="5"/>
  <c r="C13" i="5"/>
  <c r="C44" i="5"/>
  <c r="B32" i="5"/>
  <c r="G2" i="3"/>
  <c r="C56" i="5"/>
  <c r="B22" i="5"/>
  <c r="B27" i="5"/>
  <c r="B37" i="5"/>
  <c r="B42" i="5"/>
  <c r="B47" i="5"/>
  <c r="B52" i="5"/>
  <c r="B57" i="5"/>
  <c r="B8" i="5"/>
  <c r="B13" i="5"/>
  <c r="B18" i="5"/>
  <c r="B23" i="5"/>
  <c r="B28" i="5"/>
  <c r="B33" i="5"/>
  <c r="B38" i="5"/>
  <c r="B43" i="5"/>
  <c r="B48" i="5"/>
  <c r="B53" i="5"/>
  <c r="B58" i="5"/>
  <c r="B2" i="3"/>
  <c r="B14" i="5"/>
  <c r="B19" i="5"/>
  <c r="B24" i="5"/>
  <c r="B29" i="5"/>
  <c r="B34" i="5"/>
  <c r="B39" i="5"/>
  <c r="B44" i="5"/>
  <c r="B49" i="5"/>
  <c r="B59" i="5"/>
  <c r="V2" i="1"/>
  <c r="D2" i="3"/>
  <c r="B5" i="5"/>
  <c r="B10" i="5"/>
  <c r="B15" i="5"/>
  <c r="B20" i="5"/>
  <c r="B25" i="5"/>
  <c r="B30" i="5"/>
  <c r="B35" i="5"/>
  <c r="B40" i="5"/>
  <c r="B45" i="5"/>
  <c r="B50" i="5"/>
  <c r="B55" i="5"/>
  <c r="B60" i="5"/>
  <c r="E2" i="3"/>
  <c r="F2" i="3"/>
  <c r="B6" i="5"/>
  <c r="B16" i="5"/>
  <c r="B26" i="5"/>
  <c r="B31" i="5"/>
  <c r="B41" i="5"/>
  <c r="B46" i="5"/>
  <c r="B51" i="5"/>
  <c r="B56" i="5"/>
  <c r="B61" i="5"/>
</calcChain>
</file>

<file path=xl/sharedStrings.xml><?xml version="1.0" encoding="utf-8"?>
<sst xmlns="http://schemas.openxmlformats.org/spreadsheetml/2006/main" count="14803" uniqueCount="2814">
  <si>
    <t>ORGANIZACION_POLITICA</t>
  </si>
  <si>
    <t>DNI_CANDIDATO</t>
  </si>
  <si>
    <t>CANDIDATO</t>
  </si>
  <si>
    <t>DOCUMENTO_IDENTIDAD</t>
  </si>
  <si>
    <t>APELLIDO_PATERNO</t>
  </si>
  <si>
    <t>APELLIDO_MATERNO</t>
  </si>
  <si>
    <t>NOMBRES</t>
  </si>
  <si>
    <t>SEXO</t>
  </si>
  <si>
    <t>FECHA_NACIMIENTO</t>
  </si>
  <si>
    <t>PAIS_NACIMIENTO</t>
  </si>
  <si>
    <t>DEPARTAMENTO_NACIMIENTO</t>
  </si>
  <si>
    <t>PROVINCIA_NACIMIENTO</t>
  </si>
  <si>
    <t>DISTRITO_NACIMIENTO</t>
  </si>
  <si>
    <t>PRIMER_CARGO_ELECCION</t>
  </si>
  <si>
    <t>SEGUNDO_CARGO_ELECION</t>
  </si>
  <si>
    <t>DISTRITO_ELEC</t>
  </si>
  <si>
    <t>INFORMACION_COMPLEMENTARIA</t>
  </si>
  <si>
    <t>URL_FOTO</t>
  </si>
  <si>
    <t>TXRUTAVIRTUAL</t>
  </si>
  <si>
    <t>TXNOMBREDOCUMENTO</t>
  </si>
  <si>
    <t>EDAD</t>
  </si>
  <si>
    <t>RANGO_EDAD</t>
  </si>
  <si>
    <t>PAÍS_LIMPIO</t>
  </si>
  <si>
    <t>SEXO_LIMPIO</t>
  </si>
  <si>
    <t>DEP_NAC_LIMPIO</t>
  </si>
  <si>
    <t>DISTRITO_ELEC_LIMPIO</t>
  </si>
  <si>
    <t>AHORA NACION - AN</t>
  </si>
  <si>
    <t>07755878</t>
  </si>
  <si>
    <t>DELGADO ZEGARRA, JAIME RICARDO</t>
  </si>
  <si>
    <t>DELGADO</t>
  </si>
  <si>
    <t>ZEGARRA</t>
  </si>
  <si>
    <t>JAIME RICARDO</t>
  </si>
  <si>
    <t>MASCULINO</t>
  </si>
  <si>
    <t>17/11/1956</t>
  </si>
  <si>
    <t>PERÚ</t>
  </si>
  <si>
    <t>AREQUIPA</t>
  </si>
  <si>
    <t>SENADOR</t>
  </si>
  <si>
    <t>ÚNICO NACIONAL</t>
  </si>
  <si>
    <t>https://mpesije.jne.gob.pe/apidocs/9aee4b33-103e-4327-9038-3618515d950d.jpg</t>
  </si>
  <si>
    <t>https://mpesije.jne.gob.pe/apidocs/bec6fc78-6285-4522-a02e-2730994b7ca8.pdf</t>
  </si>
  <si>
    <t>25331980</t>
  </si>
  <si>
    <t>LOPEZ CHAU NAVA, PABLO ALFONSO</t>
  </si>
  <si>
    <t>LOPEZ CHAU</t>
  </si>
  <si>
    <t>NAVA</t>
  </si>
  <si>
    <t>PABLO ALFONSO</t>
  </si>
  <si>
    <t>17/07/1950</t>
  </si>
  <si>
    <t>LIMA</t>
  </si>
  <si>
    <t>PRESIDENTE DE LA REPÚBLICA</t>
  </si>
  <si>
    <t>https://mpesije.jne.gob.pe/apidocs/ddfa74eb-cae3-401c-a34c-35543ae83c57.jpg</t>
  </si>
  <si>
    <t>https://mpesije.jne.gob.pe/apidocs/4ba2cdce-703e-421b-8b75-746b4dd21439.pdf</t>
  </si>
  <si>
    <t>40204874</t>
  </si>
  <si>
    <t>LUQUE IBARRA, RUTH</t>
  </si>
  <si>
    <t>LUQUE</t>
  </si>
  <si>
    <t>IBARRA</t>
  </si>
  <si>
    <t>RUTH</t>
  </si>
  <si>
    <t>FEMENINO</t>
  </si>
  <si>
    <t>19/06/1979</t>
  </si>
  <si>
    <t>CUSCO</t>
  </si>
  <si>
    <t>SANTIAGO</t>
  </si>
  <si>
    <t>https://mpesije.jne.gob.pe/apidocs/428c14a1-1be6-477e-b02a-f0dec2dc8e65.jpg</t>
  </si>
  <si>
    <t>https://mpesije.jne.gob.pe/apidocs/ed569772-6440-41f6-a1ad-b62d373d92ef.pdf</t>
  </si>
  <si>
    <t>26705695</t>
  </si>
  <si>
    <t>VASQUEZ CHUQUILIN, MIRTHA ESTHER</t>
  </si>
  <si>
    <t>VASQUEZ</t>
  </si>
  <si>
    <t>CHUQUILIN</t>
  </si>
  <si>
    <t>MIRTHA ESTHER</t>
  </si>
  <si>
    <t>31/03/1975</t>
  </si>
  <si>
    <t>CAJAMARCA</t>
  </si>
  <si>
    <t>https://mpesije.jne.gob.pe/apidocs/83aa4be4-54a0-4f96-874a-96ec34678843.jpg</t>
  </si>
  <si>
    <t>https://mpesije.jne.gob.pe/apidocs/26df0361-db17-47af-85bf-fc1e8ae1329b.pdf</t>
  </si>
  <si>
    <t>FUERZA POPULAR</t>
  </si>
  <si>
    <t>08236035</t>
  </si>
  <si>
    <t>AGUINAGA RECUENCO, ALEJANDRO AURELIO</t>
  </si>
  <si>
    <t>AGUINAGA</t>
  </si>
  <si>
    <t>RECUENCO</t>
  </si>
  <si>
    <t>ALEJANDRO AURELIO</t>
  </si>
  <si>
    <t>28/01/1950</t>
  </si>
  <si>
    <t>LA LIBERTAD</t>
  </si>
  <si>
    <t>TRUJILLO</t>
  </si>
  <si>
    <t>LAMBAYEQUE</t>
  </si>
  <si>
    <t>https://mpesije.jne.gob.pe/apidocs/ec0a8246-1b06-4e2b-8037-a71cfce09cf5.jpg</t>
  </si>
  <si>
    <t>https://mpesije.jne.gob.pe/apidocs/6b4456ea-6731-4925-a6e7-056a36b87156.pdf</t>
  </si>
  <si>
    <t>06717199</t>
  </si>
  <si>
    <t>ARISTA ARBILDO, JOSE BERLEY</t>
  </si>
  <si>
    <t>ARISTA</t>
  </si>
  <si>
    <t>ARBILDO</t>
  </si>
  <si>
    <t>JOSE BERLEY</t>
  </si>
  <si>
    <t>18/08/1959</t>
  </si>
  <si>
    <t>AMAZONAS</t>
  </si>
  <si>
    <t>RODRIGUEZ DE MENDOZA</t>
  </si>
  <si>
    <t>HUAMBO</t>
  </si>
  <si>
    <t>https://mpesije.jne.gob.pe/apidocs/d70fc358-ff34-4dfb-99fc-2cdcbb77ff83.jpg</t>
  </si>
  <si>
    <t>https://mpesije.jne.gob.pe/apidocs/4239a3ba-9445-4c88-a74d-d0d798857d45.pdf</t>
  </si>
  <si>
    <t>10307948</t>
  </si>
  <si>
    <t>ASTUDILLO SALCEDO, CESAR AUGUSTO</t>
  </si>
  <si>
    <t>ASTUDILLO</t>
  </si>
  <si>
    <t>SALCEDO</t>
  </si>
  <si>
    <t>CESAR AUGUSTO</t>
  </si>
  <si>
    <t>30/09/1960</t>
  </si>
  <si>
    <t>MIRAFLORES</t>
  </si>
  <si>
    <t>https://mpesije.jne.gob.pe/apidocs/e4aee02d-e85d-44f7-aaca-9eb286ee132f.jpg</t>
  </si>
  <si>
    <t>https://mpesije.jne.gob.pe/apidocs/c3804a57-68ff-450f-b6d6-edd5fa532e44.pdf</t>
  </si>
  <si>
    <t>32971154</t>
  </si>
  <si>
    <t>CHACON TRUJILLO, NILZA MERLY</t>
  </si>
  <si>
    <t>CHACON</t>
  </si>
  <si>
    <t>NILZA MERLY</t>
  </si>
  <si>
    <t>15/12/1975</t>
  </si>
  <si>
    <t>ANCASH</t>
  </si>
  <si>
    <t>SANTA</t>
  </si>
  <si>
    <t>CHIMBOTE</t>
  </si>
  <si>
    <t>https://mpesije.jne.gob.pe/apidocs/133f5d7c-5498-4a5e-81e2-a7c2f3f53d0c.jpg</t>
  </si>
  <si>
    <t>https://mpesije.jne.gob.pe/apidocs/647e50c4-80ae-491f-9f49-ead290ebba04.pdf</t>
  </si>
  <si>
    <t>07960843</t>
  </si>
  <si>
    <t>CHAVEZ COSSIO, MARTHA GLADYS</t>
  </si>
  <si>
    <t>CHAVEZ</t>
  </si>
  <si>
    <t>COSSIO</t>
  </si>
  <si>
    <t>MARTHA GLADYS</t>
  </si>
  <si>
    <t>12/01/1953</t>
  </si>
  <si>
    <t>CALLAO</t>
  </si>
  <si>
    <t>BELLAVISTA</t>
  </si>
  <si>
    <t>Callao no es departamento. Debería figurar como "provincia constitucional del Callao".</t>
  </si>
  <si>
    <t>https://mpesije.jne.gob.pe/apidocs/b3b29de8-c5bd-4b73-b34b-29c48267363a.jpg</t>
  </si>
  <si>
    <t>https://mpesije.jne.gob.pe/apidocs/cd58063a-eafa-4e92-b04e-267a33eda88b.pdf</t>
  </si>
  <si>
    <t>05227631</t>
  </si>
  <si>
    <t>DEL AGUILA CARDENAS, JUAN CARLOS</t>
  </si>
  <si>
    <t>DEL AGUILA</t>
  </si>
  <si>
    <t>CARDENAS</t>
  </si>
  <si>
    <t>JUAN CARLOS</t>
  </si>
  <si>
    <t>09/01/1962</t>
  </si>
  <si>
    <t>LORETO</t>
  </si>
  <si>
    <t>MAYNAS</t>
  </si>
  <si>
    <t>IQUITOS</t>
  </si>
  <si>
    <t>https://mpesije.jne.gob.pe/apidocs/39addd4e-6c93-405b-9e93-56a0892eae72.jpg</t>
  </si>
  <si>
    <t>https://mpesije.jne.gob.pe/apidocs/f2c9c961-f74a-45e8-8790-d864e7893093.pdf</t>
  </si>
  <si>
    <t>17896798</t>
  </si>
  <si>
    <t>FLORES RUIZ, VICTOR SEFERINO</t>
  </si>
  <si>
    <t>FLORES</t>
  </si>
  <si>
    <t>RUIZ</t>
  </si>
  <si>
    <t>VICTOR SEFERINO</t>
  </si>
  <si>
    <t>24/08/1957</t>
  </si>
  <si>
    <t>SANCHEZ CARRION</t>
  </si>
  <si>
    <t>HUAMACHUCO</t>
  </si>
  <si>
    <t>https://mpesije.jne.gob.pe/apidocs/8022ae32-73db-492b-9442-9ab351cf4ac6.jpg</t>
  </si>
  <si>
    <t>https://mpesije.jne.gob.pe/apidocs/c913c7f0-9803-46c8-8b69-d37a3f7b5206.pdf</t>
  </si>
  <si>
    <t>19994639</t>
  </si>
  <si>
    <t>JIMENEZ HEREDIA, DAVID JULIO</t>
  </si>
  <si>
    <t>JIMENEZ</t>
  </si>
  <si>
    <t>HEREDIA</t>
  </si>
  <si>
    <t>DAVID JULIO</t>
  </si>
  <si>
    <t>01/09/1955</t>
  </si>
  <si>
    <t>JUNIN</t>
  </si>
  <si>
    <t>HUANCAYO</t>
  </si>
  <si>
    <t>https://mpesije.jne.gob.pe/apidocs/2856fdf9-9f1e-4e3e-857e-0b998e066e36.jpg</t>
  </si>
  <si>
    <t>https://mpesije.jne.gob.pe/apidocs/e234be5e-855f-4d56-9ed4-0849690ccbf5.pdf</t>
  </si>
  <si>
    <t>07831436</t>
  </si>
  <si>
    <t>JUAREZ GALLEGOS, CARMEN PATRICIA</t>
  </si>
  <si>
    <t>JUAREZ</t>
  </si>
  <si>
    <t>GALLEGOS</t>
  </si>
  <si>
    <t>CARMEN PATRICIA</t>
  </si>
  <si>
    <t>16/07/1960</t>
  </si>
  <si>
    <t>ICA</t>
  </si>
  <si>
    <t>NASCA</t>
  </si>
  <si>
    <t>MARCONA</t>
  </si>
  <si>
    <t>https://mpesije.jne.gob.pe/apidocs/1dc6fbdd-d970-4fa3-9195-cf0492bc11d2.jpg</t>
  </si>
  <si>
    <t>https://mpesije.jne.gob.pe/apidocs/f7c8bd65-b17e-4266-845d-b045a55d492a.pdf</t>
  </si>
  <si>
    <t>09884301</t>
  </si>
  <si>
    <t>MELGAR VALDEZ, ELARD GALO</t>
  </si>
  <si>
    <t>MELGAR</t>
  </si>
  <si>
    <t>VALDEZ</t>
  </si>
  <si>
    <t>ELARD GALO</t>
  </si>
  <si>
    <t>15/10/1956</t>
  </si>
  <si>
    <t>CASTILLA</t>
  </si>
  <si>
    <t>APLAO</t>
  </si>
  <si>
    <t>LIMA PROVINCIAS</t>
  </si>
  <si>
    <t>https://mpesije.jne.gob.pe/apidocs/2d527059-8586-4a8d-9224-a08d4d3dc223.jpg</t>
  </si>
  <si>
    <t>https://mpesije.jne.gob.pe/apidocs/a0e3bdcd-8a71-4f70-a1d5-aebd9d0c263a.pdf</t>
  </si>
  <si>
    <t>08266314</t>
  </si>
  <si>
    <t>MESIA RAMIREZ, CARLOS FERNANDO</t>
  </si>
  <si>
    <t>MESIA</t>
  </si>
  <si>
    <t>RAMIREZ</t>
  </si>
  <si>
    <t>CARLOS FERNANDO</t>
  </si>
  <si>
    <t>08/12/1959</t>
  </si>
  <si>
    <t>https://mpesije.jne.gob.pe/apidocs/8b5d10f4-a0ec-4744-b29f-59271274b78c.jpg</t>
  </si>
  <si>
    <t>https://mpesije.jne.gob.pe/apidocs/986de612-7510-4a49-bbd3-8d3ff2e98d15.pdf</t>
  </si>
  <si>
    <t>22974228</t>
  </si>
  <si>
    <t>MIYASHIRO ARASHIRO, MARCO ENRIQUE</t>
  </si>
  <si>
    <t>MIYASHIRO</t>
  </si>
  <si>
    <t>ARASHIRO</t>
  </si>
  <si>
    <t>MARCO ENRIQUE</t>
  </si>
  <si>
    <t>25/04/1953</t>
  </si>
  <si>
    <t>LIMA METROPOLITANA</t>
  </si>
  <si>
    <t>https://mpesije.jne.gob.pe/apidocs/8388c289-7fce-48e9-91f9-732565b127c7.jpg</t>
  </si>
  <si>
    <t>https://mpesije.jne.gob.pe/apidocs/a49ce4d3-07d3-4728-a386-78e3a7696cd2.pdf</t>
  </si>
  <si>
    <t>08911520</t>
  </si>
  <si>
    <t>MOYANO DELGADO, MARTHA LUPE</t>
  </si>
  <si>
    <t>MOYANO</t>
  </si>
  <si>
    <t>MARTHA LUPE</t>
  </si>
  <si>
    <t>14/10/1964</t>
  </si>
  <si>
    <t>https://mpesije.jne.gob.pe/apidocs/e1193269-c9d9-48c8-9ff2-4fa1317c49cf.jpg</t>
  </si>
  <si>
    <t>https://mpesije.jne.gob.pe/apidocs/68a5f54c-a9f2-41e8-915f-4b14a17dc3a3.pdf</t>
  </si>
  <si>
    <t>17806760</t>
  </si>
  <si>
    <t>NORIEGA REATEGUI, VICTOR MANUEL</t>
  </si>
  <si>
    <t>NORIEGA</t>
  </si>
  <si>
    <t>REATEGUI</t>
  </si>
  <si>
    <t>VICTOR MANUEL</t>
  </si>
  <si>
    <t>14/05/1962</t>
  </si>
  <si>
    <t>SAN MARTIN</t>
  </si>
  <si>
    <t>EL DORADO</t>
  </si>
  <si>
    <t>SAN JOSE DE SISA</t>
  </si>
  <si>
    <t>https://mpesije.jne.gob.pe/apidocs/84f8ce01-b3ad-4d93-bbe2-79314b572334.jpg</t>
  </si>
  <si>
    <t>https://mpesije.jne.gob.pe/apidocs/f4f1e141-61f6-4499-bf91-10e28fe56db1.pdf</t>
  </si>
  <si>
    <t>08234063</t>
  </si>
  <si>
    <t>RODRICH ACKERMAN, JACQUES SALOMON</t>
  </si>
  <si>
    <t>RODRICH</t>
  </si>
  <si>
    <t>ACKERMAN</t>
  </si>
  <si>
    <t>JACQUES SALOMON</t>
  </si>
  <si>
    <t>14/08/1961</t>
  </si>
  <si>
    <t>SAN ISIDRO</t>
  </si>
  <si>
    <t>El candidato actualmente consigna en su Documento Nacional de Identidad como domicilio calle Alberto Secada N° 315 - Callao</t>
  </si>
  <si>
    <t>https://mpesije.jne.gob.pe/apidocs/04696b3b-471f-462a-b3c2-84726b866a6f.jpg</t>
  </si>
  <si>
    <t>https://mpesije.jne.gob.pe/apidocs/b368d19a-c667-4b25-9d4f-8e5048887a4f.pdf</t>
  </si>
  <si>
    <t>07704730</t>
  </si>
  <si>
    <t>ROSPIGLIOSI CAPURRO, FERNANDO MIGUEL</t>
  </si>
  <si>
    <t>ROSPIGLIOSI</t>
  </si>
  <si>
    <t>CAPURRO</t>
  </si>
  <si>
    <t>FERNANDO MIGUEL</t>
  </si>
  <si>
    <t>25/02/1947</t>
  </si>
  <si>
    <t>https://mpesije.jne.gob.pe/apidocs/4e1024fa-a2ee-4b49-8563-7484061f3763.jpg</t>
  </si>
  <si>
    <t>https://mpesije.jne.gob.pe/apidocs/e088f78d-87d9-4d2c-a3a9-d348a26419b4.pdf</t>
  </si>
  <si>
    <t>10638205</t>
  </si>
  <si>
    <t>SCHAEFER CUCULIZA, KARLA MELISSA</t>
  </si>
  <si>
    <t>SCHAEFER</t>
  </si>
  <si>
    <t>CUCULIZA</t>
  </si>
  <si>
    <t>KARLA MELISSA</t>
  </si>
  <si>
    <t>14/03/1966</t>
  </si>
  <si>
    <t>PIURA</t>
  </si>
  <si>
    <t>https://mpesije.jne.gob.pe/apidocs/8484cd8e-5f0a-48d3-ba54-be7120b1107f.jpg</t>
  </si>
  <si>
    <t>https://mpesije.jne.gob.pe/apidocs/82e3af5f-ed4b-423d-bba6-e9de26662f1a.pdf</t>
  </si>
  <si>
    <t>16657841</t>
  </si>
  <si>
    <t>TAPIA BERNAL, SEGUNDO LEOCADIO</t>
  </si>
  <si>
    <t>TAPIA</t>
  </si>
  <si>
    <t>BERNAL</t>
  </si>
  <si>
    <t>SEGUNDO LEOCADIO</t>
  </si>
  <si>
    <t>12/02/1968</t>
  </si>
  <si>
    <t>CHOTA</t>
  </si>
  <si>
    <t>https://mpesije.jne.gob.pe/apidocs/09f4526f-7117-476b-9499-38179dd8ef02.jpg</t>
  </si>
  <si>
    <t>https://mpesije.jne.gob.pe/apidocs/3f910188-c6ed-44e3-93a5-a8fdeb7a3531.pdf</t>
  </si>
  <si>
    <t>21143880</t>
  </si>
  <si>
    <t>VELASQUEZ PORTOCARRERO, JORGE</t>
  </si>
  <si>
    <t>VELASQUEZ</t>
  </si>
  <si>
    <t>PORTOCARRERO</t>
  </si>
  <si>
    <t>JORGE</t>
  </si>
  <si>
    <t>14/01/1966</t>
  </si>
  <si>
    <t>RIOJA</t>
  </si>
  <si>
    <t>UCAYALI</t>
  </si>
  <si>
    <t>https://mpesije.jne.gob.pe/apidocs/043cb739-9e01-4351-88d8-c0a5979b4884.jpg</t>
  </si>
  <si>
    <t>https://mpesije.jne.gob.pe/apidocs/764aa850-dece-4ab5-8956-4420b2717ec3.pdf</t>
  </si>
  <si>
    <t>40242430</t>
  </si>
  <si>
    <t>VENTURA ANGEL, HECTOR JOSE</t>
  </si>
  <si>
    <t>VENTURA</t>
  </si>
  <si>
    <t>ANGEL</t>
  </si>
  <si>
    <t>HECTOR JOSE</t>
  </si>
  <si>
    <t>24/07/1979</t>
  </si>
  <si>
    <t>PASCO</t>
  </si>
  <si>
    <t>HUARIACA</t>
  </si>
  <si>
    <t>TUMBES</t>
  </si>
  <si>
    <t>https://mpesije.jne.gob.pe/apidocs/bcf4cec7-d78a-4d75-a07c-d6ecf3f9322e.jpg</t>
  </si>
  <si>
    <t>https://mpesije.jne.gob.pe/apidocs/b003710f-1e5d-4c02-bbca-7b10f0cca71a.pdf</t>
  </si>
  <si>
    <t>21414172</t>
  </si>
  <si>
    <t>YAMASHIRO ORE, RAFAEL GUSTAVO</t>
  </si>
  <si>
    <t>YAMASHIRO</t>
  </si>
  <si>
    <t>ORE</t>
  </si>
  <si>
    <t>RAFAEL GUSTAVO</t>
  </si>
  <si>
    <t>25/06/1963</t>
  </si>
  <si>
    <t>https://mpesije.jne.gob.pe/apidocs/54b17e85-5ae3-4825-85d3-be4a29802a84.jpg</t>
  </si>
  <si>
    <t>https://mpesije.jne.gob.pe/apidocs/dd0973d2-282d-4388-8bf1-5f081177d22a.pdf</t>
  </si>
  <si>
    <t>JUNTOS POR EL PERU</t>
  </si>
  <si>
    <t>22482738</t>
  </si>
  <si>
    <t>ANDRES LUJAN, SERAFIN</t>
  </si>
  <si>
    <t>ANDRES</t>
  </si>
  <si>
    <t>LUJAN</t>
  </si>
  <si>
    <t>SERAFIN</t>
  </si>
  <si>
    <t>12/10/1966</t>
  </si>
  <si>
    <t>HUANUCO</t>
  </si>
  <si>
    <t>YAROWILCA</t>
  </si>
  <si>
    <t>APARICIO POMARES</t>
  </si>
  <si>
    <t>https://mpesije.jne.gob.pe/apidocs/28f4e30f-f8c9-4a48-b698-94f4480bd3fe.jpg</t>
  </si>
  <si>
    <t>https://mpesije.jne.gob.pe/apidocs/5110bbb9-f342-40ef-8b4b-e6beb36c0f94.pdf</t>
  </si>
  <si>
    <t>21487528</t>
  </si>
  <si>
    <t>ARMACANQUI MORALES, SAUL ANDRES</t>
  </si>
  <si>
    <t>ARMACANQUI</t>
  </si>
  <si>
    <t>MORALES</t>
  </si>
  <si>
    <t>SAUL ANDRES</t>
  </si>
  <si>
    <t>30/11/1953</t>
  </si>
  <si>
    <t>https://mpesije.jne.gob.pe/apidocs/1baf3ce6-bf7f-4f48-90af-7df69ba21d70.jpg</t>
  </si>
  <si>
    <t>https://mpesije.jne.gob.pe/apidocs/fba5c0e0-c3b9-4c85-b049-58a2a0771bf0.pdf</t>
  </si>
  <si>
    <t>27409088</t>
  </si>
  <si>
    <t>CASTILLO TERRONES, JOSE MERCEDES</t>
  </si>
  <si>
    <t>CASTILLO</t>
  </si>
  <si>
    <t>TERRONES</t>
  </si>
  <si>
    <t>JOSE MERCEDES</t>
  </si>
  <si>
    <t>24/09/1964</t>
  </si>
  <si>
    <t>TACABAMBA</t>
  </si>
  <si>
    <t>https://mpesije.jne.gob.pe/apidocs/0e2b05c2-c95a-4599-bc78-56584d571b51.jpg</t>
  </si>
  <si>
    <t>https://mpesije.jne.gob.pe/apidocs/61933e79-79be-45fb-9b0f-11be2bf70d02.pdf</t>
  </si>
  <si>
    <t>40669342</t>
  </si>
  <si>
    <t>CCAHUANA AYMACHOQUE, HUGO ISAAC</t>
  </si>
  <si>
    <t>CCAHUANA</t>
  </si>
  <si>
    <t>AYMACHOQUE</t>
  </si>
  <si>
    <t>HUGO ISAAC</t>
  </si>
  <si>
    <t>08/07/1978</t>
  </si>
  <si>
    <t>CANCHIS</t>
  </si>
  <si>
    <t>SAN PEDRO</t>
  </si>
  <si>
    <t>MADRE DE DIOS</t>
  </si>
  <si>
    <t>https://mpesije.jne.gob.pe/apidocs/ffc812a5-4689-4912-831a-cb0ab734f078.jpg</t>
  </si>
  <si>
    <t>https://mpesije.jne.gob.pe/apidocs/bbc0ceed-8cb9-4859-b242-24ff0547c996.pdf</t>
  </si>
  <si>
    <t>04647085</t>
  </si>
  <si>
    <t>CUTIPA CCAMA, VICTOR RAUL</t>
  </si>
  <si>
    <t>CUTIPA</t>
  </si>
  <si>
    <t>CCAMA</t>
  </si>
  <si>
    <t>VICTOR RAUL</t>
  </si>
  <si>
    <t>14/09/1972</t>
  </si>
  <si>
    <t>PUNO</t>
  </si>
  <si>
    <t>ACORA</t>
  </si>
  <si>
    <t>MOQUEGUA</t>
  </si>
  <si>
    <t>https://mpesije.jne.gob.pe/apidocs/8a462ad7-557a-40c5-80af-4f87c81544ea.jpg</t>
  </si>
  <si>
    <t>https://mpesije.jne.gob.pe/apidocs/df837d7a-d815-4f7a-b9f2-39edb294f267.pdf</t>
  </si>
  <si>
    <t>21453924</t>
  </si>
  <si>
    <t>MARAVI OLARTE, IBER ANTENOR</t>
  </si>
  <si>
    <t>MARAVI</t>
  </si>
  <si>
    <t>OLARTE</t>
  </si>
  <si>
    <t>IBER ANTENOR</t>
  </si>
  <si>
    <t>15/05/1961</t>
  </si>
  <si>
    <t>AYACUCHO</t>
  </si>
  <si>
    <t>HUAMANGA</t>
  </si>
  <si>
    <t>https://mpesije.jne.gob.pe/apidocs/9ff4f8d0-cff1-429b-b3b9-a2c9baf178cf.jpg</t>
  </si>
  <si>
    <t>https://mpesije.jne.gob.pe/apidocs/4080756a-aa47-451c-9ae6-ea726f4dbf37.pdf</t>
  </si>
  <si>
    <t>10252335</t>
  </si>
  <si>
    <t>MORALES RAMIREZ, EDYSON HUMBERTO</t>
  </si>
  <si>
    <t>EDYSON HUMBERTO</t>
  </si>
  <si>
    <t>17/04/1976</t>
  </si>
  <si>
    <t>HUANCAVELICA</t>
  </si>
  <si>
    <t>ANGARAES</t>
  </si>
  <si>
    <t>CHINCHO</t>
  </si>
  <si>
    <t>https://mpesije.jne.gob.pe/apidocs/58170e97-f6a2-4003-a111-f1ce55f0715a.jpg</t>
  </si>
  <si>
    <t>https://mpesije.jne.gob.pe/apidocs/0d293f37-70ce-4a2f-a49a-34411cdf8110.pdf</t>
  </si>
  <si>
    <t>40938678</t>
  </si>
  <si>
    <t>OSORIO PALPAN, PERCY HERBERT</t>
  </si>
  <si>
    <t>OSORIO</t>
  </si>
  <si>
    <t>PALPAN</t>
  </si>
  <si>
    <t>PERCY HERBERT</t>
  </si>
  <si>
    <t>14/03/1979</t>
  </si>
  <si>
    <t>OXAPAMPA</t>
  </si>
  <si>
    <t>https://mpesije.jne.gob.pe/apidocs/5feb176c-f41c-425c-b42c-70564c87a8ba.jpg</t>
  </si>
  <si>
    <t>https://mpesije.jne.gob.pe/apidocs/1fcffca7-a8b1-4bd3-b9e8-46649f81d4c4.pdf</t>
  </si>
  <si>
    <t>29632775</t>
  </si>
  <si>
    <t>QUITO SARMIENTO, BERNARDO JAIME</t>
  </si>
  <si>
    <t>QUITO</t>
  </si>
  <si>
    <t>SARMIENTO</t>
  </si>
  <si>
    <t>BERNARDO JAIME</t>
  </si>
  <si>
    <t>29/03/1975</t>
  </si>
  <si>
    <t>https://mpesije.jne.gob.pe/apidocs/dc4ba573-e19b-4a60-8485-52ebcd3d6d3a.jpg</t>
  </si>
  <si>
    <t>https://mpesije.jne.gob.pe/apidocs/3bc32fe0-aeb8-41d2-b677-8c6230bca2e6.pdf</t>
  </si>
  <si>
    <t>42750152</t>
  </si>
  <si>
    <t>ROBLES ARAUJO, SILVANA EMPERATRIZ</t>
  </si>
  <si>
    <t>ROBLES</t>
  </si>
  <si>
    <t>ARAUJO</t>
  </si>
  <si>
    <t>SILVANA EMPERATRIZ</t>
  </si>
  <si>
    <t>06/11/1984</t>
  </si>
  <si>
    <t>CHANCHAMAYO</t>
  </si>
  <si>
    <t>https://mpesije.jne.gob.pe/apidocs/3339fe0c-6911-4144-85df-b4617bfb7ebe.jpg</t>
  </si>
  <si>
    <t>https://mpesije.jne.gob.pe/apidocs/24e247a9-87ab-45a2-95f0-f39dca282f88.pdf</t>
  </si>
  <si>
    <t>23906812</t>
  </si>
  <si>
    <t>VERANO SARAVIA, WILFREDO</t>
  </si>
  <si>
    <t>VERANO</t>
  </si>
  <si>
    <t>SARAVIA</t>
  </si>
  <si>
    <t>WILFREDO</t>
  </si>
  <si>
    <t>27/02/1963</t>
  </si>
  <si>
    <t>https://mpesije.jne.gob.pe/apidocs/f9434b58-54bc-4456-9354-653e00d90003.jpg</t>
  </si>
  <si>
    <t>https://mpesije.jne.gob.pe/apidocs/26d97157-c8a8-4023-847a-5609b5409b00.pdf</t>
  </si>
  <si>
    <t>PARTIDO CIVICO OBRAS</t>
  </si>
  <si>
    <t>07651031</t>
  </si>
  <si>
    <t>ASTUCURI LAURA, ROGER MIGUEL</t>
  </si>
  <si>
    <t>ASTUCURI</t>
  </si>
  <si>
    <t>LAURA</t>
  </si>
  <si>
    <t>ROGER MIGUEL</t>
  </si>
  <si>
    <t>03/09/1960</t>
  </si>
  <si>
    <t>LURIGANCHO</t>
  </si>
  <si>
    <t>https://mpesije.jne.gob.pe/apidocs/ca28ff0a-b929-4dae-87b6-d49dc63f75ac.jpg</t>
  </si>
  <si>
    <t>https://mpesije.jne.gob.pe/apidocs/1ae39a6e-ce49-4e8d-9354-e609b53c2d20.pdf</t>
  </si>
  <si>
    <t>10063223</t>
  </si>
  <si>
    <t>BARRAGAN COLOMA, DANIEL HUGO</t>
  </si>
  <si>
    <t>BARRAGAN</t>
  </si>
  <si>
    <t>COLOMA</t>
  </si>
  <si>
    <t>DANIEL HUGO</t>
  </si>
  <si>
    <t>21/08/1961</t>
  </si>
  <si>
    <t>PRIMER VICEPRESIDENTE DE LA REPÚBLICA</t>
  </si>
  <si>
    <t>https://mpesije.jne.gob.pe/apidocs/15595890-de24-4f14-b4f6-bd9b5e10372a.jpg</t>
  </si>
  <si>
    <t>https://mpesije.jne.gob.pe/apidocs/6a216000-4a97-4d48-94f0-5ac8d5186e12.pdf</t>
  </si>
  <si>
    <t>07250032</t>
  </si>
  <si>
    <t>FLORES CORDOVA, AGRIPINA MARIA DEL PILAR</t>
  </si>
  <si>
    <t>CORDOVA</t>
  </si>
  <si>
    <t>AGRIPINA MARIA DEL PILAR</t>
  </si>
  <si>
    <t>23/06/1950</t>
  </si>
  <si>
    <t>MAGDALENA DEL MAR</t>
  </si>
  <si>
    <t>https://mpesije.jne.gob.pe/apidocs/1c31e830-418b-4987-adc6-47f3007dd2bb.jpg</t>
  </si>
  <si>
    <t>https://mpesije.jne.gob.pe/apidocs/e75ecce3-6eb6-4315-b4a5-a3755c2dce0c.pdf</t>
  </si>
  <si>
    <t>07412350</t>
  </si>
  <si>
    <t>GAGO RODRIGUEZ, WALTER FRANCISCO</t>
  </si>
  <si>
    <t>GAGO</t>
  </si>
  <si>
    <t>RODRIGUEZ</t>
  </si>
  <si>
    <t>WALTER FRANCISCO</t>
  </si>
  <si>
    <t>13/07/1961</t>
  </si>
  <si>
    <t>CAÑETE</t>
  </si>
  <si>
    <t>SAN VICENTE DE CAÑETE</t>
  </si>
  <si>
    <t>https://mpesije.jne.gob.pe/apidocs/7d624b9c-c411-46c2-9368-5f1280b8646b.jpg</t>
  </si>
  <si>
    <t>https://mpesije.jne.gob.pe/apidocs/75515f26-f0c4-4a79-9c09-d93ed7aae1bd.pdf</t>
  </si>
  <si>
    <t>00422672</t>
  </si>
  <si>
    <t>TICONA COHAILA, JUANA GUISELLA</t>
  </si>
  <si>
    <t>TICONA</t>
  </si>
  <si>
    <t>COHAILA</t>
  </si>
  <si>
    <t>JUANA GUISELLA</t>
  </si>
  <si>
    <t>30/05/1963</t>
  </si>
  <si>
    <t>TACNA</t>
  </si>
  <si>
    <t>https://mpesije.jne.gob.pe/apidocs/35cb22aa-fee5-4341-b50c-2eaac0ddbb13.jpg</t>
  </si>
  <si>
    <t>https://mpesije.jne.gob.pe/apidocs/a3916658-d255-4bd2-b224-1059d32c8bbf.pdf</t>
  </si>
  <si>
    <t>PARTIDO DEL BUEN GOBIERNO</t>
  </si>
  <si>
    <t>06519219</t>
  </si>
  <si>
    <t>BONIFAZ CARMONA, NORA</t>
  </si>
  <si>
    <t>BONIFAZ</t>
  </si>
  <si>
    <t>CARMONA</t>
  </si>
  <si>
    <t>NORA</t>
  </si>
  <si>
    <t>08/06/1954</t>
  </si>
  <si>
    <t>https://mpesije.jne.gob.pe/apidocs/f8a01e27-807f-4d43-a555-48f03cfe5baf.jpg</t>
  </si>
  <si>
    <t>https://mpesije.jne.gob.pe/apidocs/d092ca57-99b7-480c-bab3-4b7d3b8114ba.pdf</t>
  </si>
  <si>
    <t>43360309</t>
  </si>
  <si>
    <t>CABALLERO LEON, CARLOS DAVID</t>
  </si>
  <si>
    <t>CABALLERO</t>
  </si>
  <si>
    <t>LEON</t>
  </si>
  <si>
    <t>CARLOS DAVID</t>
  </si>
  <si>
    <t>03/05/1963</t>
  </si>
  <si>
    <t>SEGUNDO VICEPRESIDENTE DE LA REPÚBLICA</t>
  </si>
  <si>
    <t>https://mpesije.jne.gob.pe/apidocs/22e7b027-0df4-461c-8fd9-1bc297a95caf.jpg</t>
  </si>
  <si>
    <t>https://mpesije.jne.gob.pe/apidocs/b7946182-ad32-409c-bb75-9ea7498fa803.pdf</t>
  </si>
  <si>
    <t>07793210</t>
  </si>
  <si>
    <t>FIGALLO RIVADENEYRA, FLAVIO FELIPE</t>
  </si>
  <si>
    <t>FIGALLO</t>
  </si>
  <si>
    <t>RIVADENEYRA</t>
  </si>
  <si>
    <t>FLAVIO FELIPE</t>
  </si>
  <si>
    <t>24/12/1953</t>
  </si>
  <si>
    <t>https://mpesije.jne.gob.pe/apidocs/3e078903-65e7-4fe8-9c87-89be503223a7.jpg</t>
  </si>
  <si>
    <t>https://mpesije.jne.gob.pe/apidocs/bfbc620a-52a4-4ac5-8182-621d447b7fba.pdf</t>
  </si>
  <si>
    <t>30762511</t>
  </si>
  <si>
    <t>FLORES SUAREZ, JUVER NILSON</t>
  </si>
  <si>
    <t>SUAREZ</t>
  </si>
  <si>
    <t>JUVER NILSON</t>
  </si>
  <si>
    <t>05/04/1973</t>
  </si>
  <si>
    <t>CAMANA</t>
  </si>
  <si>
    <t>https://mpesije.jne.gob.pe/apidocs/9d17d4fc-7d1c-4e45-96ab-4361c6fe286a.jpg</t>
  </si>
  <si>
    <t>https://mpesije.jne.gob.pe/apidocs/4c33feea-65d4-4394-9edb-000badafb43b.pdf</t>
  </si>
  <si>
    <t>07619185</t>
  </si>
  <si>
    <t>GAVIDIA RODRIGUEZ, JORGE OCTAVIO</t>
  </si>
  <si>
    <t>GAVIDIA</t>
  </si>
  <si>
    <t>JORGE OCTAVIO</t>
  </si>
  <si>
    <t>16/06/1968</t>
  </si>
  <si>
    <t>Mayormente resido en: Bartolomé de las Casas 296, Santa Patricia, La Molina, Lima (Alquilado)</t>
  </si>
  <si>
    <t>https://mpesije.jne.gob.pe/apidocs/7348e9ca-1d86-470e-af99-1be833a166d3.jpg</t>
  </si>
  <si>
    <t>https://mpesije.jne.gob.pe/apidocs/38c9ab76-8a7b-4b09-8251-712162294305.pdf</t>
  </si>
  <si>
    <t>07231335</t>
  </si>
  <si>
    <t>ITURREGUI BYRNE, PATRICIA MILAGROS</t>
  </si>
  <si>
    <t>ITURREGUI</t>
  </si>
  <si>
    <t>BYRNE</t>
  </si>
  <si>
    <t>PATRICIA MILAGROS</t>
  </si>
  <si>
    <t>18/05/1953</t>
  </si>
  <si>
    <t>https://mpesije.jne.gob.pe/apidocs/1596b93e-f1f1-44e5-a76c-386c100a888d.jpg</t>
  </si>
  <si>
    <t>https://mpesije.jne.gob.pe/apidocs/70880c4c-58a3-4fcf-81e8-c7de76fa1446.pdf</t>
  </si>
  <si>
    <t>06876967</t>
  </si>
  <si>
    <t>MATUTE CHARUN, SUSANA FLOR DE MARIA</t>
  </si>
  <si>
    <t>MATUTE</t>
  </si>
  <si>
    <t>CHARUN</t>
  </si>
  <si>
    <t>SUSANA FLOR DE MARIA</t>
  </si>
  <si>
    <t>12/06/1965</t>
  </si>
  <si>
    <t>PUEBLO LIBRE</t>
  </si>
  <si>
    <t>https://mpesije.jne.gob.pe/apidocs/63c487f6-0e92-45ec-8d58-5fed3a35e368.jpg</t>
  </si>
  <si>
    <t>https://mpesije.jne.gob.pe/apidocs/650515c4-438a-47e5-8f0f-1494a7716244.pdf</t>
  </si>
  <si>
    <t>RENOVACION POPULAR</t>
  </si>
  <si>
    <t>08235876</t>
  </si>
  <si>
    <t>ALCORTA SUERO, MARIA LOURDES PIA LUISA</t>
  </si>
  <si>
    <t>ALCORTA</t>
  </si>
  <si>
    <t>SUERO</t>
  </si>
  <si>
    <t>MARIA LOURDES PIA LUISA</t>
  </si>
  <si>
    <t>21/06/1951</t>
  </si>
  <si>
    <t>https://mpesije.jne.gob.pe/apidocs/0a50619c-a4b3-4580-bdee-146c75827d2c.jpg</t>
  </si>
  <si>
    <t>https://mpesije.jne.gob.pe/apidocs/440ebb09-edfe-4ca7-9d2c-8659c6aff6f5.pdf</t>
  </si>
  <si>
    <t>25799622</t>
  </si>
  <si>
    <t>AMPUERO MEZA, KATHERINE MILAGROS</t>
  </si>
  <si>
    <t>AMPUERO</t>
  </si>
  <si>
    <t>MEZA</t>
  </si>
  <si>
    <t>KATHERINE MILAGROS</t>
  </si>
  <si>
    <t>05/11/1975</t>
  </si>
  <si>
    <t>CHACHAPOYAS</t>
  </si>
  <si>
    <t>https://mpesije.jne.gob.pe/apidocs/6574b5ec-9453-4117-8f95-80cf0bcb4371.jpg</t>
  </si>
  <si>
    <t>https://mpesije.jne.gob.pe/apidocs/f97f7d87-0cf7-4366-a4e3-c885d8aa1977.pdf</t>
  </si>
  <si>
    <t>43285320</t>
  </si>
  <si>
    <t>CALISTO GIAMPIETRI, FRANCISCO JOSE</t>
  </si>
  <si>
    <t>CALISTO</t>
  </si>
  <si>
    <t>GIAMPIETRI</t>
  </si>
  <si>
    <t>FRANCISCO JOSE</t>
  </si>
  <si>
    <t>28/02/1961</t>
  </si>
  <si>
    <t>https://mpesije.jne.gob.pe/apidocs/552d520b-f83d-4e86-86c4-f55840c252be.jpg</t>
  </si>
  <si>
    <t>https://mpesije.jne.gob.pe/apidocs/321d680e-20b8-4049-94a9-a0a00b3fde03.pdf</t>
  </si>
  <si>
    <t>07852432</t>
  </si>
  <si>
    <t>JAUREGUI MARTINEZ DE AGUAYO, MARIA DE LOS MILAGROS JACKELINE</t>
  </si>
  <si>
    <t>JAUREGUI</t>
  </si>
  <si>
    <t>MARTINEZ DE AGUAYO</t>
  </si>
  <si>
    <t>MARIA DE LOS MILAGROS JACKELINE</t>
  </si>
  <si>
    <t>16/06/1963</t>
  </si>
  <si>
    <t>https://mpesije.jne.gob.pe/apidocs/b0d9cd02-a849-4579-8091-2c6903eec61a.jpg</t>
  </si>
  <si>
    <t>https://mpesije.jne.gob.pe/apidocs/ae9a2ed0-e060-4adc-8ea5-81473a1d59a1.pdf</t>
  </si>
  <si>
    <t>07845838</t>
  </si>
  <si>
    <t>LÓPEZ ALIAGA CAZORLA, RAFAEL BERNARDO</t>
  </si>
  <si>
    <t>LÓPEZ ALIAGA</t>
  </si>
  <si>
    <t>CAZORLA</t>
  </si>
  <si>
    <t>RAFAEL BERNARDO</t>
  </si>
  <si>
    <t>11/02/1961</t>
  </si>
  <si>
    <t>https://mpesije.jne.gob.pe/apidocs/b2e00ae2-1e50-4ad3-a103-71fc7e4e8255.jpg</t>
  </si>
  <si>
    <t>https://mpesije.jne.gob.pe/apidocs/3d7498fe-7a54-4f7d-882e-c5cdfd2ba26b.pdf</t>
  </si>
  <si>
    <t>01539305</t>
  </si>
  <si>
    <t>MANCHA PINEDA, ESTANISLAO EDGAR</t>
  </si>
  <si>
    <t>MANCHA</t>
  </si>
  <si>
    <t>PINEDA</t>
  </si>
  <si>
    <t>ESTANISLAO EDGAR</t>
  </si>
  <si>
    <t>19/11/1973</t>
  </si>
  <si>
    <t>AZANGARO</t>
  </si>
  <si>
    <t>SAN ANTON</t>
  </si>
  <si>
    <t>https://mpesije.jne.gob.pe/apidocs/278ecb43-645b-460c-82f0-b310cbb72289.jpg</t>
  </si>
  <si>
    <t>https://mpesije.jne.gob.pe/apidocs/cff4c882-00b3-4a6a-aca5-7bbc07ae3837.pdf</t>
  </si>
  <si>
    <t>45209282</t>
  </si>
  <si>
    <t>MUÑANTE BARRIOS, ALEJANDRO</t>
  </si>
  <si>
    <t>MUÑANTE</t>
  </si>
  <si>
    <t>BARRIOS</t>
  </si>
  <si>
    <t>ALEJANDRO</t>
  </si>
  <si>
    <t>02/03/1987</t>
  </si>
  <si>
    <t>ES ACTUALMENTE CONGRESISTA.</t>
  </si>
  <si>
    <t>https://mpesije.jne.gob.pe/apidocs/bcf375ae-6a90-4f80-8ed3-37c2c43efbca.jpg</t>
  </si>
  <si>
    <t>https://mpesije.jne.gob.pe/apidocs/60f97c6b-ac8f-414a-b4f9-e45f6f680f17.pdf</t>
  </si>
  <si>
    <t>06504611</t>
  </si>
  <si>
    <t>VELASQUEZ GARCIA, MIGUEL ANGEL</t>
  </si>
  <si>
    <t>GARCIA</t>
  </si>
  <si>
    <t>MIGUEL ANGEL</t>
  </si>
  <si>
    <t>05/01/1962</t>
  </si>
  <si>
    <t>JESUS MARIA</t>
  </si>
  <si>
    <t>PERUANOS RESIDENTES EN EL EXTRANJERO</t>
  </si>
  <si>
    <t>https://mpesije.jne.gob.pe/apidocs/f526053a-32bd-4f15-b314-92c9603db466.jpg</t>
  </si>
  <si>
    <t>https://mpesije.jne.gob.pe/apidocs/10a7d2e3-71b6-48fe-adf1-e974a7119e3f.pdf</t>
  </si>
  <si>
    <t>40433187</t>
  </si>
  <si>
    <t>TORRES MORALES, MIGUEL ANGEL</t>
  </si>
  <si>
    <t>TORRES</t>
  </si>
  <si>
    <t>18/02/1980</t>
  </si>
  <si>
    <t>LINCE</t>
  </si>
  <si>
    <t>https://mpesije.jne.gob.pe/apidocs/789b7714-8633-4a59-a89b-7fab4646fef1.jpeg</t>
  </si>
  <si>
    <t>https://mpesije.jne.gob.pe/apidocs/99872797-b3bf-452e-939b-06d1cdeaa917.pdf</t>
  </si>
  <si>
    <t>02044988</t>
  </si>
  <si>
    <t>CHIPANA CHIPANA, JOSE MOISES</t>
  </si>
  <si>
    <t>CHIPANA</t>
  </si>
  <si>
    <t>JOSE MOISES</t>
  </si>
  <si>
    <t>29/08/1974</t>
  </si>
  <si>
    <t>HUANCANE</t>
  </si>
  <si>
    <t>23271450</t>
  </si>
  <si>
    <t>YAURI TUNQUE, JOAQUIN</t>
  </si>
  <si>
    <t>YAURI</t>
  </si>
  <si>
    <t>TUNQUE</t>
  </si>
  <si>
    <t>JOAQUIN</t>
  </si>
  <si>
    <t>16/08/1974</t>
  </si>
  <si>
    <t>31010129</t>
  </si>
  <si>
    <t>RAMOS HUILLCAS, ANDRES AVELINO</t>
  </si>
  <si>
    <t>RAMOS</t>
  </si>
  <si>
    <t>HUILLCAS</t>
  </si>
  <si>
    <t>ANDRES AVELINO</t>
  </si>
  <si>
    <t>10/11/1958</t>
  </si>
  <si>
    <t>APURIMAC</t>
  </si>
  <si>
    <t>ABANCAY</t>
  </si>
  <si>
    <t>PICHIRHUA</t>
  </si>
  <si>
    <t>COUNTA of DNI_CANDIDATO</t>
  </si>
  <si>
    <t>PARIDAD</t>
  </si>
  <si>
    <t>(en blanco)</t>
  </si>
  <si>
    <t>% mujeres</t>
  </si>
  <si>
    <t>% hombres</t>
  </si>
  <si>
    <t>Total general</t>
  </si>
  <si>
    <t>AVERAGE of EDAD</t>
  </si>
  <si>
    <t>MAX of EDAD</t>
  </si>
  <si>
    <t>MIN of EDAD</t>
  </si>
  <si>
    <t>Total candidatos</t>
  </si>
  <si>
    <t>Mujeres</t>
  </si>
  <si>
    <t>Hombres</t>
  </si>
  <si>
    <t>Edad promedio</t>
  </si>
  <si>
    <t>Edad mediana</t>
  </si>
  <si>
    <t>Edad mínima</t>
  </si>
  <si>
    <t>Edad máxima</t>
  </si>
  <si>
    <t>TIENE_EXPERIENCIA_LABORAL</t>
  </si>
  <si>
    <t>CENTRO_TRABAJO</t>
  </si>
  <si>
    <t>PROFESION_OCUPACION</t>
  </si>
  <si>
    <t>RUC</t>
  </si>
  <si>
    <t>DIRECCION</t>
  </si>
  <si>
    <t>AÑO_DESDE</t>
  </si>
  <si>
    <t>AÑO_HASTA</t>
  </si>
  <si>
    <t>PAIS</t>
  </si>
  <si>
    <t>DEPARTAMENTO</t>
  </si>
  <si>
    <t>PROVINCIA</t>
  </si>
  <si>
    <t>DISTRITO</t>
  </si>
  <si>
    <t>INFORMACION_ADICIONAL</t>
  </si>
  <si>
    <t>TRABAJO_CONGRESO</t>
  </si>
  <si>
    <t>SI</t>
  </si>
  <si>
    <t>Congreso de la República</t>
  </si>
  <si>
    <t>Asesor</t>
  </si>
  <si>
    <t>20161749126</t>
  </si>
  <si>
    <t>Av. Abancay</t>
  </si>
  <si>
    <t>2024</t>
  </si>
  <si>
    <t>2025</t>
  </si>
  <si>
    <t>PERU</t>
  </si>
  <si>
    <t>Trabajé hasta el 28 de noviembre como asesor de la comisión de defensa del consumidor.</t>
  </si>
  <si>
    <t>2020</t>
  </si>
  <si>
    <t>Congresista</t>
  </si>
  <si>
    <t>2011</t>
  </si>
  <si>
    <t>2016</t>
  </si>
  <si>
    <t>Defensoría del Pueblo</t>
  </si>
  <si>
    <t>Jirón Ucayali 394 - 398</t>
  </si>
  <si>
    <t>2021</t>
  </si>
  <si>
    <t>Universidad Nacional de Ingeniería</t>
  </si>
  <si>
    <t>Director de la Escuela de Ingeniería Económica</t>
  </si>
  <si>
    <t>Av. Tupac Amaru 210</t>
  </si>
  <si>
    <t>2017</t>
  </si>
  <si>
    <t>2019</t>
  </si>
  <si>
    <t>RIMAC</t>
  </si>
  <si>
    <t>Rector</t>
  </si>
  <si>
    <t>Profesor Principal</t>
  </si>
  <si>
    <t>1990</t>
  </si>
  <si>
    <t>Derechos Humanos sin Fronteras</t>
  </si>
  <si>
    <t>Abogada - Directora Ejecutiva</t>
  </si>
  <si>
    <t>20491238764</t>
  </si>
  <si>
    <t>Barrio Profesional A-8 tercer piso</t>
  </si>
  <si>
    <t>2013</t>
  </si>
  <si>
    <t>Asesora</t>
  </si>
  <si>
    <t>Av. Abancay S/N</t>
  </si>
  <si>
    <t>Av. Hospicio Ruiz Dávila Jr. Ancash 369</t>
  </si>
  <si>
    <t>ONG Grufides</t>
  </si>
  <si>
    <t>Asesor legal</t>
  </si>
  <si>
    <t>20453691536</t>
  </si>
  <si>
    <t>Jr Cruz de Piedra No 441</t>
  </si>
  <si>
    <t>2023</t>
  </si>
  <si>
    <t>Presidencia del Consejo de Ministros</t>
  </si>
  <si>
    <t>Presidenta del Consejo de Ministros</t>
  </si>
  <si>
    <t>Jirón Carabaya Cdra. 1 S/N</t>
  </si>
  <si>
    <t>2022</t>
  </si>
  <si>
    <t>07/10/2021 a 30/01/2022</t>
  </si>
  <si>
    <t>Universidad de Ciencias y Humanidades</t>
  </si>
  <si>
    <t>Docente</t>
  </si>
  <si>
    <t>Av. Universitaria 5175</t>
  </si>
  <si>
    <t>LOS OLIVOS</t>
  </si>
  <si>
    <t>Pontificia Universidad Católica del Perú</t>
  </si>
  <si>
    <t>Av. Universitaria 1801</t>
  </si>
  <si>
    <t>SAN MIGUEL</t>
  </si>
  <si>
    <t>Congresista de la República</t>
  </si>
  <si>
    <t>Plaza Bolívar S/N</t>
  </si>
  <si>
    <t>16/03/2020 a 27/07/2021</t>
  </si>
  <si>
    <t>CONGRESO DE LA REPÚBLICA</t>
  </si>
  <si>
    <t>CONGRESISTA</t>
  </si>
  <si>
    <t>JR. HUALLAGA 358 - LIMA</t>
  </si>
  <si>
    <t>CONGRESISTA EN EJERCICIO HASTA EL AÑO 2026</t>
  </si>
  <si>
    <t>HOSPITAL NACIONAL ARZOBISPO LOAYZA</t>
  </si>
  <si>
    <t>MÉDICO ESPECIALISTA</t>
  </si>
  <si>
    <t>20154996991</t>
  </si>
  <si>
    <t>AV. ALFONSO UGARTE 848</t>
  </si>
  <si>
    <t>1986</t>
  </si>
  <si>
    <t>MÉDICO ESPECIALISTA NIVEL 5.</t>
  </si>
  <si>
    <t>UNIVERSIDAD CIENTÍFICA DEL SUR</t>
  </si>
  <si>
    <t>DOCENTE</t>
  </si>
  <si>
    <t>20421239275</t>
  </si>
  <si>
    <t>CARRETERA PANAMERICANA SUR 19.</t>
  </si>
  <si>
    <t>VILLA EL SALVADOR</t>
  </si>
  <si>
    <t>Ministerio de Economía y Finanzas</t>
  </si>
  <si>
    <t>Ministro de Estado</t>
  </si>
  <si>
    <t>20131370645</t>
  </si>
  <si>
    <t>Jr. Junín 319, Cercado de Lima.</t>
  </si>
  <si>
    <t>Ministerio de Educación</t>
  </si>
  <si>
    <t>Consultor</t>
  </si>
  <si>
    <t>20131370998</t>
  </si>
  <si>
    <t>Calle Del Comercio 193</t>
  </si>
  <si>
    <t>2015</t>
  </si>
  <si>
    <t>SAN BORJA</t>
  </si>
  <si>
    <t>Corporación Andina de Fomento</t>
  </si>
  <si>
    <t>20508260581</t>
  </si>
  <si>
    <t>Av. Canaval y Moreyra 380</t>
  </si>
  <si>
    <t>2018</t>
  </si>
  <si>
    <t>Consultor externo.</t>
  </si>
  <si>
    <t>Ministerio de Agricultura y Riego</t>
  </si>
  <si>
    <t>20131372931</t>
  </si>
  <si>
    <t>Jirón Cahuide 805</t>
  </si>
  <si>
    <t>Comando Conjunto de las FFAA</t>
  </si>
  <si>
    <t>Jefe</t>
  </si>
  <si>
    <t>Av. Arequipa / Av. Nicolas Corpancho, Santa Beatriz</t>
  </si>
  <si>
    <t>Ejército del Perú</t>
  </si>
  <si>
    <t>Inspector</t>
  </si>
  <si>
    <t>Cuartel General del Ejército Peruano</t>
  </si>
  <si>
    <t>Comandante</t>
  </si>
  <si>
    <t>Cuartel del Ejército Peruano en Pichari</t>
  </si>
  <si>
    <t>2014</t>
  </si>
  <si>
    <t>LA CONVENCION</t>
  </si>
  <si>
    <t>PICHARI</t>
  </si>
  <si>
    <t>Comandante General</t>
  </si>
  <si>
    <t>INVERSIONES GENERALES AMAT SAC</t>
  </si>
  <si>
    <t>Gerente General</t>
  </si>
  <si>
    <t>Av. Pardo #1380</t>
  </si>
  <si>
    <t>2006</t>
  </si>
  <si>
    <t>La empresa se encuentra de baja conforme aparece en SUNAT</t>
  </si>
  <si>
    <t>Inversiones Generales ARIBET Corporation SAC.</t>
  </si>
  <si>
    <t>Av. Pardo N° 1500</t>
  </si>
  <si>
    <t>2012</t>
  </si>
  <si>
    <t>Plaza Bolívar, Av. Abancay s/n, en el Cercado de Lima</t>
  </si>
  <si>
    <t>Actualmente se desempeña como congresista de la república por el periodo legislativo 2021-2026</t>
  </si>
  <si>
    <t>BOTICA ROMA</t>
  </si>
  <si>
    <t>Director Técnico - Químico Farmaceútico</t>
  </si>
  <si>
    <t>Av. Alberto Reyes 123-124</t>
  </si>
  <si>
    <t>HUARMEY</t>
  </si>
  <si>
    <t>CONSTRUREDES</t>
  </si>
  <si>
    <t>Conductor de vehículo</t>
  </si>
  <si>
    <t>Alameda Premio Real Mz D, Lt. 10</t>
  </si>
  <si>
    <t>CHORRILLOS</t>
  </si>
  <si>
    <t>Av. Abancay - Plaza Bolivar S/N</t>
  </si>
  <si>
    <t>Fui congresista en el Congreso Complementario.</t>
  </si>
  <si>
    <t>Universidad Privada San Juan Bautista</t>
  </si>
  <si>
    <t>Av. San Luis 1923</t>
  </si>
  <si>
    <t>2007</t>
  </si>
  <si>
    <t>He sido docente a tiempo parcial en la Escuela de Derecho.</t>
  </si>
  <si>
    <t>Continúo laborando hasta la actualidad.</t>
  </si>
  <si>
    <t>CONGRESO DE LA REPUBLICA</t>
  </si>
  <si>
    <t>PLAZA BOLIVAR - AV ABANCAY</t>
  </si>
  <si>
    <t>EL PERIODO DE ELECCION FUE DEL 2016 AL 2021, PERO FUE INTERRUMPIDO POR EL CIERRE INCONSTITUCIONAL DEL CONGRESO EL 30 DE SETIEMBRE DE 2019</t>
  </si>
  <si>
    <t>AMAZONIA PRODUCCIONES E.I.R.L</t>
  </si>
  <si>
    <t>TITULAR GERENTE</t>
  </si>
  <si>
    <t>CALLE ATLANTIDA 741-821</t>
  </si>
  <si>
    <t>MINISTERIO DE RELACIONES EXTERIORES</t>
  </si>
  <si>
    <t>ASESOR AD-HONOREM</t>
  </si>
  <si>
    <t>JR. LAMPA 545</t>
  </si>
  <si>
    <t>AV. ABANCAY S/N</t>
  </si>
  <si>
    <t>HASTA LA ACTUALIDAD</t>
  </si>
  <si>
    <t>FARMEDICA S.A.C.</t>
  </si>
  <si>
    <t>GERENTE GENERAL</t>
  </si>
  <si>
    <t>20440481087</t>
  </si>
  <si>
    <t>AV. PROLONGACIÓN UNIÓN 1570 - ANDRES RAZURI</t>
  </si>
  <si>
    <t>2003</t>
  </si>
  <si>
    <t>CLINICA SALUD FARMEDICA S.A.C.</t>
  </si>
  <si>
    <t>20477280022</t>
  </si>
  <si>
    <t>AV. PROLONGACION UNION NRO. 1582</t>
  </si>
  <si>
    <t>UNIVERSIDAD PRIVADA DE HUANCAYO FRANKLIN ROOSEVELT</t>
  </si>
  <si>
    <t>20541310038</t>
  </si>
  <si>
    <t>AV. GIRALDEZ 542</t>
  </si>
  <si>
    <t>2010</t>
  </si>
  <si>
    <t>Congreso de la Republica del Perú</t>
  </si>
  <si>
    <t>Asesora del Congreso de la Republica</t>
  </si>
  <si>
    <t>Jr. Huallaga 358</t>
  </si>
  <si>
    <t>Mi periodo como congresista culmina en el 2026.</t>
  </si>
  <si>
    <t>Abogada Independiente</t>
  </si>
  <si>
    <t>Abogada</t>
  </si>
  <si>
    <t>10078314368</t>
  </si>
  <si>
    <t>Prolongación Arenales Nro. 863</t>
  </si>
  <si>
    <t>Municipalidad de Lima</t>
  </si>
  <si>
    <t>Regidora</t>
  </si>
  <si>
    <t>20131380951</t>
  </si>
  <si>
    <t>Jr. de la Unión Nro. 300</t>
  </si>
  <si>
    <t>Municipalidad de Miraflores</t>
  </si>
  <si>
    <t>Secretaria General</t>
  </si>
  <si>
    <t>20131377224</t>
  </si>
  <si>
    <t>Av. Larco S/N</t>
  </si>
  <si>
    <t>Superintendencia Nacional de Educación Superior Universitaria - Sunedu</t>
  </si>
  <si>
    <t>Jefe de Asesoría Jurídica</t>
  </si>
  <si>
    <t>Calle Aldabas 337</t>
  </si>
  <si>
    <t>SANTIAGO DE SURCO</t>
  </si>
  <si>
    <t>Hasta la actualidad.</t>
  </si>
  <si>
    <t>Carlos Mesía &amp; Abogados S.A.C.</t>
  </si>
  <si>
    <t>Gerente General - Abogado</t>
  </si>
  <si>
    <t>Calle Los Médicos 176, dpto 301 - Los Alámos IV, Monterrico</t>
  </si>
  <si>
    <t>Coordinador General de Asesores del Grupo Parlamentario Renovación Popular.</t>
  </si>
  <si>
    <t>Universidad San Martín de Porres - USMP</t>
  </si>
  <si>
    <t>Docente universitario</t>
  </si>
  <si>
    <t>Av. Javier Prado Oeste 580</t>
  </si>
  <si>
    <t>JR. HUALLAGA 358</t>
  </si>
  <si>
    <t>DESDE JULIO 2026 HASTA SETIEMBRE 2019</t>
  </si>
  <si>
    <t>GOBERNA ANALITICS SAC</t>
  </si>
  <si>
    <t>EXPOSITOR</t>
  </si>
  <si>
    <t>20604038953</t>
  </si>
  <si>
    <t>AV. MANUEL OLGUIN 321. INT.603</t>
  </si>
  <si>
    <t>HE DICTADO 5 CONFERENCIAS ESTE AÑO</t>
  </si>
  <si>
    <t>ASESOR</t>
  </si>
  <si>
    <t>AV. HUALLAGA 358</t>
  </si>
  <si>
    <t>DESDE AGOSTO 2021 HASTA LA ACTUALIDAD</t>
  </si>
  <si>
    <t>MUNICIPALIDAD METROPOLITANA DE LIMA</t>
  </si>
  <si>
    <t>REGIDOR</t>
  </si>
  <si>
    <t>JR. CONDE SUPERUNDA 169. 3ER PISO</t>
  </si>
  <si>
    <t>REGIDOR DESDE ENERO 2015 HASTA JULIO 2016</t>
  </si>
  <si>
    <t>COMPLEJO AGROINDUSTRIAL BETA SAC</t>
  </si>
  <si>
    <t>CALLE LEOPOLDO CARRILLO 160</t>
  </si>
  <si>
    <t>CHINCHA</t>
  </si>
  <si>
    <t>CHINCHA ALTA</t>
  </si>
  <si>
    <t>REALIC|É EXPOSICIONES LOS DÍAS 5, 6, 7, 8 Y 13 DE NOVIEMBRE</t>
  </si>
  <si>
    <t>Municipalidad Metropolitana de Lima</t>
  </si>
  <si>
    <t>Jr. Conde de Superunda N° 141</t>
  </si>
  <si>
    <t>Ministerio de Trabajo y Promoción del Empleo</t>
  </si>
  <si>
    <t>Técnica en formalización</t>
  </si>
  <si>
    <t>20124838010</t>
  </si>
  <si>
    <t>Av. Salaverry 655</t>
  </si>
  <si>
    <t>Servicios por terceros.</t>
  </si>
  <si>
    <t>MUNICIPALIDAD DISTRITAL DE BREÑA</t>
  </si>
  <si>
    <t>GERENTE DE DESARROLLO HUMANO</t>
  </si>
  <si>
    <t>AV ARICA 500</t>
  </si>
  <si>
    <t>BRENA</t>
  </si>
  <si>
    <t>Plaza de la Constitución, Av. Abancay s/n</t>
  </si>
  <si>
    <t>El cargo de congresista es hasta julio 2026.</t>
  </si>
  <si>
    <t>VICTOR MANUEL NORIEGA REATEGUI</t>
  </si>
  <si>
    <t>GINECOLOGO</t>
  </si>
  <si>
    <t>10178067601</t>
  </si>
  <si>
    <t>JR SAN MARTIN 271</t>
  </si>
  <si>
    <t>TARAPOTO</t>
  </si>
  <si>
    <t>CONSULTORIO MEDICO EN LA CLINICA SAN MARTIN</t>
  </si>
  <si>
    <t>UNIDAD EJECUTORA HOSPITAL II-2 TARAPOTO</t>
  </si>
  <si>
    <t>GINECO-OBSTETRA</t>
  </si>
  <si>
    <t>20494013453</t>
  </si>
  <si>
    <t>Jr. Angel Delgado Morey Nro. 503</t>
  </si>
  <si>
    <t>con interrupcion durante el periodo del ejercicio de gobernador regional del 2015 al 2018</t>
  </si>
  <si>
    <t>UNIVERSIDAD NACIONAL SAN MARTIN</t>
  </si>
  <si>
    <t>profesor auxiliar tiempo parcial</t>
  </si>
  <si>
    <t>20160766191</t>
  </si>
  <si>
    <t>jr amorarca 334</t>
  </si>
  <si>
    <t>renunciando el 2019, con interrupcion durante el periodo de gobernador regional 2015 al 2018</t>
  </si>
  <si>
    <t>Farenet</t>
  </si>
  <si>
    <t>Apoderado</t>
  </si>
  <si>
    <t>Calle Burgos N° 580</t>
  </si>
  <si>
    <t>2008</t>
  </si>
  <si>
    <t>Farenet (grupo empresarial)</t>
  </si>
  <si>
    <t>Marsala - Eureka Park</t>
  </si>
  <si>
    <t>20604652201</t>
  </si>
  <si>
    <t>Miguel Dasso 160, Piso 8</t>
  </si>
  <si>
    <t>Prestando servicios en la actualidad.</t>
  </si>
  <si>
    <t>Elección Inteligente Comercializadora S.A.C.</t>
  </si>
  <si>
    <t>Administrador</t>
  </si>
  <si>
    <t>20608648667</t>
  </si>
  <si>
    <t>Av. Javier Prado Este N° 1921</t>
  </si>
  <si>
    <t>Grupo Farenet</t>
  </si>
  <si>
    <t>Miguel Dasso 160, piso 08</t>
  </si>
  <si>
    <t>Plaza Bolivar - Av. Abancay s/n</t>
  </si>
  <si>
    <t>FRC CONSULTORES E.I.R.L.</t>
  </si>
  <si>
    <t>Gerente</t>
  </si>
  <si>
    <t>20602717942</t>
  </si>
  <si>
    <t>Calle Thomas Ramsay 516</t>
  </si>
  <si>
    <t>OPERACIONES Y PROYECTOS INTEGRALES SAC</t>
  </si>
  <si>
    <t>ASESORAMIENTO EN GESTION PUBLICA Y PRIVADA</t>
  </si>
  <si>
    <t>20517651096</t>
  </si>
  <si>
    <t>AV PRIMAVERA 999, URB. CHACARILLA DEL ESTANQUE</t>
  </si>
  <si>
    <t>CLINICA SAN GABRIEL SAC</t>
  </si>
  <si>
    <t>ASESORIA</t>
  </si>
  <si>
    <t>20505018509</t>
  </si>
  <si>
    <t>AV LA MARINA 2955</t>
  </si>
  <si>
    <t>AV. ABANCAY S/N CERCADO</t>
  </si>
  <si>
    <t>PURE LNG SAC</t>
  </si>
  <si>
    <t>20603222408</t>
  </si>
  <si>
    <t>CARRETERA PAITA- SULLANA KM 45</t>
  </si>
  <si>
    <t>PAITA</t>
  </si>
  <si>
    <t>COLAN</t>
  </si>
  <si>
    <t>ASESORIAS ESPORÁDICAS</t>
  </si>
  <si>
    <t>MEDICO GINECOLOGO - OBSTETRA</t>
  </si>
  <si>
    <t>2004</t>
  </si>
  <si>
    <t>PRESTA LABORES HASTA LA ACTUALIDAD</t>
  </si>
  <si>
    <t>UNIVERSIDAD DE SAN MARTIN DE PORRES</t>
  </si>
  <si>
    <t>ALAMEDA EL CORREGIDOR 1531</t>
  </si>
  <si>
    <t>LA MOLINA</t>
  </si>
  <si>
    <t>DOCENTE EN LA FACULTAD DE MEDICINA</t>
  </si>
  <si>
    <t>CONGRESISTA DE LA REPUBLICA</t>
  </si>
  <si>
    <t>PLAZA BOLIVAR S/N</t>
  </si>
  <si>
    <t>CONGRESISTA PARA EL PERIODO 2016-2021, CONGRESO DISUELTO 2019</t>
  </si>
  <si>
    <t>UNIVERSIDAD NACIONAL FEDERICO VILLARREAL</t>
  </si>
  <si>
    <t>Jr. Río Chepén 290 - El Agustino</t>
  </si>
  <si>
    <t>EL AGUSTINO</t>
  </si>
  <si>
    <t>DOCENTE EN LA FACULTAD DE MEDICINA HASTA LA ACTUALIDAD</t>
  </si>
  <si>
    <t>JORGE VELASQUEZ PORTOCARRERO</t>
  </si>
  <si>
    <t>ABOGADO</t>
  </si>
  <si>
    <t>17177218103</t>
  </si>
  <si>
    <t>JR LIBERTAD 380 - TERCER PISO</t>
  </si>
  <si>
    <t>CORONEL PORTILLO</t>
  </si>
  <si>
    <t>CALLERIA</t>
  </si>
  <si>
    <t>TRABAJO DE FORMA INDEPENDIENTE - HASTA LA ACTUALIDAD</t>
  </si>
  <si>
    <t>IE Sudamericano</t>
  </si>
  <si>
    <t>asesoría legal</t>
  </si>
  <si>
    <t>Mz. B1 Lt. 12 - Los Cipreses</t>
  </si>
  <si>
    <t>SAN JUAN DE LURIGANCHO</t>
  </si>
  <si>
    <t>Desde 19.01.2015 hasta 17.09.2015.</t>
  </si>
  <si>
    <t>Mz. B- Lt.12 - Los Cipreses</t>
  </si>
  <si>
    <t>Del 08.08.2016 al 31.01.2021 y
del 05.04.2021 al 30.06.2021</t>
  </si>
  <si>
    <t>Congresista en funciones hasta 2026</t>
  </si>
  <si>
    <t>asesor</t>
  </si>
  <si>
    <t>Del 27.08.2015 al 31.10.2015 y 
del 12.11.2015 al 26.07.2016</t>
  </si>
  <si>
    <t>JR. RUFINO TORRICO NRO.1178 CERCADO DE LIMA</t>
  </si>
  <si>
    <t>INVERSIONES EN TURISMO PALERMO S.R.L.</t>
  </si>
  <si>
    <t>GERENTE COMERCIAL</t>
  </si>
  <si>
    <t>20609259541</t>
  </si>
  <si>
    <t>AV. JOSÉ MATIAS MANZANILLA NRO.187</t>
  </si>
  <si>
    <t>HASTA LA FECHA.</t>
  </si>
  <si>
    <t>CONSILIUM S.A.C.</t>
  </si>
  <si>
    <t>20548327025</t>
  </si>
  <si>
    <t>CALLE SAN JOSE TOMASAL 829 INT. 104</t>
  </si>
  <si>
    <t>POLLERÍAS EL PARADERO S.R.L.</t>
  </si>
  <si>
    <t>GERENTE MARKETING</t>
  </si>
  <si>
    <t>20602606181</t>
  </si>
  <si>
    <t>CALLE LIMA 139</t>
  </si>
  <si>
    <t>NO</t>
  </si>
  <si>
    <t>RED DE SALUD - LIMA NORTE</t>
  </si>
  <si>
    <t>ENCARGADO DE ARCHIVO CENTRAL</t>
  </si>
  <si>
    <t>INDEPENDENCIA</t>
  </si>
  <si>
    <t>INDEPENDIENTE</t>
  </si>
  <si>
    <t>EDUCACIÓN PARTICULAR</t>
  </si>
  <si>
    <t>UCV 32 LOTE 18 ZONA B HUAYCAN</t>
  </si>
  <si>
    <t>ATE</t>
  </si>
  <si>
    <t>MUNICIPALIDAD DE LIMA METROPOLITANA - SISOL</t>
  </si>
  <si>
    <t>ENCARGADO DE CONTROL PATRIMONIAL Y ADMINISTRACION DE CENTROS DE SALUD</t>
  </si>
  <si>
    <t>Despacho congresista Roberto Sánchez Palomino</t>
  </si>
  <si>
    <t>UNICIENCIA</t>
  </si>
  <si>
    <t>PROFESOR PREUNIVERSITARIO</t>
  </si>
  <si>
    <t>Independiente</t>
  </si>
  <si>
    <t>Agricultor / Ganadero</t>
  </si>
  <si>
    <t>Centro Poblado Puña</t>
  </si>
  <si>
    <t>1981</t>
  </si>
  <si>
    <t>DIRECCION GENERAL DE PROGRAMAS Y PROYECTOS EN CONSTRUCCION Y SANEAMIENTO DEL MINISTERIO DE VIVIENDA</t>
  </si>
  <si>
    <t>SERVICIO DE DIAGNOSTICO</t>
  </si>
  <si>
    <t>TAMBOPATA</t>
  </si>
  <si>
    <t>SERVICIO DE DIAGNOSTICO Y EVALUACIÓN SOCIAL PARA EL LOGRO DE LA DISPONIBILIDAD DE TERRRENO MONORRELLENO DEL PTAR PUERTO MALDONADO</t>
  </si>
  <si>
    <t>GOBIERNO REGIONAL DE MADRE DE DIOS</t>
  </si>
  <si>
    <t>ESPECIALISTA LEGAL</t>
  </si>
  <si>
    <t>JR. ANCASH S/N</t>
  </si>
  <si>
    <t>ESPECIALISTA LEGAL EN ORDENAMIENTO TERRITORIAL DEL PROYECTO DE INVERSIÓN PÚBLICA PARA FORTALECER LA GESTIÓN TERRITORIAL EN MADRE DE DIOS</t>
  </si>
  <si>
    <t>ESTUDIO JURIDICO CCAHUANA Y ABOGADOS</t>
  </si>
  <si>
    <t>ABOGADO DEFENSA LIBRE</t>
  </si>
  <si>
    <t>JR. TACNA 658</t>
  </si>
  <si>
    <t>2009</t>
  </si>
  <si>
    <t>JR. 28 DE JULIO S/N</t>
  </si>
  <si>
    <t>ESPECIALISTA EN DIAGNOSTICO LEGAL DE LA DIRECCIÓN DE SANEAMIENTO FISICO LEGAL DE PREDIOS AGRICOLAS DE MADRE DE DIOS - PROYRECTO DE INVERSIÓN PÚBLICA</t>
  </si>
  <si>
    <t>Congreso de la Republica</t>
  </si>
  <si>
    <t>Abogado</t>
  </si>
  <si>
    <t>PJ JHON F KENNEDY F 3</t>
  </si>
  <si>
    <t>ILO</t>
  </si>
  <si>
    <t>Ministro</t>
  </si>
  <si>
    <t>20131023414</t>
  </si>
  <si>
    <t>AV. SALAVERRY NRO. 655 - Jesus Maria - LIMA</t>
  </si>
  <si>
    <t>IE Nuestra Señora de las Mercedes</t>
  </si>
  <si>
    <t>Av. las Mercedes 351 - Urb. El Jardin</t>
  </si>
  <si>
    <t>ANDRES AVELINO CACERES DORREGARAY</t>
  </si>
  <si>
    <t>INSTITUTO DE EDUCACIÓN SUPERIOR PÚBLICO "HUANTA"</t>
  </si>
  <si>
    <t>Jr. Córdova N° 650</t>
  </si>
  <si>
    <t>HUANTA</t>
  </si>
  <si>
    <t>UNIVERSIDAD NACIONAL DE SAN CRISTOBAL DE HUAMANGA. UNSCH</t>
  </si>
  <si>
    <t>DOCENTE UNIVERSITARIO</t>
  </si>
  <si>
    <t>ASESOR PRINCIPAL</t>
  </si>
  <si>
    <t>Municioalidad distrital de Puerto Bermudez</t>
  </si>
  <si>
    <t>Gerente de desarrollo social</t>
  </si>
  <si>
    <t>av. capitan larry s/n</t>
  </si>
  <si>
    <t>PUERTO BERMUDEZ</t>
  </si>
  <si>
    <t>RESTAURANTE RANCHO CRIOLLO</t>
  </si>
  <si>
    <t>ADMINISTRADOR</t>
  </si>
  <si>
    <t>10296327757</t>
  </si>
  <si>
    <t>CALLE PAUCARPATA N° 400 - A URB. SANTA ISABEL</t>
  </si>
  <si>
    <t>ABOGADO INDEPENDIENTE</t>
  </si>
  <si>
    <t>AV. INDEPENDENCIA EDIFICIO HEROES ANONIMOS 331-D</t>
  </si>
  <si>
    <t>MINISTERIO DE SALUD</t>
  </si>
  <si>
    <t>CIRUJANO DENTISTA - SERUMS</t>
  </si>
  <si>
    <t>AV. SALAVERRY NRO. 801 LIMA - LIMA - JESUS MARIA</t>
  </si>
  <si>
    <t>RED DE SALUD CHANCHAMAYO</t>
  </si>
  <si>
    <t>JEFA MICRO RED</t>
  </si>
  <si>
    <t>JR. TARMA NRO. 140 LA MERCED CHANCHAMAYO (UBICADO A DOS CUADRAS PLAZA DE ARMAS.) JUNIN - CHANCHAMAYO</t>
  </si>
  <si>
    <t>Actualmente es Congresista de la Republica electa del 2021 al 2026.</t>
  </si>
  <si>
    <t>MINISTERIO DE CULTURA</t>
  </si>
  <si>
    <t>MINISTRA</t>
  </si>
  <si>
    <t>AV. JAVIER PRADO ESTE NRO. 2465 LIMA - LIMA - SAN BORJA</t>
  </si>
  <si>
    <t>Municipalidad distrital de San Geronimo</t>
  </si>
  <si>
    <t>Promotor</t>
  </si>
  <si>
    <t>Plaza de armas s/n</t>
  </si>
  <si>
    <t>SAN JERONIMO</t>
  </si>
  <si>
    <t>Federación departamental de trabajadores</t>
  </si>
  <si>
    <t>Asesor técnico</t>
  </si>
  <si>
    <t>calle Recolecta 522</t>
  </si>
  <si>
    <t>SEDAPAL</t>
  </si>
  <si>
    <t>ESPECIALISTA EN GESTIÓN AMBIENTAL</t>
  </si>
  <si>
    <t>20100152356</t>
  </si>
  <si>
    <t>MINISTERIO DEFENSA</t>
  </si>
  <si>
    <t>MINISTRO DE DEFENSA</t>
  </si>
  <si>
    <t>20131367938</t>
  </si>
  <si>
    <t>AV. DE LA PERUANIDAD S/N</t>
  </si>
  <si>
    <t>MINISTERIO DE DESARROLLO E INCLUSION SOCIAL</t>
  </si>
  <si>
    <t>SEGUIMIENTO Y SUPERVISION DE LA GESTION TERRITORIAL EN LA MACRO REGION 1</t>
  </si>
  <si>
    <t>20545565359</t>
  </si>
  <si>
    <t>V. PASEO DE LA REPÚBLICA 3101</t>
  </si>
  <si>
    <t>COMERCIO EXTERIOR Y TURISMO</t>
  </si>
  <si>
    <t>ASESOR DEL DESPACHO MINISTERIAL</t>
  </si>
  <si>
    <t>20504774288</t>
  </si>
  <si>
    <t>CALLE 1 OESTE N°050 URB. CORPAC - MINISTERIO DEL EXTERIOR</t>
  </si>
  <si>
    <t>CONGRESO DE LA REPUBLICA DEL PERU</t>
  </si>
  <si>
    <t>ASESOR Y COORDINADOR PARLAMENTARIO</t>
  </si>
  <si>
    <t>JIRON HUALLAGA 358</t>
  </si>
  <si>
    <t>COLEGIO DE LICENCIADO EN ADMINISTRACION</t>
  </si>
  <si>
    <t>PRESIDENTE DEL TRIBUNAL DE HONOR NACIONAL</t>
  </si>
  <si>
    <t>20173888784</t>
  </si>
  <si>
    <t>Jr. Palca 172 Of. 204, Lima</t>
  </si>
  <si>
    <t>PROMO TOURS S.A.</t>
  </si>
  <si>
    <t>20108982340</t>
  </si>
  <si>
    <t>CAL.ISMAEL PAGADOR NRO. 156 URB. CHORRILLOS</t>
  </si>
  <si>
    <t>1992</t>
  </si>
  <si>
    <t>UNIDAD DE GESTION EDUCATIVA LOCAL - TACNA</t>
  </si>
  <si>
    <t>LICENCIADA DE EDUCACION</t>
  </si>
  <si>
    <t>20533025057</t>
  </si>
  <si>
    <t>LAS BEGONIAS MZ I  LT. P2</t>
  </si>
  <si>
    <t>1985</t>
  </si>
  <si>
    <t>GERENTE GRAL. NEUMATICOS DEL SUR SRL 20452861856</t>
  </si>
  <si>
    <t>UNIVERSIDAD RICARDO PALMA</t>
  </si>
  <si>
    <t>AV. BENAVIDES 5440</t>
  </si>
  <si>
    <t>1989</t>
  </si>
  <si>
    <t>CP Consult S.R.L.</t>
  </si>
  <si>
    <t>20607255998</t>
  </si>
  <si>
    <t>Av. Reynaldo Vivanco 161 dpto. 501</t>
  </si>
  <si>
    <t>Agencia de Compras de las Fuerzas Armadas (ACFFAA)</t>
  </si>
  <si>
    <t>Jefe de la Agencia de Compras de las Fuerzas Armadas</t>
  </si>
  <si>
    <t>20556939781</t>
  </si>
  <si>
    <t>Av. Arequipa 310, Urbanización Santa Beatriz</t>
  </si>
  <si>
    <t>Cargo desempeñado cuando ostentaba el grado de Mayor General FAP en actividad.</t>
  </si>
  <si>
    <t>Comisión Nacional de Investigación y Desarrollo Aeroespacial (CONIDA)</t>
  </si>
  <si>
    <t>Jefe institucional de CONIDA</t>
  </si>
  <si>
    <t>20131371889</t>
  </si>
  <si>
    <t>Jr. Luis F. Villarán Nº 1069</t>
  </si>
  <si>
    <t>Fuerza Aérea del Perú (FAP)</t>
  </si>
  <si>
    <t>Director de Telemática de la FAP</t>
  </si>
  <si>
    <t>20144364059</t>
  </si>
  <si>
    <t>Av. de la Peruanidad s/n</t>
  </si>
  <si>
    <t>Sociologo</t>
  </si>
  <si>
    <t>20155945860</t>
  </si>
  <si>
    <t>2000</t>
  </si>
  <si>
    <t>MInisterio de Educación</t>
  </si>
  <si>
    <t>Viceministro</t>
  </si>
  <si>
    <t>20381015018</t>
  </si>
  <si>
    <t>Av. de la Arqueología 206</t>
  </si>
  <si>
    <t>Calle Santa Catalina 115 A</t>
  </si>
  <si>
    <t>ECO D&amp;S Ltda</t>
  </si>
  <si>
    <t>R&amp;D Director</t>
  </si>
  <si>
    <t>Gangwon TechnoPark</t>
  </si>
  <si>
    <t>COREA DEL SUR</t>
  </si>
  <si>
    <t>Empresa Coreana de Tecnologías Poscosecha como Investigador Senior (Senior Research) para promover los Parques Tecnológicos en el Perú.</t>
  </si>
  <si>
    <t>UNIVERSIDAD CIENTIFICA DEL SUR S.A.C.</t>
  </si>
  <si>
    <t>Profesor</t>
  </si>
  <si>
    <t>Car. Antigua Panamericana Sur Km. 19 (Alt. de los Pantanos de Villa)</t>
  </si>
  <si>
    <t>Por Recibo por Honorarios. Como Profesor Extraordinario.
3 Cursos: Gestión Ambiental Empresarial, Análisis de Decisiones, Responsabilidad Social Corporativa.</t>
  </si>
  <si>
    <t>CORPORACION KHIPU S.A.C.</t>
  </si>
  <si>
    <t>Director Investigador</t>
  </si>
  <si>
    <t>20116689848</t>
  </si>
  <si>
    <t>Av. Camino Real Nro. 443</t>
  </si>
  <si>
    <t>SAN SEBASTIAN</t>
  </si>
  <si>
    <t>Proyecto Incalab de la Universidad Global del Cusco, de la Corporación Khipu. (Universidad Global no licenció)</t>
  </si>
  <si>
    <t>Universidad Alas Peruanas S.A.</t>
  </si>
  <si>
    <t>Asesor en Investigación</t>
  </si>
  <si>
    <t>20303063766</t>
  </si>
  <si>
    <t>Cal. las Gardenias Nro. 430</t>
  </si>
  <si>
    <t>Universidad que no licenció. Encargado de apoyo en sus proyectos de investigación.</t>
  </si>
  <si>
    <t>Chunghaemaru Perú SAC</t>
  </si>
  <si>
    <t>Investigador</t>
  </si>
  <si>
    <t>20600582667</t>
  </si>
  <si>
    <t>AV. LOS CONSTRUCTORES NRO. 1044</t>
  </si>
  <si>
    <t>Operando con las Marcas Comerciales TersusMaX y E&amp;E</t>
  </si>
  <si>
    <t>Embajada Britànica en Lima</t>
  </si>
  <si>
    <t>consejera en seguridad climàtica y energìa</t>
  </si>
  <si>
    <t>Av. Larco  1301 Edificio Torre Parque Mar piso 22</t>
  </si>
  <si>
    <t>consultora ambiental independiente</t>
  </si>
  <si>
    <t>abogada</t>
  </si>
  <si>
    <t>Jr. Pinos del Valle 235 Surco</t>
  </si>
  <si>
    <t>miembro del roster de expertos de la Convenciòn de las Naciones Unidas sobre cambio climàtico, he realizado diversas consultorìas y trabajo como voluntaria ambiental en la organizaciòn Actùa verde Perù</t>
  </si>
  <si>
    <t>Congreso de la Repùblica</t>
  </si>
  <si>
    <t>abogada, asesora principal de la Comisión Especial de Cambio Climático</t>
  </si>
  <si>
    <t>Plaza Bolivar s/n</t>
  </si>
  <si>
    <t>Ministerio de Comercio Exterior y Turismo</t>
  </si>
  <si>
    <t>negociadora</t>
  </si>
  <si>
    <t>Calle Uno Oeste 150, Edificio Mincetur, Pisos 13</t>
  </si>
  <si>
    <t>negociadora para las condiciones de implementación del acuerdo Comercial Perú-EEUU</t>
  </si>
  <si>
    <t>Consejo Nacional del Ambiente</t>
  </si>
  <si>
    <t>abogada jefe de la Unidad de Cambio Climàtico y Calidad del Aire</t>
  </si>
  <si>
    <t>Av. Guardia Civil 210 San Borja</t>
  </si>
  <si>
    <t>1995</t>
  </si>
  <si>
    <t>Especialista en Educación Intercultural y Cultura Afroperuana</t>
  </si>
  <si>
    <t>Cal. del Comercio Nro. 193</t>
  </si>
  <si>
    <t>Ministerio de Cultura</t>
  </si>
  <si>
    <t>Directora de políticas para población afroperuana</t>
  </si>
  <si>
    <t>20537630222</t>
  </si>
  <si>
    <t>Av. Javier Prado Este Nro. 2465</t>
  </si>
  <si>
    <t>Ministerio de cultura</t>
  </si>
  <si>
    <t>Directora general de ciudadania intercultural</t>
  </si>
  <si>
    <t>Av. Abancay - Plaza Bolivar</t>
  </si>
  <si>
    <t>JEFA DE GABINETE DE ASESORES DEL GRUPO PARLAMENTARIO DE RENOVACIÓN POPULAR</t>
  </si>
  <si>
    <t>20161799126</t>
  </si>
  <si>
    <t>INGRESO COMO COORDINADORA DE ASESORES DE LA BANCADA RENOVACIÓN POPULAR EN 2024, LUEGO ASUMO COMO JEFA DE GABINETE DE ASESORES DE LA BANCADA RENOVACIÓN POPULAR (2025)</t>
  </si>
  <si>
    <t>MARINA DE GUERRA DEL PERU</t>
  </si>
  <si>
    <t>OFICIAL DE MARINA</t>
  </si>
  <si>
    <t>AV. LA MARINA CDRA 36 LA PERLA</t>
  </si>
  <si>
    <t>1982</t>
  </si>
  <si>
    <t>LA PERLA</t>
  </si>
  <si>
    <t>AV. ABANCAY 251</t>
  </si>
  <si>
    <t>LA CASA DEL PADRE</t>
  </si>
  <si>
    <t>PASTORA</t>
  </si>
  <si>
    <t>20512863392</t>
  </si>
  <si>
    <t>AV. LA UNIVERSIDAD 1190</t>
  </si>
  <si>
    <t>2005</t>
  </si>
  <si>
    <t>ALCALDE</t>
  </si>
  <si>
    <t>20131381094</t>
  </si>
  <si>
    <t>Jr. Rufino Torrico Nro. 1178 Cercado de Lima</t>
  </si>
  <si>
    <t>UNIVERSIDAD NACIONAL DE INGENIERÍA</t>
  </si>
  <si>
    <t>CATEDRÁTICO</t>
  </si>
  <si>
    <t>20169004359</t>
  </si>
  <si>
    <t>AV. TUPAC AMARU NRO. 210 (KM 4.5 TUPAC AMARU)</t>
  </si>
  <si>
    <t>FERROCARRIL TRASANDINO S.A.</t>
  </si>
  <si>
    <t>DIRECTOR</t>
  </si>
  <si>
    <t>20432747833</t>
  </si>
  <si>
    <t>AV. ARMENDARIZ NRO. 480 INT. 601</t>
  </si>
  <si>
    <t>1999</t>
  </si>
  <si>
    <t>PERURAIL S.A.</t>
  </si>
  <si>
    <t>20431871808</t>
  </si>
  <si>
    <t>Av. Armendariz Nro. 480 Int. 601</t>
  </si>
  <si>
    <t>PERU BELMOND HOTELS S.A.</t>
  </si>
  <si>
    <t>20424044203</t>
  </si>
  <si>
    <t>UNIVERSIDAD NACIONAL DEL ALTIPLANO PUNO</t>
  </si>
  <si>
    <t>20145496170</t>
  </si>
  <si>
    <t>AV. SESQUICENTENARIO S/N PUNO</t>
  </si>
  <si>
    <t>AV. ABANCAY</t>
  </si>
  <si>
    <t>Jr Abancay S/N</t>
  </si>
  <si>
    <t>En la Comisión de Educación.</t>
  </si>
  <si>
    <t>M &amp; M Mondragón y Muñante Abogados Consultores</t>
  </si>
  <si>
    <t>Jr Miroquesada 569</t>
  </si>
  <si>
    <t>- Estudio jurídico independiente.</t>
  </si>
  <si>
    <t>CONSUL GENERAL AH DEL PERU</t>
  </si>
  <si>
    <t>CONSUL GENERAL</t>
  </si>
  <si>
    <t>3717 NE 157 ST LAKE FOREST PARK WA 98155</t>
  </si>
  <si>
    <t>1997</t>
  </si>
  <si>
    <t>ESTADOS UNIDOS</t>
  </si>
  <si>
    <t>UNIVERSIDAD ESAN</t>
  </si>
  <si>
    <t>Jirón Alonso de Molina 1652</t>
  </si>
  <si>
    <t>Docente tiempo parcial, hasta la actualidad. Además, he brindado consultoría externa a la Universidad del 2010 al 2018.</t>
  </si>
  <si>
    <t>UNIVERSIDAD SAN IGNACIO DE LOYOLA</t>
  </si>
  <si>
    <t>Avenida La Fontana 750</t>
  </si>
  <si>
    <t>Docente a tiempo parcial.</t>
  </si>
  <si>
    <t>ASESOR - JEFE DE GABINETE</t>
  </si>
  <si>
    <t>Plaza Bolívar - Av. Abancay s/n</t>
  </si>
  <si>
    <t>UNIVERSIDAD DE LIMA</t>
  </si>
  <si>
    <t>Av. Javier Prado Este 4600</t>
  </si>
  <si>
    <t>Docente tiempo parcial, hasta la actualidad.</t>
  </si>
  <si>
    <t>TRES PUNTAS PRODUCCIONES E.I.R.L.</t>
  </si>
  <si>
    <t>DIRECTOR ACADÉMICO DE ESCUELA DIGITAL</t>
  </si>
  <si>
    <t>20563563398</t>
  </si>
  <si>
    <t>Jr. Rodolfo Rutte 959</t>
  </si>
  <si>
    <t>IES VARONES HUANCANE</t>
  </si>
  <si>
    <t>JR. MANUEL E. CORDERO 910</t>
  </si>
  <si>
    <t>IES LIBERTADOR JOSÉ DE SAN MARTIN - HUARISANI RENJACHI</t>
  </si>
  <si>
    <t>PROVIAS DESCENTRALIZADO</t>
  </si>
  <si>
    <t>INGENIERO ESPECIALISTA</t>
  </si>
  <si>
    <t>20380419247</t>
  </si>
  <si>
    <t>JR HUAYNACAPAC 171 SAN CRISTOBAL</t>
  </si>
  <si>
    <t>SENCICO</t>
  </si>
  <si>
    <t>(GERENCIA ZONAL)</t>
  </si>
  <si>
    <t>EL TAMBO</t>
  </si>
  <si>
    <t>LABORE EN GERENCIA ZONAL HUANCAYO</t>
  </si>
  <si>
    <t>COORDINADOR</t>
  </si>
  <si>
    <t>JR GRAU 328 CERCADO</t>
  </si>
  <si>
    <t>LABORE EN EL CENTRO DE FORMACION ACADEMICA</t>
  </si>
  <si>
    <t>AGRICULTOR</t>
  </si>
  <si>
    <t>COMUNIDAD CAMPESINA COTARMA</t>
  </si>
  <si>
    <t>UGEL ABANCAY</t>
  </si>
  <si>
    <t>COORDINADOR DE PRONOEI</t>
  </si>
  <si>
    <t>TRABAJO ALGUNA VEZ EN CONGRESO</t>
  </si>
  <si>
    <t>REGISTROS CONGRESO</t>
  </si>
  <si>
    <t>TIENE_EDUCACION_BASICA</t>
  </si>
  <si>
    <t>EDUC_PRIMARIA</t>
  </si>
  <si>
    <t>EDUC_PRIMARIA_CONCLUIDA</t>
  </si>
  <si>
    <t>EDUC_SECUNDARIA</t>
  </si>
  <si>
    <t>EDUC_SECUNDARIA_CONCLUIDA</t>
  </si>
  <si>
    <t>No</t>
  </si>
  <si>
    <t>TIENE_EDUC_TECNICO</t>
  </si>
  <si>
    <t>CENTRO_ESTUDIOS</t>
  </si>
  <si>
    <t>CARRERA</t>
  </si>
  <si>
    <t>CONCLUIDO</t>
  </si>
  <si>
    <t>ITSPAE</t>
  </si>
  <si>
    <t>Administración de Empresas</t>
  </si>
  <si>
    <t>Título de bachiller profesional 1985</t>
  </si>
  <si>
    <t>I.S.T.N.e. Jose G. Salvador Lara</t>
  </si>
  <si>
    <t>Administración de Negocios Internacionales</t>
  </si>
  <si>
    <t>IPAE</t>
  </si>
  <si>
    <t>ADMINISTRACION DE NEGOCIOS</t>
  </si>
  <si>
    <t>EL TÍTULO PROFESIONAL ES EN: ADMINISTRACIÓN DE NEGOCIOS CON MENCION EN COMERCIALIZACION</t>
  </si>
  <si>
    <t>INSTITUTO JORGE BASADRE</t>
  </si>
  <si>
    <t>CONTABILIDAD</t>
  </si>
  <si>
    <t>LA MERCED</t>
  </si>
  <si>
    <t>PROFESIONAL TÉCNICO EN ENFERMERÍA</t>
  </si>
  <si>
    <t>ESCUELA DE TURISMO DE LA UNIVERSIDAD NACIONAL MAYOR DE SAN MARCOS</t>
  </si>
  <si>
    <t>TECNICA DE TURISMO Y GUIA DE TURISMO</t>
  </si>
  <si>
    <t>ENTUR PERU - UNIVERSIDAD NACIONAL MAYOR DE SAN MARCOS</t>
  </si>
  <si>
    <t>INSTITUTO SUPERIOR PUBLICO JOSE JIMENEZ BORJA</t>
  </si>
  <si>
    <t>PROFESORA DE EDUCACION PRIMARIA</t>
  </si>
  <si>
    <t>ISIP HUANCAVELICA</t>
  </si>
  <si>
    <t>COMPUTACION E INFORMATICA</t>
  </si>
  <si>
    <t>TIENE_EDUC_NO_UNIVERSITARIA</t>
  </si>
  <si>
    <t>EDUC_NO_UNIVERSITARIA</t>
  </si>
  <si>
    <t>INEI. ESCUELA NACIONAL DE ESTADISTICA E INFORMATICA</t>
  </si>
  <si>
    <t>ASISTENTE WINDOWS, OFFICE</t>
  </si>
  <si>
    <t>ISPP JULIACA</t>
  </si>
  <si>
    <t>PROFESOR DE EDUCACIÓN SECUNDARIA</t>
  </si>
  <si>
    <t>INSTITUTO SUPERIOR PEDAGOGICO LAS SALLE</t>
  </si>
  <si>
    <t>PROFESOR DE EDUCACION PRIMARIA</t>
  </si>
  <si>
    <t>TIENE_EDUC_UNIV</t>
  </si>
  <si>
    <t>EDUC_UNIV</t>
  </si>
  <si>
    <t>UNIVERSIDAD</t>
  </si>
  <si>
    <t>EGRESADO</t>
  </si>
  <si>
    <t>Universidad Nacional de San Agustín de Arequipa</t>
  </si>
  <si>
    <t>TITULO DE SEGUNDA ESPECIALIDAD</t>
  </si>
  <si>
    <t>BACHILLER EN DERECHO</t>
  </si>
  <si>
    <t>Universidad Nacional del Callao</t>
  </si>
  <si>
    <t>BACHILLER EN CIENCIAS ECONOMICAS</t>
  </si>
  <si>
    <t>ECONOMISTA</t>
  </si>
  <si>
    <t>Fecha de diploma: 12/06/1981</t>
  </si>
  <si>
    <t>Universidad Nacional de San Antonio Abad del Cusco</t>
  </si>
  <si>
    <t>ABOGADA</t>
  </si>
  <si>
    <t>BACHILLER EN DERECHO Y CIENCIAS POLITICAS</t>
  </si>
  <si>
    <t>Universidad Nacional de Cajamarca</t>
  </si>
  <si>
    <t>Universidad Nacional Federico Villarreal</t>
  </si>
  <si>
    <t>BACHILLER EN MEDICINA</t>
  </si>
  <si>
    <t>MEDICO CIRUJANO</t>
  </si>
  <si>
    <t>AÑO DE OBTENCIÓN 1976</t>
  </si>
  <si>
    <t>BACHILLER EN CIENCIAS SOCIALES</t>
  </si>
  <si>
    <t>BACHILLER EN INGENIERIA DE SISTEMAS E INFORMATICA</t>
  </si>
  <si>
    <t>INGENIERO DE SISTEMAS E INFORMATICA</t>
  </si>
  <si>
    <t>Escuela Militar de Chorrillos “Coronel Francisco Bolognesi”</t>
  </si>
  <si>
    <t>BACHILLER EN CIENCIAS MILITARES</t>
  </si>
  <si>
    <t>Egresé en el año 1983.</t>
  </si>
  <si>
    <t>UNIVERSIDAD CESAR VALLEJO</t>
  </si>
  <si>
    <t>INGENIERÍA CIVIL</t>
  </si>
  <si>
    <t>Universidad los Ángeles de Chimbote</t>
  </si>
  <si>
    <t>QUIMICO FARMACEUTICO</t>
  </si>
  <si>
    <t>BACHILLER EN FARMACIA Y BIOQUIMICA</t>
  </si>
  <si>
    <t>Obtuve mi título de Abogada en 1983.</t>
  </si>
  <si>
    <t>Obtuve mi grado de bachiller en 1981.</t>
  </si>
  <si>
    <t>UNIVERSIDAD NACIONAL DE LA AMAZONÍA PERUANA</t>
  </si>
  <si>
    <t>ADMINISTRACIÓN</t>
  </si>
  <si>
    <t>Universidad Nacional de Trujillo</t>
  </si>
  <si>
    <t>Universidad Peruana Los Andes</t>
  </si>
  <si>
    <t>Universidad Federico Villareal</t>
  </si>
  <si>
    <t>Bachiller en Derecho y Ciencias Políticas</t>
  </si>
  <si>
    <t>ESAN</t>
  </si>
  <si>
    <t>PROGRAMA DE GESTIÓN MUNICIPAL</t>
  </si>
  <si>
    <t>Diploma de especialista en Gestióon Municipal</t>
  </si>
  <si>
    <t>Universidad Inca Garcilaso de la Vega Asociación Civil</t>
  </si>
  <si>
    <t>Universidad de San Martín de Porres</t>
  </si>
  <si>
    <t>Escuela de Oficiales de la Policía Nacional del Perú</t>
  </si>
  <si>
    <t>BACHILLER EN ADMINISTRACION Y CIENCIAS POLICIALES</t>
  </si>
  <si>
    <t>FAUSTINO SANCHEZ CARRION</t>
  </si>
  <si>
    <t>LICENCIADO EN ADMINISTRACIÓN</t>
  </si>
  <si>
    <t>Universidad Privada Telesup S.A.C.</t>
  </si>
  <si>
    <t>BACHILLER EN DERECHO CORPORATIVO</t>
  </si>
  <si>
    <t>Pontificia Universidad Católica</t>
  </si>
  <si>
    <t>no obtuve título</t>
  </si>
  <si>
    <t>Universidad Hebrea de Jerusalén</t>
  </si>
  <si>
    <t>Universidad Nacional Pedro Ruiz Gallo</t>
  </si>
  <si>
    <t>BACHILLER EN MEDICINA HUMANA</t>
  </si>
  <si>
    <t>Universidad Peruana Cayetano Heredia</t>
  </si>
  <si>
    <t>ESPECIALISTA EN GINECOLOGIA Y OBSTETRICIA</t>
  </si>
  <si>
    <t>ESTA INFORMACION NO ES DEL CANDIDATO</t>
  </si>
  <si>
    <t>Universidad Privada "San Juan Bautista"</t>
  </si>
  <si>
    <t>Obtuvo el título el 07.11.2006</t>
  </si>
  <si>
    <t>Universidad de Lima</t>
  </si>
  <si>
    <t>Bachiller en Ciencias Administrativas</t>
  </si>
  <si>
    <t>Universidad Nacional San Luis Gonzaga</t>
  </si>
  <si>
    <t>BACHILLER EN ECONOMÍA</t>
  </si>
  <si>
    <t>Universidad Andina del Cusco</t>
  </si>
  <si>
    <t>Universidad Privada de Tacna</t>
  </si>
  <si>
    <t>Universidad Privada San Pedro</t>
  </si>
  <si>
    <t>Universidad Nacional San Luis Gonzaga de Ica</t>
  </si>
  <si>
    <t>LICENCIADO EN CIENCIAS DE LA EDUCACION</t>
  </si>
  <si>
    <t>Universidad Nacional de San Cristóbal de Huamanga</t>
  </si>
  <si>
    <t>BACHILLER EN CIENCIAS AGRICOLAS</t>
  </si>
  <si>
    <t>INGENIERO AGRONOMO</t>
  </si>
  <si>
    <t>BACHILLER EN CIENCIAS Y ARTES DE LA COMUNICACIÓN CON MENCIÓN EN COMUNICACIÓN PARA EL DESARROLLO</t>
  </si>
  <si>
    <t>Universidad José Carlos Mariátegui</t>
  </si>
  <si>
    <t>UNIVERSIDAD NACIONAL DE SAN AGUSTIN</t>
  </si>
  <si>
    <t>DERECHO</t>
  </si>
  <si>
    <t>NO CULMINADO</t>
  </si>
  <si>
    <t>CIRUJANO DENTISTA</t>
  </si>
  <si>
    <t>BACHILLER EN ESTOMATOLOGÍA</t>
  </si>
  <si>
    <t>FACULDADE UNICPO</t>
  </si>
  <si>
    <t>ESPECIALIZACIÓN EN ODONTOPEDIATRÍA (TÍTULO DE SEGUNDA ESPECIALIDAD PROFESIONAL)</t>
  </si>
  <si>
    <t>UNIVERSIDAD NACIONAL SAN ANTONIO ABAD DEL CUSCO</t>
  </si>
  <si>
    <t>ECONOMIA</t>
  </si>
  <si>
    <t>Escuela de Oficiales de la Fuerza Aérea del Perú</t>
  </si>
  <si>
    <t>BACHILLER EN CIENCIAS DE LA ADMINISTRACION AEROESPACIAL</t>
  </si>
  <si>
    <t>LICENCIADO EN CIENCIAS DE LA ADMINISTRACION AEROESPACIAL</t>
  </si>
  <si>
    <t>UNIVERSIDAD INCA GARCILASO DE LA VEGA</t>
  </si>
  <si>
    <t>CIENCIAS ADMINISTRATIVAS Y CIENCIAS ECONÓMICAS</t>
  </si>
  <si>
    <t>CARRERA: CIENCIAS ECONÓMICAS (1981-2 - 2013-3)</t>
  </si>
  <si>
    <t>PONTIFICIA UNIVERSIDAD CATOLICA DEL PERÚ</t>
  </si>
  <si>
    <t>CARRERA : DERECHO (2005-1 - 2010-1)</t>
  </si>
  <si>
    <t>BACHILLER EN EDUCACION</t>
  </si>
  <si>
    <t>LICENCIADA EN EDUCACION PRIMARIA</t>
  </si>
  <si>
    <t>LICENCIADO EN SOCIOLOGÍA</t>
  </si>
  <si>
    <t>LICENCIADO EN SOCIOLOGIA</t>
  </si>
  <si>
    <t>Universidad Nacional Mayor de San Marcos</t>
  </si>
  <si>
    <t>BIOLOGO CON MENCION EN MICROBIOLOGIA Y PARASITOLOGIA</t>
  </si>
  <si>
    <t>BACHILLER EN CIENCIAS BIOLOGICAS</t>
  </si>
  <si>
    <t>Ingresante 1986 con 13 años de estudios en pre-grado en las 5 menciones en Biología, al llevar cursos electivos.</t>
  </si>
  <si>
    <t>Universidad Nacional de Educación Enrique Guzmán y Valle</t>
  </si>
  <si>
    <t>LICENCIADO EN EDUCACION</t>
  </si>
  <si>
    <t>ABOGADA EN DERECHO Y CIENCIA POLITICA</t>
  </si>
  <si>
    <t>BACHILLER EN DERECHO Y CIENCIA POLITICA</t>
  </si>
  <si>
    <t>Escuela Naval del Perú</t>
  </si>
  <si>
    <t>LICENCIADO EN CIENCIAS MARITIMAS NAVALES</t>
  </si>
  <si>
    <t>BACHILLER EN CIENCIAS MARITIMO NAVALES</t>
  </si>
  <si>
    <t>Universidad de Piura</t>
  </si>
  <si>
    <t>BACHILLER EN CIENCIAS DE LA INGENIERIA</t>
  </si>
  <si>
    <t>INGENIERO INDUSTRIAL</t>
  </si>
  <si>
    <t>Universidad Nacional del Altiplano</t>
  </si>
  <si>
    <t>BACHILLER EN CIENCIAS DE LA EDUCACION</t>
  </si>
  <si>
    <t>Universidad Señor de Sipán S.A.C.</t>
  </si>
  <si>
    <t>SEATTLE CATHOLIC UNIVERSITY</t>
  </si>
  <si>
    <t>BACHILLER</t>
  </si>
  <si>
    <t>Año de obtención del bachiller: 2003.</t>
  </si>
  <si>
    <t>Año de obtención del título: 2003.</t>
  </si>
  <si>
    <t>UNIVERSIDAD NACIONAL DEL ALTIPLANO</t>
  </si>
  <si>
    <t>UNIVERSIDAD NACIONAL DE HUANCAVELICA</t>
  </si>
  <si>
    <t>BACHILLER EN CIENCIAS DE INGENIERIA</t>
  </si>
  <si>
    <t>INGENIERO CIVIL</t>
  </si>
  <si>
    <t>BACHILLER EN ELECTRONICA</t>
  </si>
  <si>
    <t>INGENIERO ELECTRONICO</t>
  </si>
  <si>
    <t>TIENE_POSGRADO</t>
  </si>
  <si>
    <t>POSGRADO</t>
  </si>
  <si>
    <t>ESPECIALIDAD_GRADO</t>
  </si>
  <si>
    <t>ES_MAESTRO</t>
  </si>
  <si>
    <t>ES_DOCTOR</t>
  </si>
  <si>
    <t>AÑO</t>
  </si>
  <si>
    <t>MAGISTER EN POLITICAS Y PLANIFICACION EN SALUD</t>
  </si>
  <si>
    <t>UNIVERSIDAD NACIONAL AUTÓNOMA DE MÉXICO</t>
  </si>
  <si>
    <t xml:space="preserve">GRADO DE MAESTRO EN ECONOMÍA </t>
  </si>
  <si>
    <t>2002</t>
  </si>
  <si>
    <t>GRADO DE DOCTOR EN ECONOMÍA</t>
  </si>
  <si>
    <t>Maestría en Derechos Humanos</t>
  </si>
  <si>
    <t>En proceso de culminación de tesis</t>
  </si>
  <si>
    <t>Universidad Nacional San Antonio Abad del Cusco</t>
  </si>
  <si>
    <t>Maestría en Derecho Penal y Procesal Penal</t>
  </si>
  <si>
    <t>Culminé los estudios pero no me gradué.</t>
  </si>
  <si>
    <t>Universidad Internacional de Andalucía - España</t>
  </si>
  <si>
    <t>Derecho Ambiental</t>
  </si>
  <si>
    <t>MAGISTER EN GERENCIA SOCIAL</t>
  </si>
  <si>
    <t>UNMSM-UNIVERSIDAD NACIONAL MAYOR DE SAN MARCOS</t>
  </si>
  <si>
    <t>CIRUGIA GENERAL</t>
  </si>
  <si>
    <t>Universidad de California de los Angeles (USA)</t>
  </si>
  <si>
    <t>Maestro</t>
  </si>
  <si>
    <t>El grado es "Master of Arts".</t>
  </si>
  <si>
    <t>MAESTRO EN ADMINISTRACION</t>
  </si>
  <si>
    <t>Escuela Superior de Guerra del Ejército</t>
  </si>
  <si>
    <t>MAESTRO EN CIENCIAS MILITARES</t>
  </si>
  <si>
    <t>Centro de Altos Estudios Nacionales - CAEN</t>
  </si>
  <si>
    <t>DOCTOR EN DESARROLLO Y SEGURIDAD ESTRATÉGICA</t>
  </si>
  <si>
    <t>UNIVERSIDAD TECNOLÓGICA DEL PERÚ - UTP</t>
  </si>
  <si>
    <t>MAESTRÍA EN GESTIÓN PÚBLICA</t>
  </si>
  <si>
    <t>MAESTRÍA EN DERECHO INTERNACIONAL ECONOMICO</t>
  </si>
  <si>
    <t>Maestría en Derecho Constitucional y Gobierno</t>
  </si>
  <si>
    <t>MAESTRO EN EDUCACIÓN CON MENCIÓN EN GESTIÓN UNIVERSITARIA</t>
  </si>
  <si>
    <t>Universidad San MartÍn de Porres</t>
  </si>
  <si>
    <t>Maestría en Derecho Civil y Comercial</t>
  </si>
  <si>
    <t>Año de obtención 1994.</t>
  </si>
  <si>
    <t>DOCTOR EN DERECHO Y CIENCIA POLITICA</t>
  </si>
  <si>
    <t>MAGISTER EN DERECHO. MENCION EN DERECHO CONSTITUCIONAL</t>
  </si>
  <si>
    <t>Año de obtención: 1997.</t>
  </si>
  <si>
    <t>Universidad Privada César Vallejo</t>
  </si>
  <si>
    <t>MAGISTER EN DOCENCIA UNIVERSITARIA</t>
  </si>
  <si>
    <t>UNIVERSIDAD INTERNACIONAL DE LA RIOJA</t>
  </si>
  <si>
    <t>TÍTULO OFICIAL DE MÁSTER UNIVERSITARIO EN COMUNICACIÓN Y MARKETING POLÍTICO (GRADO DE MAESTRO)</t>
  </si>
  <si>
    <t>DOCTOR EN MEDICINA</t>
  </si>
  <si>
    <t>AÑO DEL DIPLOMA 2018</t>
  </si>
  <si>
    <t>MAGISTER EN MEDICINA</t>
  </si>
  <si>
    <t>MAESTRO EN DIRECCION Y ORGANIZACION DE HOSPITALES Y SERVICIOS DE SALUD</t>
  </si>
  <si>
    <t>UNIVERSIDAD SAN MARTÍN DE PORRES</t>
  </si>
  <si>
    <t>GESTION DE NEGOCIOS</t>
  </si>
  <si>
    <t>FALTA LA TESIS PARA OBTENER EL GRADO ACADEMICO</t>
  </si>
  <si>
    <t>Universidad San Martín de Porres</t>
  </si>
  <si>
    <t>Maestria en Derecho Civil</t>
  </si>
  <si>
    <t>Maestria en Derecho, Gestión Parlamentaria y Sistemas Electorales.</t>
  </si>
  <si>
    <t>Estudios en curso</t>
  </si>
  <si>
    <t>UNIVERSIDAD NACIONAL SAN LUIS GONZAGA DE ICA</t>
  </si>
  <si>
    <t>ADMINISTRACIÓN - GESTIÓN PÚBLICA</t>
  </si>
  <si>
    <t>ESTUDIOS EN CURSO A LA FECHA.</t>
  </si>
  <si>
    <t>MAESTRIA DE ADMINISTRACION</t>
  </si>
  <si>
    <t>CENTRO DE ALTOS ESTUDIOS NACIONALES - CAEN PERÚ</t>
  </si>
  <si>
    <t>MAESTRIA EN DESARROLLO Y DEFENSA NACIONAL</t>
  </si>
  <si>
    <t>Universidad privada Jose Carlos Mariategui</t>
  </si>
  <si>
    <t>Maestría en Derecho Constitucional</t>
  </si>
  <si>
    <t>Maestria en Derecho con Mención en Ciencias Penales</t>
  </si>
  <si>
    <t>MAESTRO EN DOCENCIA UNIVERSITARIA</t>
  </si>
  <si>
    <t>Universidad de san martin de porres</t>
  </si>
  <si>
    <t>maestria de solución de conflictos</t>
  </si>
  <si>
    <t>egresado en el 2024</t>
  </si>
  <si>
    <t>Universidad Nacional del Centro del Perú</t>
  </si>
  <si>
    <t>Maestra en Antropología Jurídica</t>
  </si>
  <si>
    <t>MAGISTER EN GESTION PUBLICA</t>
  </si>
  <si>
    <t>EPG-CENTRO DE ALTOS ESTUDIOS NACIONALES-CAEN</t>
  </si>
  <si>
    <t>CURSO ESPECIAL DE DESARROLLO Y DEFENSA NACIONAL– AÑO 1999</t>
  </si>
  <si>
    <t>UNIVERSIDAD PRIVADA DE TACNA</t>
  </si>
  <si>
    <t>PSICOPEDAGOGIA</t>
  </si>
  <si>
    <t>PUCP</t>
  </si>
  <si>
    <t>SOCIOLOGIA</t>
  </si>
  <si>
    <t>1983</t>
  </si>
  <si>
    <t>ESTUDIOS EN LA UNIVERSIDAD PARIS 1 CONVALIDADOS EN LA PUCP</t>
  </si>
  <si>
    <t>MAGÍSTER EN SOCIOLOGÍA</t>
  </si>
  <si>
    <t>1987</t>
  </si>
  <si>
    <t>INTER-AMERICAN DEFENSE COLLEGE</t>
  </si>
  <si>
    <t>GRADO DE MAGÍSTER EN CIENCIAS EN DEFENSA Y SEGURIDAD INTERAMERICANA (GRADO DE MAESTRO)</t>
  </si>
  <si>
    <t>ACADEMIA NACIONAL DE ESTUDIOS POLÍTICOS Y ESTRATÉGICOS</t>
  </si>
  <si>
    <t>GRADO ACADÉMICO DE MAGÍSTER EN ESTUDIOS DE DEFENSA Y SEGURIDAD DE LAS AMÉRICAS (GRADO DE MAESTRO)</t>
  </si>
  <si>
    <t>ECOLE NATIONALE SUPERIEURE D'INGENIEURS DE CONSTRUCTIONS AERONAUTIQUES</t>
  </si>
  <si>
    <t>DIPLOMA DE INGENIERO DE CONSTRUCCIONES AERONÁUTICAS (GRADO DE BACHILLER, TÍTULO PROFESIONAL Y GRADO DE MAESTRO)</t>
  </si>
  <si>
    <t>MAGÍSTER EN POLÍTICA Y GESTIÓN UNIVERSITARIA</t>
  </si>
  <si>
    <t>MAESTRIA EN DERECHO CONSTITUCIONAL</t>
  </si>
  <si>
    <t>UNIVERSITY OF LONDON (THE SCHOOL OF ORIENTAL AND AFRICAN STUDIES)</t>
  </si>
  <si>
    <t xml:space="preserve">GRADO DE MÁSTER EN DERECHO CON ESPECIALIZACIÓN EN DERECHO AMBIENTAL (GRADO DE MAESTRO) </t>
  </si>
  <si>
    <t>MAESTRO EN CIENCIAS DE LA EDUCACION</t>
  </si>
  <si>
    <t>UNIVERSIDAD NACIONAL MAYOR DE SAN MARCOS</t>
  </si>
  <si>
    <t>CIENCIAS PENALES</t>
  </si>
  <si>
    <t>UNIVERSIDAD GARCILASO</t>
  </si>
  <si>
    <t>ADMINISTRACION DE LA EDUCACION</t>
  </si>
  <si>
    <t>Falta sustentar tesis</t>
  </si>
  <si>
    <t>CAEN</t>
  </si>
  <si>
    <t>ADMINISTRACION Y GESTION PUBLICA</t>
  </si>
  <si>
    <t>POLITICA Y ESTRATEGIA</t>
  </si>
  <si>
    <t>MAESTRO EN DESARROLLO Y DEFENSA NACIONAL</t>
  </si>
  <si>
    <t>Universidad del Pacífico</t>
  </si>
  <si>
    <t>MAGISTER EN ADMINISTRACION</t>
  </si>
  <si>
    <t>DOCTOR EN CIENCIAS DE LA EDUCACION</t>
  </si>
  <si>
    <t>MAGISTER SCIENTIAE EN CIENCIAS SOCIALES</t>
  </si>
  <si>
    <t>MAESTRIA</t>
  </si>
  <si>
    <t>EN PROCESO DE OBTENCIÓN DE GRADO DE MAGISTER, YA APROBÉ LA TESIS.</t>
  </si>
  <si>
    <t>MAGISTER EN GOBIERNO DE LAS ORGANIZACIONES</t>
  </si>
  <si>
    <t>Mi fecha de egreso es el 21/08/2020. Y, la obtención del título es el 29/01/21.</t>
  </si>
  <si>
    <t>GESTION PUBLICA</t>
  </si>
  <si>
    <t>NO CUENTO CON EL GRADO</t>
  </si>
  <si>
    <t>TIENE_OTRO_POSGRADO</t>
  </si>
  <si>
    <t>POSGRADO_OTRO</t>
  </si>
  <si>
    <t>ESPECIALIDAD</t>
  </si>
  <si>
    <t>GRADO</t>
  </si>
  <si>
    <t>Construction Management</t>
  </si>
  <si>
    <t>-</t>
  </si>
  <si>
    <t>Es un diplomado.</t>
  </si>
  <si>
    <t>UNIVERSIDAD NACIONAL DE TRUJILLO</t>
  </si>
  <si>
    <t>GINECO OBSTETRA</t>
  </si>
  <si>
    <t>1994</t>
  </si>
  <si>
    <t>UNIVERSIDAD SAN ANTONIO ABAD DEL CUSCO</t>
  </si>
  <si>
    <t>DERECHO CONSTITUCIONAL</t>
  </si>
  <si>
    <t>Universidad Autónoma de Ica</t>
  </si>
  <si>
    <t>DOCTOR EN ADMINISTRACIÓN</t>
  </si>
  <si>
    <t>Inicio 2025</t>
  </si>
  <si>
    <t>UNIVERSIDAD NACIONAL AGRARIA LA MOLINA</t>
  </si>
  <si>
    <t>PRODUCCIÓN AGRICOLA</t>
  </si>
  <si>
    <t>UNIVERSIDAD FEDERICO VILLARREAL</t>
  </si>
  <si>
    <t>MEDIO AMBIENTE Y DESARROLLO SOSTENIBLE</t>
  </si>
  <si>
    <t>UNIVERSIDAD PARIS 1</t>
  </si>
  <si>
    <t>DESARROLLO AGRICOLA</t>
  </si>
  <si>
    <t>NO LO INSCRIBI EN SUNEDU</t>
  </si>
  <si>
    <t>Universidad de Granada</t>
  </si>
  <si>
    <t>Segunda especialización en educación intercultural, economía y medio ambiente</t>
  </si>
  <si>
    <t>Segunda especialización</t>
  </si>
  <si>
    <t>DERECHO CIVIL Y COMERCIAL</t>
  </si>
  <si>
    <t>ESTUDIOS CONCLUIDOS EN EL 2006</t>
  </si>
  <si>
    <t>CENTRO DE ALTOS ESTUDIOS NACIONALES - CAEN</t>
  </si>
  <si>
    <t>DESARROLLO Y DEFENSA NACIONAL</t>
  </si>
  <si>
    <t>Universidad ESAN</t>
  </si>
  <si>
    <t>Responsabilidad Social</t>
  </si>
  <si>
    <t>Diploma en Responsabilidad Social (Tercer Programa de Alta Especializacion en Responsabilidad Social) 100 sesiones de una hora y  treinta minutos cada una.</t>
  </si>
  <si>
    <t>UNIVERSIDAD NACIONAL DEL CENTRO DEL PERU</t>
  </si>
  <si>
    <t>ADMINISTRACIÓN MENCION INFORMATICA PARA LA GESTION</t>
  </si>
  <si>
    <t>TIENE_CARGO_PARTIDARIO</t>
  </si>
  <si>
    <t>ORGANIZACION_POLITICA_CARGO</t>
  </si>
  <si>
    <t>CARGO_PARTIDARIO</t>
  </si>
  <si>
    <t>FUNDADOR</t>
  </si>
  <si>
    <t>0000</t>
  </si>
  <si>
    <t>ALIANZA ELECTORAL AHORA NACION</t>
  </si>
  <si>
    <t>PRESIDENTE</t>
  </si>
  <si>
    <t>NUEVO PERU, POR DEMOCRACIA, SOBERANIA Y JUSTICIA</t>
  </si>
  <si>
    <t>APODERADO LEGAL</t>
  </si>
  <si>
    <t>SECRETARÍA NACIONAL DEL GRUPO PARLAMENTARIO</t>
  </si>
  <si>
    <t>ALIANZA REGIONAL JUNTOS POR AMAZONAS</t>
  </si>
  <si>
    <t>Fui militante, pero no tuve un cargo partidario.</t>
  </si>
  <si>
    <t>PERSONERO LEGAL TITULAR</t>
  </si>
  <si>
    <t>REPRESENTANTE LEGAL</t>
  </si>
  <si>
    <t>Soy representante legal hasta la actualidad.</t>
  </si>
  <si>
    <t>MI LORETO PARA TODOS</t>
  </si>
  <si>
    <t>VICE PRESIDENTE</t>
  </si>
  <si>
    <t>ALIANZA ELECTORAL DISUELTA</t>
  </si>
  <si>
    <t>LORETO PARA TODOS</t>
  </si>
  <si>
    <t>APODERADO</t>
  </si>
  <si>
    <t>ORGANIZACIÓN POLÍTICA DISUELTA</t>
  </si>
  <si>
    <t>SECRETARIO NACIONAL DEL GRUPO PARLAMENTARIO</t>
  </si>
  <si>
    <t>SECRETARÍA NACIONAL DE GOBIERNOS SUBNACIONALES</t>
  </si>
  <si>
    <t>SECRETARÍA NACIONAL DE MOVILIZACIÓN</t>
  </si>
  <si>
    <t>PARTIDO POLÍTICO FUERZA POPULAR</t>
  </si>
  <si>
    <t>SECRETARIA NACIONAL DE SEGURIDAD, ORDEN INTERNO Y DEFENSA NACIONAL</t>
  </si>
  <si>
    <t>AGRUPACION INDEPENDIENTE SI CUMPLE</t>
  </si>
  <si>
    <t>SECRETARÍA NACIONAL DE LA MUJER</t>
  </si>
  <si>
    <t>SECRETARÍA NACIONAL DE POLÍTICAS SOCIALES</t>
  </si>
  <si>
    <t>PARTIDO JUSTICIA NACIONAL</t>
  </si>
  <si>
    <t>MIEMBRO DE LA ASAMBLEA GENERAL</t>
  </si>
  <si>
    <t>INTEGRANDO UCAYALI</t>
  </si>
  <si>
    <t>PRESIDENTE FUNDADOR</t>
  </si>
  <si>
    <t>ROCA FUERTE - SEGUNDA JERUSALEN</t>
  </si>
  <si>
    <t>PARTIDO POPULAR CRISTIANO - PPC</t>
  </si>
  <si>
    <t>VICEPRESIDENTE</t>
  </si>
  <si>
    <t>SECRETARIO GENERAL NACIONAL</t>
  </si>
  <si>
    <t xml:space="preserve">TESORERO SUPLENTE </t>
  </si>
  <si>
    <t>VOCALÍA POLÍTICA</t>
  </si>
  <si>
    <t>RENOVACION POR EL DESARROLLO</t>
  </si>
  <si>
    <t>FRENTE DE INTEGRACION REGIONAL MOQUEGUA EMPRENDEDORA FIRME</t>
  </si>
  <si>
    <t>SECRETARIO REGIONAL DE POLÍTICA</t>
  </si>
  <si>
    <t>EL FRENTE AMPLIO POR JUSTICIA, VIDA Y LIBERTAD</t>
  </si>
  <si>
    <t>MIEMBRO DE LA COMISIÓN POLÍTICA NACIONAL</t>
  </si>
  <si>
    <t>PARTIDO POLÍTICO PERU POSIBLE</t>
  </si>
  <si>
    <t>miembro de comite distrital de oxapampa</t>
  </si>
  <si>
    <t>Región Pasco</t>
  </si>
  <si>
    <t>PAUCARPATA EN MARCHA</t>
  </si>
  <si>
    <t>SECRETARÍA NACIONAL DE IDEOLOGÍA, DOCTRINA Y FORMACIÓN POLÍTICA</t>
  </si>
  <si>
    <t>SECRETARÍA GENERAL NACIONAL</t>
  </si>
  <si>
    <t>PARTIDO POLÍTICO PARTIDO CIVICO OBRAS</t>
  </si>
  <si>
    <t>SECRETARIA DE ACTAS</t>
  </si>
  <si>
    <t>SECRETARÍA DE LA COMISIÓN POLÍTICA CONSULTIVA</t>
  </si>
  <si>
    <t>TRIBUNAL NACIONAL DE ÉTICA Y DISCIPLINA - PRESIDENTE</t>
  </si>
  <si>
    <t>SECRETARÍA DE PLAN DE GOBIERNO</t>
  </si>
  <si>
    <t>OFICINAS NACIONALES DE APOYO</t>
  </si>
  <si>
    <t>MOVIMIENTO REGIONAL SOMOS CALLAO</t>
  </si>
  <si>
    <t>PARTIDO POLÍTICO RENOVACION POPULAR</t>
  </si>
  <si>
    <t>INTEGRACION FUERZA SAN ANTONINA</t>
  </si>
  <si>
    <t xml:space="preserve">Hasta la actualidad. Adicional a ello, desde el 13/02/2024, ocupo el cargo de Sub Secretario General Nacional del partido político Fuerza Popular, el cual no figura en el sistema Declara. </t>
  </si>
  <si>
    <t>SECRETARÍA NACIONAL DE EDUCACIÓN, ARTE, CULTURA, INNOVACIÓN Y TECNOLOGÍA</t>
  </si>
  <si>
    <t>PROYECTO INTEGRACIONISTA DE COMUNIDADES ORGANIZADAS</t>
  </si>
  <si>
    <t>PERSONERO TÉCNICO TITULAR</t>
  </si>
  <si>
    <t>TINE_CARGO_ELECCION</t>
  </si>
  <si>
    <t>CARGO_ELECCION</t>
  </si>
  <si>
    <t>INFORMACION_COMPLEMTARIA</t>
  </si>
  <si>
    <t>GANA PERU</t>
  </si>
  <si>
    <t>CONGRESISTA DE LA REPÚBLICA</t>
  </si>
  <si>
    <t>FUERZA 2011</t>
  </si>
  <si>
    <t>ALIANZA POR EL FUTURO</t>
  </si>
  <si>
    <t>GOBERNADOR REGIONAL</t>
  </si>
  <si>
    <t>A la fecha viene desempeñando funciones. Electa periodo 2021-2026.</t>
  </si>
  <si>
    <t xml:space="preserve">He sido congresista en el Congreso Complementario. El sistema también debería precisar que he sido congresista del 2011 al 2016 por el partido político "Fuerza 2011", actualmente Fuerza Popular. </t>
  </si>
  <si>
    <t>ALIANZA NUEVA MAYORIA - CAMBIO 90</t>
  </si>
  <si>
    <t>CONGRESISTA CONSTITUYENTE</t>
  </si>
  <si>
    <t xml:space="preserve">He sido Congresista de la República por la organización Alianza Nueva Mayoría - Cambio 90 en el 2001-2006. Actualmente, el ROP precisa que la organización y mi persona tiene afiliación cancelada. </t>
  </si>
  <si>
    <t>PARTIDO APRISTA PERUANO</t>
  </si>
  <si>
    <t>ALCALDE PROVINCIAL</t>
  </si>
  <si>
    <t>PERIODO INTERRUMPIDO  POR EL CIERRE INCONSTITUCIONAL DEL CONGRESO EN  SETIEMBRE DEL 2019</t>
  </si>
  <si>
    <t>ACTUALMENTE VIENE EJERCIENDO FUNCIONES.  PERIODO 2021-2026</t>
  </si>
  <si>
    <t>SOLIDARIDAD NACIONAL</t>
  </si>
  <si>
    <t>REGIDOR PROVINCIAL</t>
  </si>
  <si>
    <t>HASTA EL SETIEMBRE 2019. POR DISOLUCIÓN DEL CONGRESO</t>
  </si>
  <si>
    <t>EL SISTEMA NO PERMITE ACTUALIZAR EL AÑO.
EN JULIO DE 2016 ASUMÍ EL CARGO DE CONGRESITA DE LA REPÚBLICA</t>
  </si>
  <si>
    <t xml:space="preserve">EL SISTEMA NO PERMITE MODIFICAR EL AÑO.
EL 30 DE SETIEMBRE SE DISOLVIÓ EL CONGRESO MEDIANTE DECRETO SUPREMO Nº 165-2019-PCM
</t>
  </si>
  <si>
    <t>ALIANZA ELECTORAL PERU 2000</t>
  </si>
  <si>
    <t>2001</t>
  </si>
  <si>
    <t>PERU POSIBLE</t>
  </si>
  <si>
    <t>El periodo culmina en el 2026.</t>
  </si>
  <si>
    <t>SE DEBE TENER EN CUENTA QUE FUI CONGRESISTA DESDE EL AÑO 2016 HASTA EL AÑO 2019, INTERRUMPIDO POR EL CIERRE DEL CONGRESO.
EL SISTEMA DECLARA NO PERMITE EDITAR EL AÑO, POR ELLO SE REALIZA LA PRECISIÓN.</t>
  </si>
  <si>
    <t>EJERCÍ FUNCIONES HASTA SETIEMBRE DEL 2019, CONGRESO DISUELTO</t>
  </si>
  <si>
    <t>En ejercicio de funciones del periodo 2021-2026</t>
  </si>
  <si>
    <t>UNIDAD NACIONAL</t>
  </si>
  <si>
    <t>PARTIDO POLITICO NACIONAL PERU LIBRE</t>
  </si>
  <si>
    <t>UNIDOS POR EL DESARROLLO DE AYACUCHO</t>
  </si>
  <si>
    <t>REGIDOR DISTRITAL</t>
  </si>
  <si>
    <t>PARTIDO NACIONALISTA PERUANO</t>
  </si>
  <si>
    <t>PARTIDO POLÍTICO UNION POR EL PERU</t>
  </si>
  <si>
    <t>MOVIMIENTO INDEPENDIENTE SOMOS PERU</t>
  </si>
  <si>
    <t>SOMOS LIMA</t>
  </si>
  <si>
    <t>1996</t>
  </si>
  <si>
    <t>1998</t>
  </si>
  <si>
    <t>ALIANZA ELECTORAL UNIDAD NACIONAL</t>
  </si>
  <si>
    <t>Presenté mi renuncia al cargo de alcalde metropolitano de lima el día 13 de octubre del 2025.</t>
  </si>
  <si>
    <t>El periodo parlamentario se dio del 2016 al 2020.</t>
  </si>
  <si>
    <t>TIENE_SENTENCIA_PENAL</t>
  </si>
  <si>
    <t>EXPEDIENTE</t>
  </si>
  <si>
    <t>SENTENCIA</t>
  </si>
  <si>
    <t>ORGANO_JUDICIAL</t>
  </si>
  <si>
    <t>DELITO</t>
  </si>
  <si>
    <t>FALLO</t>
  </si>
  <si>
    <t>MODALIDAD</t>
  </si>
  <si>
    <t>OTRA_MODALIDAD</t>
  </si>
  <si>
    <t>CUMPLE_FALLO</t>
  </si>
  <si>
    <t>055-1993</t>
  </si>
  <si>
    <t>22/07/1994</t>
  </si>
  <si>
    <t>2JP - PUCALLPA</t>
  </si>
  <si>
    <t>PELIGRO COMÚN Y OTRO</t>
  </si>
  <si>
    <t>RESERVA DEL FALLO</t>
  </si>
  <si>
    <t>RESERVA DE FALLO</t>
  </si>
  <si>
    <t>PENA CUMPLIDA</t>
  </si>
  <si>
    <t>REHABILITACIÓN 12-10-1998</t>
  </si>
  <si>
    <t>1212021</t>
  </si>
  <si>
    <t>07/03/2022</t>
  </si>
  <si>
    <t>Juzgado Unipersonal de Oxapampa Selva Central</t>
  </si>
  <si>
    <t>Difamación</t>
  </si>
  <si>
    <t>Querella</t>
  </si>
  <si>
    <t>SUSPENDIDA</t>
  </si>
  <si>
    <t>98-536</t>
  </si>
  <si>
    <t>28/05/1999</t>
  </si>
  <si>
    <t>26 JUZGADO PENAL DE LIMA</t>
  </si>
  <si>
    <t>LIBRAMIENTO Y COBRO INDEBIDO</t>
  </si>
  <si>
    <t>2 AÑOS</t>
  </si>
  <si>
    <t>OTRO</t>
  </si>
  <si>
    <t>FIJÁNDOSE PENA PRIVATIVA DE LIBERTAD CONDICIONAL</t>
  </si>
  <si>
    <t>311-98</t>
  </si>
  <si>
    <t>25/05/1999</t>
  </si>
  <si>
    <t>42 JUZGADO PENAL DE LIMA</t>
  </si>
  <si>
    <t>CONTRA LA CONFIANZA Y LA BUENA FE EN LOS NEGOCIOS</t>
  </si>
  <si>
    <t>1 AÑO</t>
  </si>
  <si>
    <t>0</t>
  </si>
  <si>
    <t>07/02/2013</t>
  </si>
  <si>
    <t>1. Causa penal prescrita. (privado en sociedad comercial)
2. Sentencia penal suspendida. (modalidad de estafa dentro de una sociedad privada)</t>
  </si>
  <si>
    <t>TIENE_SENTENCIA_NO_PENAL</t>
  </si>
  <si>
    <t>MATERIA</t>
  </si>
  <si>
    <t>ORGANO_JURIDICO</t>
  </si>
  <si>
    <t>FAMILIA / ALIMENTARIA</t>
  </si>
  <si>
    <t>00193-2021-29-1809-JP-FC-05</t>
  </si>
  <si>
    <t>Segundo Juzgado Paz Letrado Barranco y Miraflores</t>
  </si>
  <si>
    <t>Declara fundada la demanda de ejecución de acta de conciliación.</t>
  </si>
  <si>
    <t>0207</t>
  </si>
  <si>
    <t>PRIMER JUZGADO MIXTO - RIOJA - SAN MARTIN</t>
  </si>
  <si>
    <t>FUNDADA LA DEMANDA</t>
  </si>
  <si>
    <t>AÑO 2001 - SIN DEUDA PENDIENTE DE PAGO</t>
  </si>
  <si>
    <t>5742018</t>
  </si>
  <si>
    <t>JUZGADO PAZ LETRADO DE TAMBOPATA</t>
  </si>
  <si>
    <t>FUNDADA EN PARTE</t>
  </si>
  <si>
    <t>574-2018</t>
  </si>
  <si>
    <t>00221-2021</t>
  </si>
  <si>
    <t>Juzgado de Paz Letrado de Oxapampa</t>
  </si>
  <si>
    <t>Sentencia</t>
  </si>
  <si>
    <t>00205-2025</t>
  </si>
  <si>
    <t>Pago por alimentos</t>
  </si>
  <si>
    <t>036-2011</t>
  </si>
  <si>
    <t>FUNDADA</t>
  </si>
  <si>
    <t>321-2000</t>
  </si>
  <si>
    <t>SEGUNDO JUZGADO DE PAZ LETRADO ABANCAY</t>
  </si>
  <si>
    <t>QUE SE DESCUENTE EL 20% A FAVOR DEL MENOR WILLIAM ANDRES RAMOS TEVES</t>
  </si>
  <si>
    <t>EXONERACIÓN EXPEDIENTE 00351-2018-0-0301-JP-FC-02/SENTENCIA RESOLUCIÓN NÚMERO N 07-AB (18.01-2019)</t>
  </si>
  <si>
    <t>TIENE_RENUNCIA</t>
  </si>
  <si>
    <t>ORGANIZACION_POLIICA_RENUNCIA</t>
  </si>
  <si>
    <t>UNION POR EL PERU</t>
  </si>
  <si>
    <t>Me inscribí el 25/06/2024 y renuncié el 16/09/2024.</t>
  </si>
  <si>
    <t>ALIANZA SOLIDARIDAD NACIONAL</t>
  </si>
  <si>
    <t>ALIANZA ELECTORAL SOLIDARIDAD NACIONAL - UPP</t>
  </si>
  <si>
    <t>ME REINSCRIBI EN JULIO DEL 2024 A EL PARTIDO POLÍTICO FUERZA POPULAR</t>
  </si>
  <si>
    <t>Organización política PERU POSIBLE CANCELADA desde el 13 de julio del 2017. Afiliación cancelada.</t>
  </si>
  <si>
    <t>AFILIACION CANCELADA</t>
  </si>
  <si>
    <t>Afiliación cancelada</t>
  </si>
  <si>
    <t>RENUNCIÉ A EJERCER DEFENSA EN PROCESO DISCIPLINARIO CONSIDERADO ILEGAL, POR LO TANTO FUI SEPARADO DEL PARTIDO POPULAR CRISTIANO.</t>
  </si>
  <si>
    <t>ALIANZA NACIONAL DE TRABAJADORES AGRICULTORES UNIVERSITARIOS RESERVISTAS Y OBREROS</t>
  </si>
  <si>
    <t>PARTIDO DEMOCRATICO SOMOS PERU</t>
  </si>
  <si>
    <t>QOSQOLLAY</t>
  </si>
  <si>
    <t>SU AFILIACION AL PARTIDO UNION POR EL PERÚ, FUE CANCELADA PORQUE PERDIO LA INSCRIPCIÓN</t>
  </si>
  <si>
    <t>SU AFILIACIÓN AL PARTIDO PERÚ POSIBLE FUE CANCELADA, PORQUE PERDIO LA INSCRIPCIÓN</t>
  </si>
  <si>
    <t>PERU MODERNO</t>
  </si>
  <si>
    <t>RENOVACION NACIONAL</t>
  </si>
  <si>
    <t>FRENTE AMPLIO PARA EL DESARROLLO DEL PUEBLO</t>
  </si>
  <si>
    <t>FUERZA NACIONAL</t>
  </si>
  <si>
    <t>TIENE_INGRESOS</t>
  </si>
  <si>
    <t>REMUNERACION_BRUTA_PUBLICA</t>
  </si>
  <si>
    <t>REMUNERACION_BRUTA_PRIVADA</t>
  </si>
  <si>
    <t>RENTA_INDIVIDUAL_PUBLICA</t>
  </si>
  <si>
    <t>RENTA_INDIVIDUAL_PRIVADA</t>
  </si>
  <si>
    <t>OTRO_INGRESO_PUBLICO</t>
  </si>
  <si>
    <t>OTRO_INGRESO_PRIVADO</t>
  </si>
  <si>
    <t>INGRESOS_TOTALES</t>
  </si>
  <si>
    <t>TIENE_INMUEBLE</t>
  </si>
  <si>
    <t>TIPO_BIEN</t>
  </si>
  <si>
    <t>INSCRITO_SUNARP</t>
  </si>
  <si>
    <t>PARTIDA</t>
  </si>
  <si>
    <t>AUTOVALUO</t>
  </si>
  <si>
    <t>VALOR</t>
  </si>
  <si>
    <t>REGISTRO DE PREDIOS</t>
  </si>
  <si>
    <t>CALLE ENRIQUE PALACIOS NUM 960     MIRAFLORES - LIMA - LIMA</t>
  </si>
  <si>
    <t>11901855</t>
  </si>
  <si>
    <t>Recientemente se actualizó la dirección conforme a la información que figura en SUNARP. Dirección correcta: Calle Enrique Palacios 966 Miraflores. El inmueble es una cochera.
El valor de autovalúo no se consigna por no contarse con documento que acredite dicho valor al momento de la declaración. Me comprometo a presentarlo en caso de solicitud.</t>
  </si>
  <si>
    <t>CALLE ENRIQUE PALACIOS NUM 966     MIRAFLORES - LIMA - LIMA</t>
  </si>
  <si>
    <t>11901826</t>
  </si>
  <si>
    <t>Recientemente se actualizó la dirección conforme a la información que figura en SUNARP. Dirección correcta: Calle Enrique Palacios 960 Miraflores. El inmueble es un departamento.
El valor de autovalúo no se consigna por no contarse con documento que acredite dicho valor al momento de la declaración. Me comprometo a presentarlo en caso de solicitud.</t>
  </si>
  <si>
    <t xml:space="preserve">      URB VELASCO ASTETE CUSCO - CUSCO - CUSCO</t>
  </si>
  <si>
    <t>11091618</t>
  </si>
  <si>
    <t>Anticipo de herencia. El valor de autovalúo no se consigna por no contar con el documento físico al momento de la declaración.</t>
  </si>
  <si>
    <t>AVENIDA MANUEL CIPRIANO DULANTO NUM 1213-1001 DPTO N° 1001 - DECIMO PISO URB COLMENARES PUEBLO LIBRE - LIMA - LIMA</t>
  </si>
  <si>
    <t>14622217</t>
  </si>
  <si>
    <t>Crédito hipotecario adquirido 2020.</t>
  </si>
  <si>
    <t>AVENIDA MANUEL CIPRIANO DULANTO NUM 1213-D19 DEPOSIT N° 19 - SOTANO 2 URB COLMENARES PUEBLO LIBRE - LIMA - LIMA</t>
  </si>
  <si>
    <t>14622135</t>
  </si>
  <si>
    <t>Cancelado</t>
  </si>
  <si>
    <t>AVENIDA GENERAL ANDRES DE SANTA CRUZ NUM 367 DPTO N°902 - NOVENO PISO URB DEL FUNDO JESÚS MARÍA JESUS MARIA - LIMA - LIMA</t>
  </si>
  <si>
    <t>14166977</t>
  </si>
  <si>
    <t>Se coloca el autovalúo como valor referencial del predio.</t>
  </si>
  <si>
    <t>JIRON CAMILO BLAS NUM 148   URB HORACIO ZEBALLOS GAMEZ CAJAMARCA - CAJAMARCA - CAJAMARCA</t>
  </si>
  <si>
    <t>11110142</t>
  </si>
  <si>
    <t>PASAJE ARZOBISPO TOVAR NUM 120   FUNDO OYAGUE MAGDALENA DEL MAR - LIMA - LIMA</t>
  </si>
  <si>
    <t>46395174</t>
  </si>
  <si>
    <t>Valor original en dólares que aparece en escritura pública: U$D 195,000.00. Convertido a soles con tipo de cambio de 3.37 (SBS 18/12). Se coloca el autovalúo como valor referencial del predio.</t>
  </si>
  <si>
    <t>OTROS 100% BIEN PROPIO DEL CONYUGUE O CONCUBINO (A)</t>
  </si>
  <si>
    <t>CALLE MIROQUESADA NRO. 1050 SAN ISIDRO, PERÚ, LIMA, SAN ISIDRO</t>
  </si>
  <si>
    <t>0011155563</t>
  </si>
  <si>
    <t>EN AMBOS VALORES SE CONSIGNAN EL VALOR DE AUTOVALUO.</t>
  </si>
  <si>
    <t>CASA 100% BIEN PROPIO DEL CONYUGUE O CONCUBINO (A)</t>
  </si>
  <si>
    <t>CALLE MORALLES DE LA TORRE NRO.147 SAN ISIDRO, PERÚ, LIMA, SAN ISIDRO</t>
  </si>
  <si>
    <t>00000000095281</t>
  </si>
  <si>
    <t>OTROS 100% BIEN PROPIO DEL CONYUGUE O CONCUBINO(A)</t>
  </si>
  <si>
    <t>CALLE MIROQUESADA NRO. 1048 SAN ISIDRO, PERÚ, LIMA, SAN ISIDRO</t>
  </si>
  <si>
    <t>01155535</t>
  </si>
  <si>
    <t>CALLE PIRULIN MZ K LOTE 2 URB PARCELACION SHANGRI-LA, SEGUNDA ETAPA PUENTE PIEDRA - LIMA - LIMA</t>
  </si>
  <si>
    <t>42976660</t>
  </si>
  <si>
    <t>Esta partida registral se ha cerrado por haberse subdividido en dos partidas:
En la Partida 15005591, Asiento 3, se puede verificar que transferí la propiedad del inmueble.
En la Partida 15005592, Asiento 3, se puede verificar que transferí la propiedad del inmueble.</t>
  </si>
  <si>
    <t xml:space="preserve">  MZ C LOTE 2 URB RESIDENCIAL DENSIDAD MEDIA (RDM) NUEVO CHIMBOTE - SANTA - ANCASH</t>
  </si>
  <si>
    <t>11120483</t>
  </si>
  <si>
    <t>CASA. LA SUSCRITA SOLO POSEE EL 50% DEL BIEN Y EL VALOR DE AUTOVALUO SOLO SE HA CONSIGADO EL MONTO AL % QUE LE CORRESPONDE. EN AMBOS VALORES SE DUPLICA EL VALOR DE AUTOVALUO</t>
  </si>
  <si>
    <t>SECCION ESPECIAL DE PREDIOS RURALES</t>
  </si>
  <si>
    <t>UBICACION RURAL PARCELA Nº 02 DE LA PARCELACION ASCENCION DEL AGUAYTILLO III ETAPA   AREA Ha. 40.7724 HA SECTOR ASCENCION DEL AGUAYTILLO UU.CC. 12342 ALEXANDER VON HUMBOLD - PADRE ABAD - UCAYALI</t>
  </si>
  <si>
    <t>40006167</t>
  </si>
  <si>
    <t>TERRENO.  EN EL ITEM VALOR, SE CONSIGNA EL VALOR DE ADQUISICIÓN. LA SUSCRITA ES COPROPIETARIA DEL BIEN CON SU CONVIVIENTE</t>
  </si>
  <si>
    <t>SANTA-CHIMBOTE- MZ W LOTE 1B - PUEBLO JOVEN MIRAMAR BAJO</t>
  </si>
  <si>
    <t>P09102740</t>
  </si>
  <si>
    <t>Casa. En ambos valores se duplica el valor del autovaluo.</t>
  </si>
  <si>
    <t>SANTA-CHIMBOTE- MZ W LOTE 1 - PUEBLO JOVEN MIRAMAR BAJO</t>
  </si>
  <si>
    <t>P09001113</t>
  </si>
  <si>
    <t>CASA. EN EL ITEM VALOR SE CONSIGNA EL PRECIO DE ADQUISICIÓN.</t>
  </si>
  <si>
    <t>CASA</t>
  </si>
  <si>
    <t>Urbanización villa agraria Mz C LT 05. Nuevo Chimbote. Ancash</t>
  </si>
  <si>
    <t>A la fecha el bien no tiene título, no obstante se encuentra inscrito en la Municipalidad correspondiente. En ambos valores se duplica el valor del autovaluo.</t>
  </si>
  <si>
    <t>SANTA-NUEVO CHIMBOTE- MZ N LOTE 14 UNIDAD A - PROGRAMA DE VIVIENDA PRIMERA ETAPA UNID.U-1 NUCLEO URB</t>
  </si>
  <si>
    <t>P09153149</t>
  </si>
  <si>
    <t>Terreno. En ambos valores se duplica el valor del autovaluo.</t>
  </si>
  <si>
    <t>LOTE 30, KM 115. PANAMERICANA SUR, ASIA, CAÑETE.</t>
  </si>
  <si>
    <t>Los valores consignados corresponden al valor del autovalúo del año 2025.</t>
  </si>
  <si>
    <t>MATIER 655, SAN BORJA, LIMA</t>
  </si>
  <si>
    <t>0000390068</t>
  </si>
  <si>
    <t>MAYNAS-IQUITOS- CALLE ATLANTIDA NUM 821      ETAPA SEGUNDA - PUEBLO JOVEN BERMUDEZ</t>
  </si>
  <si>
    <t>P12019662</t>
  </si>
  <si>
    <t>EL VALOR CONSIDERADO EN AMBOS CASOS ES EL VALOR DEL AUTOVALUO 2025. SE PRECISA QUE EL INMUEBLE TIENE COMO PARTIDA EL N° 55019578 Y COMO FICHA/TOMO  EL N° 12019662, AMBOS REGISTRO APARECEN EN EL REPORTE DE REGISTRO DE PREDIOS DE LA SUNARP.</t>
  </si>
  <si>
    <t>JIRON HUALLAGA NUM 1947 AREA Ha. 138.50M2 SECTOR BARRIO SAN JUAN JUANJUI - MARISCAL CACERES - SAN MARTIN</t>
  </si>
  <si>
    <t>11021613</t>
  </si>
  <si>
    <t>EN AMBOS CASOS EL VALOR CONSIGNADO ES EL  VALOR DEL AUTOVALUO</t>
  </si>
  <si>
    <t>DERECHOS MINEROS</t>
  </si>
  <si>
    <t>ZONA: ZONA REGISTRAL V - SEDE TRUJILLO; OFICINA: TRUJILLO</t>
  </si>
  <si>
    <t>11189046</t>
  </si>
  <si>
    <t>CONCESIÓN CARBONERA SANAGORAN. SE DECLARÓ EXTINGUIDO EL DERECHO MINERO POR CAUSAL DE CADUCIDAD EL 17/10/2017</t>
  </si>
  <si>
    <t>11189295</t>
  </si>
  <si>
    <t>CONCESIÓN CARBONERA SANAGORAN UNO. SE DECLARÓ EXTINGUIDO EL DERECHO MINERO POR CAUSAL DE CADUCIDAD EL 17/10/2017,</t>
  </si>
  <si>
    <t>11204277</t>
  </si>
  <si>
    <t>CONCESIÓN MARILIA XXVII. FUE TRANSFERIDA A LA COMPAÑÍA MINERA MARILIA &amp; FCS SAC, el 21/08/2017</t>
  </si>
  <si>
    <t>11204279</t>
  </si>
  <si>
    <t>CONCESIÓN MARILIA XXVII. Se transfirió a la COMPAÑÍA MINERA MARILIA &amp; FCS SAC, el 21/08/2017</t>
  </si>
  <si>
    <t>11204504</t>
  </si>
  <si>
    <t>CONCESIÓN MARILIA XXI, SE TRANSFIRIÓ AL PROPIETARIO COMPAÑÍA MINERA MARILIA &amp; FCS S.A.C. - SE HACE LA PRECISIÓN QUE EXISTE DUPLICIDAD DE ESTA PARTIDA</t>
  </si>
  <si>
    <t>CONCESIÓN MARILIA XXI, SE TRANSFIRIÓ AL PROPIETARIO COMPAÑÍA MINERA MARILIA &amp; FCS S.A.C.</t>
  </si>
  <si>
    <t>11218368</t>
  </si>
  <si>
    <t>CONCESIÓN MARILIA XXIII, TITULAR  COMPAÑÍA MINERA MARILIA &amp; FCS SAC</t>
  </si>
  <si>
    <t>SOCIEDADES LEGALES</t>
  </si>
  <si>
    <t>11311267</t>
  </si>
  <si>
    <t>SE TRANSFIRIO A TECNOLOGIA MINERAL ANDINA SAC Y A TECNOLOGIA MINERAL ROCA BLANCA SL SUCURSAL PERÚ</t>
  </si>
  <si>
    <t>11313229</t>
  </si>
  <si>
    <t>SOCIEDAD DE RESPONSABILIDAD LIMITADA MARIONA TRANSFIRIO A:  TECNOLOGÍA MINERAL ANDINA S.A.C, TECNOLOGÍA MINERAL ROCA BLANCA S.L. SUCURSAL PERU, y VIRGILIO TORREALVA VALVERDE.</t>
  </si>
  <si>
    <t>11383922</t>
  </si>
  <si>
    <t>CONCESIÓN CALERA III, SE EXTINGUIÓ EN EL 2021</t>
  </si>
  <si>
    <t>11383924</t>
  </si>
  <si>
    <t>CONCESIÓN IVAN I - SE EXTINGUIÓ EN EL 2021</t>
  </si>
  <si>
    <t>INMUEBLE</t>
  </si>
  <si>
    <t>CALLE HUAMAN S/N MZ B LOTE 15 URB. HUAMAN, VICTOR LARCO HERRERA, TRUJILLO, LA LIBERTAD</t>
  </si>
  <si>
    <t>EN AMBOS CASOS EL VALOR CONSIGNADO ES EL VALOR DEL AUTOVALUO</t>
  </si>
  <si>
    <t>CALLE HUAMAN S/N MZ C LOTE 6 URB. HUAMAN, VICTOR LARCO HERRERA, TRUJILLO, LA LIBERTAD</t>
  </si>
  <si>
    <t>11385183</t>
  </si>
  <si>
    <t>SOCIEDAD MINERA DE RESPONSABILIDAD LIMITADA QUIRRIPE. SE  LIQUIDÓ EL 09.01.2023.</t>
  </si>
  <si>
    <t>11386266</t>
  </si>
  <si>
    <t>CONCESIÓN ENERGÍAS VERDES IV, SE TRANSFIRIO LA TITULARIDAD EN EL 2019 A OTRA SOCIEDAD, YA NO SE ENCUENTRA A NOMBRE DE VICTOR FLORES RUIZ</t>
  </si>
  <si>
    <t>11394990</t>
  </si>
  <si>
    <t>CONCESIÓN JOAQUIN II. Se Extinguió el derecho minero por no pago 2020- 2021, el 18/11/2021</t>
  </si>
  <si>
    <t>TRUJILLO-TRUJILLO- AV PROLONGACION UNION NUM 1578-1582-1584 LOTE 7-8 MZ A - PROGRAMA DE VIVIENDA COR</t>
  </si>
  <si>
    <t>P14237324</t>
  </si>
  <si>
    <t>CONDOMINIO S/N MZ AC LT 05 URB. PUERTA DEL SOL, CHICLAYO, CHICLAYO, LAMBAYEQUE</t>
  </si>
  <si>
    <t>11224539</t>
  </si>
  <si>
    <t>JIRON JUNIN NUM 631 OFIC 304 3ER PISO  TRUJILLO TRUJILLO - TRUJILLO - LA LIBERTAD</t>
  </si>
  <si>
    <t>03000339</t>
  </si>
  <si>
    <t>CALLE LIBERTAD   SUB LOTE 01   SIMBAL - TRUJILLO - LA LIBERTAD</t>
  </si>
  <si>
    <t>03022089</t>
  </si>
  <si>
    <t>CALLE LIBERTAD   SUB LOTE 02   SIMBAL - TRUJILLO - LA LIBERTAD</t>
  </si>
  <si>
    <t>03022090</t>
  </si>
  <si>
    <t>CALLE LIBERTAD   SUB LOTE 03   SIMBAL - TRUJILLO - LA LIBERTAD</t>
  </si>
  <si>
    <t>03022091</t>
  </si>
  <si>
    <t>CALLE LIBERTAD   SUB LOTE 04   SIMBAL - TRUJILLO - LA LIBERTAD</t>
  </si>
  <si>
    <t>03022092</t>
  </si>
  <si>
    <t>CALLE OBISPO MARCELO CORNE NUM 159 161 163   URB SAN ANDRES TRUJILLO - TRUJILLO - LA LIBERTAD</t>
  </si>
  <si>
    <t>03080766</t>
  </si>
  <si>
    <t>CALLE BOLIVAR NUM 224 226    TRUJILLO TRUJILLO - TRUJILLO - LA LIBERTAD</t>
  </si>
  <si>
    <t>11007731</t>
  </si>
  <si>
    <t>- SE PRECISA LA DIRECCIÓN, JR. BOLIVAR 224 URBANIZACIÓN CENTRO HISTÓRICO.
- EN AMBOS CASOS EL VALOR CONSIGNADO ES EL VALOR DEL AUTOVALUO</t>
  </si>
  <si>
    <t>#########</t>
  </si>
  <si>
    <t>P14069391</t>
  </si>
  <si>
    <t>NO SE PUEDE CONSIGNAR LA DIRECCIÓN EN EL ITEM INDICADO
SE PRECISA DIRECCIÓN: PASAJE MANUEL UBALDE S/N MZ. B LT.19 URBANIZACIÓN RAZURI, ETAPA I, TRUJILLO, TRUJILLO, LA LIBERTAD
EN AMBOS CASOS EL VALOR CONSIGNADO ES EL VALOR DEL AUTOVALUO</t>
  </si>
  <si>
    <t>ZONA: ZONA REGISTRAL V - SEDE TRUJILLO; OFICINA: SAN PEDRO</t>
  </si>
  <si>
    <t>04005706</t>
  </si>
  <si>
    <t>- DIRECCIÓN LIMONCARRO S/N GUADALUPE, PACASMAYO, LA LIBERTAD
- EN AMBOS CASOS EL VALOR CONSIGNADO ES EL VALOR DEL AUTOVALUO,</t>
  </si>
  <si>
    <t>P14084872</t>
  </si>
  <si>
    <t>- DIRECCIÓN: CALLE TUMBOS 1630 HUANCHACO, TRUJILLO, LA LIBERTAD.
- EN AMBOS CASOS EL VALOR CONSIGNADO ES EL VALOR DEL AUTOVALUO</t>
  </si>
  <si>
    <t>UBICACION RURAL VALLE MOCHE PREDIO CONACHE SECTOR V PARCELA LOTE VDC-25 PARCELA LOTE VDC-25     LAREDO - TRUJILLO - LA LIBERTAD</t>
  </si>
  <si>
    <t>04008308</t>
  </si>
  <si>
    <t>- CONACHE S/N MZ VDC LT-25 LAREDO TRUJILLO LA LIBERTAD
-EN AMBOS CASOS EL VALOR CONSIGNADO ES EL VALOR DEL AUTOVALUO</t>
  </si>
  <si>
    <t>P14069368</t>
  </si>
  <si>
    <t>NO SE PERMITE CONSIGNAR LA DIRECCIÓN EN EL ITEM INDICADO.
SE PRECISA QUE LA DIRECCIÓN ES:  AV. PROLONGACIÓN UNIÓN 1570 MZ A LT. 6 URBANIZACIÓN RAZURI, TRUJILLO, TRUJILLO, LA LIBERTAD
EN AMBOS CASOS EL VALOR CONSIGNADO ES EL VALOR DEL AUTOVALUO</t>
  </si>
  <si>
    <t>P14159191</t>
  </si>
  <si>
    <t>- DIRECCIÓN: CALLE SANTOS CHOCANO S/N POROTO, TRUJILLO, LA LIBERTAD.
- EN AMBOS CASOS EL VALOR CONSIGNADO ES EL VALOR DEL AUTOVALUO</t>
  </si>
  <si>
    <t>UBICACION RURAL VALLE MOCHE PREDIO JUSHAPE     U.C. 03948 MOCHE - TRUJILLO - LA LIBERTAD</t>
  </si>
  <si>
    <t>04041791</t>
  </si>
  <si>
    <t>- JR. JUSHAPE 1943 URBANIZACIÓN CAMPIÑA MOCHE TRUJILLO - LA LIBERTAD
EN AMBOS CASOS EL VALOR CONSIGNADO ES EL VALOR DEL AUTOVALUO</t>
  </si>
  <si>
    <t>AVENIDA GIRALDEZ 542-550 HUANCAYO-HUANCAYO JUNÍN</t>
  </si>
  <si>
    <t>11022956</t>
  </si>
  <si>
    <t>100% SOCIEDAD CONYUGAL.
El valor comercial consignado es el brindado por el candidato.</t>
  </si>
  <si>
    <t>CALLE CREPI MZ. M9 LOTE 9 URB.SAN BORJA SUR PRIMERA ETAPA</t>
  </si>
  <si>
    <t>41904380</t>
  </si>
  <si>
    <t>CASA. 100% SOCIEDAD CONYUGAL.
El valor comercial consignado es el brindado por el candidato.</t>
  </si>
  <si>
    <t>AV. SAN CARLOS 1745 HUANCAYO JUNÍN</t>
  </si>
  <si>
    <t>CASA 100% SOCIEDAD CONYUGAL
El valor comercial consignado es el brindado por el candidato.</t>
  </si>
  <si>
    <t>Estacionamiento</t>
  </si>
  <si>
    <t>Prolongación Arenales Nro. 265 Estacionamiento 103</t>
  </si>
  <si>
    <t>49029033</t>
  </si>
  <si>
    <t>Se considera en ambos casos el valor de autovaluo 2025.</t>
  </si>
  <si>
    <t>Calle Granados Nro. 202 Dtpo. Estacionamiento Mz M13 Lt03 - San Borja</t>
  </si>
  <si>
    <t>45587983</t>
  </si>
  <si>
    <t>Av. Velasco Astete Nro. 1357</t>
  </si>
  <si>
    <t>44851636</t>
  </si>
  <si>
    <t>Departamento</t>
  </si>
  <si>
    <t>Av. Velasco Astete Nro. 1357 Dpto. 103</t>
  </si>
  <si>
    <t>44851679</t>
  </si>
  <si>
    <t>CALLE GRANADOS NUM 202 DPTO 201 URB GRANADOS SAN BORJA - LIMA - LIMA</t>
  </si>
  <si>
    <t>42121673</t>
  </si>
  <si>
    <t>terreno</t>
  </si>
  <si>
    <t>Barrio empleado Urb. Proceres Organos Talara</t>
  </si>
  <si>
    <t>11019829</t>
  </si>
  <si>
    <t>Propietaria del 50% de acciones y derechos.
Se considera en ambos casos el valor de autovaluo 2025.</t>
  </si>
  <si>
    <t>Prolongación Arenales Nro. 863 Dpt 202</t>
  </si>
  <si>
    <t>49029055</t>
  </si>
  <si>
    <t>Casa</t>
  </si>
  <si>
    <t>Asoc. Vivienda Mz A Lt 2 - ICA</t>
  </si>
  <si>
    <t>02009314</t>
  </si>
  <si>
    <t>Déposito</t>
  </si>
  <si>
    <t>Av, Arenales Nro. 865 Deposito Nro. 05</t>
  </si>
  <si>
    <t>49029042</t>
  </si>
  <si>
    <t>AVENIDA ALEJANDRO VELASCO ASTETE NUM 1314 - 1320 LOTE 1 DE LA MANZANA  J URB VALLE HERMOSO DE MONTERRICO SANTIAGO DE SURCO - LIMA - LIMA</t>
  </si>
  <si>
    <t>44631008</t>
  </si>
  <si>
    <t>CALLE SETIMO PISO: NIVEL "F" MZ A LOTE 1 PARCELA M-2 DEL LOTE 6 FUNDO PARCELACION FUNDO VISTA ALEGRE Y ANEXOS ATE - LIMA - LIMA</t>
  </si>
  <si>
    <t>11345057</t>
  </si>
  <si>
    <t>Palco Suite- estadio Monumental</t>
  </si>
  <si>
    <t xml:space="preserve">  MZ XX LOTE 4 URB LAS LAGUNAS DE PUERTO VIEJO SAN ANTONIO - CAÑETE - LIMA</t>
  </si>
  <si>
    <t>21004246</t>
  </si>
  <si>
    <t>Casa de playa</t>
  </si>
  <si>
    <t xml:space="preserve">  NUM 01 LOTE 8   LOS ORGANOS - TALARA - PIURA</t>
  </si>
  <si>
    <t>11010001</t>
  </si>
  <si>
    <t>Casa de Playa</t>
  </si>
  <si>
    <t>JIRON LA CIMA NUM 277   URB LAS CASUARINAS - ALTA PRIMERA ETAPA SANTIAGO DE SURCO - LIMA - LIMA</t>
  </si>
  <si>
    <t>11839216</t>
  </si>
  <si>
    <t>UBICACION RURAL SECTOR POMANCCAY / PREDIO YURACC ORCCO   AREA Ha. 2.2600 U.C. 08040 LURICOCHA - HUANTA - AYACUCHO</t>
  </si>
  <si>
    <t>11006638</t>
  </si>
  <si>
    <t>Predio rústico Yuracc Orcco</t>
  </si>
  <si>
    <t>UBICACION RURAL IRRIGACION SAN IGNACIO   AREA Ha. 87.1700   HUMAY - PISCO - ICA</t>
  </si>
  <si>
    <t>40005550</t>
  </si>
  <si>
    <t>Predio rústico San Ignacio</t>
  </si>
  <si>
    <t>UBICACION RURAL LOTES CABECERA SALITRE MISQUIHUASI CRUZMALLE PATIPAMPA PATIPAMPA ALTO HUAYANTO JOYA CERCO TOMA   AREA Ha. 22.2700 ZONA ALTA EN LA REGION DE PAMPANO/FUNDO PATIPAMPA HUANCANO - PISCO - ICA</t>
  </si>
  <si>
    <t>11006354</t>
  </si>
  <si>
    <t>Predio rústico Patipampa</t>
  </si>
  <si>
    <t>UBICACION RURAL SECTOR HUANCANO/ PREDIO HUANCANO Y OTROS PARCELA 8_4308495_076360 AREA Ha. 46.6348 U.C. 076360 HUANCANO - PISCO - ICA</t>
  </si>
  <si>
    <t>40000057</t>
  </si>
  <si>
    <t>Predio rústico Huancano</t>
  </si>
  <si>
    <t>UBICACION RURAL SECTOR HIGOSMONTE/PREDIO EL REPOSO   AREA Ha. 13.0684 U.C. 8_4308495_076125 HUANCANO - PISCO - ICA</t>
  </si>
  <si>
    <t>11008957</t>
  </si>
  <si>
    <t>Predio rústico El Reposo</t>
  </si>
  <si>
    <t>UBICACION RURAL SECTOR  ISCUTACOCC  PREDIO  LOZA LOZA   AREA Ha. 31.9821 U.C. 8_5758570_16316 LURICOCHA - HUANTA - AYACUCHO</t>
  </si>
  <si>
    <t>11001332</t>
  </si>
  <si>
    <t>Predio rústico Loza Loza</t>
  </si>
  <si>
    <t>UBICACION RURAL VALLE SIN VALLE / SECTOR IZCUTACOCC / FUNDO EL MILAGRO I PARCELA 8_5758570_171245 AREA Ha. 8.7433 U.C. 171245 LURICOCHA - HUANTA - AYACUCHO</t>
  </si>
  <si>
    <t>11012929</t>
  </si>
  <si>
    <t>Predio rústico El Milagro I</t>
  </si>
  <si>
    <t>UBICACION RURAL VALLE SIN VALLE / SECTOR IZCUTACOCC / FUNDO EL MILAGRO II PARCELA 8_5758570_171247 AREA Ha. 18.0608 U.C. 171247 LURICOCHA - HUANTA - AYACUCHO</t>
  </si>
  <si>
    <t>11012930</t>
  </si>
  <si>
    <t>Predio rústico El Milagro II</t>
  </si>
  <si>
    <t>UBICACION RURAL SECTOR IZCUTACOCC/ PREDIO MACHO PAMPA I PARCELA 8_5758570_16317 AREA Ha. 17.5534 U.C. 16317 LURICOCHA - HUANTA - AYACUCHO</t>
  </si>
  <si>
    <t>40011508</t>
  </si>
  <si>
    <t>Predio rústico Macho Pampa I</t>
  </si>
  <si>
    <t>UBICACION RURAL SECTOR IZCUTACOCC / PREDIO LOSA LOSA   AREA Ha. 6.6874 U.C. 16323 LURICOCHA - HUANTA - AYACUCHO</t>
  </si>
  <si>
    <t>40011511</t>
  </si>
  <si>
    <t>Predio rústico Losa Losa</t>
  </si>
  <si>
    <t>UBICACION RURAL PREDIO VARGAS PAMPA / SECTOR IZCUTACOCC   AREA Ha. 11.5444 U.C. 16314 LURICOCHA - HUANTA - AYACUCHO</t>
  </si>
  <si>
    <t>40011336</t>
  </si>
  <si>
    <t>Predio rústico Vargas Pampa</t>
  </si>
  <si>
    <t>UBICACION RURAL COD_PREDIO 8_5708570_08039   AREA Ha. 3.1800 SECTOR IRIBAMBA U.C 08039  PREDIO SAN IGNACIO LURICOCHA - HUANTA - AYACUCHO</t>
  </si>
  <si>
    <t>40019417</t>
  </si>
  <si>
    <t>UBICACION RURAL PREDIO LOSA LOSA / SECTOR IZCUTACOCC   AREA Ha. 7.9300 U.C. 16313 LURICOCHA - HUANTA - AYACUCHO</t>
  </si>
  <si>
    <t>40010531</t>
  </si>
  <si>
    <t xml:space="preserve">    LOTE 7 ZONA BAHIA DE LOS ORGANOS LOS ORGANOS - TALARA - PIURA</t>
  </si>
  <si>
    <t>11036559</t>
  </si>
  <si>
    <t xml:space="preserve">    LOTE 15 ZONA BAHIA DE LOS ORGANOS LOS ORGANOS - TALARA - PIURA</t>
  </si>
  <si>
    <t>11036560</t>
  </si>
  <si>
    <t>UBICACION RURAL ALTURA DEL KM 170 AL 172 NUM S/N LOTE S/N ZONA PANAMERICANA NORTE IRRIGACION SAN FELIPE VEGUETA - HUAURA - LIMA</t>
  </si>
  <si>
    <t>50149313</t>
  </si>
  <si>
    <t>Predio eriazo denominado  Las Malvinas I; II; III y IV, ubicado a la altura Km.170-172 Pan. Norte - Irrigación San Felipe distrito de Vegueta</t>
  </si>
  <si>
    <t>UBICACION RURAL LAS MALVINAS I,II,III Y IV     ZONA ALTURA DEL KILOMETRO 170 A 172 DE LA PANAMERICANA NORTE- IRRIGACION SAN FELIPE VEGUETA - HUAURA - LIMA</t>
  </si>
  <si>
    <t>50149317</t>
  </si>
  <si>
    <t>Predio eriazo denominado Las Malvinas I, II, IIII y IV, ubicado a la altura Km. 170-172 Pan. Norte- Irrigación San Felipe distrito de Vegueta</t>
  </si>
  <si>
    <t>Predio Rústico Iribamba- Lauricocha</t>
  </si>
  <si>
    <t>Distrito de Luricocha, provincia de Huanta, departamento de Ayacucho</t>
  </si>
  <si>
    <t>40010589</t>
  </si>
  <si>
    <t>Predio Rústico</t>
  </si>
  <si>
    <t>Predio Medio Mundo, parte de la UC 90401. Distrito de Supe y Vegueta, Provincias de Barranca y Huaura-Lima</t>
  </si>
  <si>
    <t>50137265</t>
  </si>
  <si>
    <t>Forma parte del Predio Rústico El Angel</t>
  </si>
  <si>
    <t xml:space="preserve">      FUNDO PREDIO RUSTICO PAMPA GRANDE UBICADO EN LA IRRIGACION SAN FELIPE VEGUETA - HUAURA - LIMA</t>
  </si>
  <si>
    <t>40007558</t>
  </si>
  <si>
    <t>Predio rústico Pampa Grande. Irrigación San felipe, Distrito de Vegueta, Provincia de Huaura, Dpto. Lima</t>
  </si>
  <si>
    <t xml:space="preserve">      URB CENTRO COMERCIAL SANTIAGO DE SURCO - LIMA - LIMA</t>
  </si>
  <si>
    <t>44422735</t>
  </si>
  <si>
    <t>Casa - oficina, ubicada en Av. La Encalada 260</t>
  </si>
  <si>
    <t>UBICACION RURAL SECTOR HUANCANO/PREDIO SANTA ISABEL PARCELA 8_4308495_076359 AREA Ha. 12.4270 U.C. 076359 HUANCANO - PISCO - ICA</t>
  </si>
  <si>
    <t>11012775</t>
  </si>
  <si>
    <t>Predio rústico Santa Isabel</t>
  </si>
  <si>
    <t>UBICACION RURAL SECTOR IZCUTACOCC / PREDIO MACHO PAMPA I   AREA Ha. 38.6928 U.C. 8_5708570_225096 LURICOCHA - HUANTA - AYACUCHO</t>
  </si>
  <si>
    <t>11014990</t>
  </si>
  <si>
    <t>UBICACION RURAL VALLE SIN VALLE / SECTOR IZCUTACOCC / PREDIO LA FLORIDA PARCELA 8_5758570_225092 AREA Ha. 0.5676 U.C. 225092 LURICOCHA - HUANTA - AYACUCHO</t>
  </si>
  <si>
    <t>11015163</t>
  </si>
  <si>
    <t>Predio rústico La Florida</t>
  </si>
  <si>
    <t>UBICACION RURAL SECTOR ISCUTACOCC / PREDIO VARGAS PAMPA PARCELA 8_5758570_225112 AREA Ha. 6.9979 U.C. 225112 LURICOCHA - HUANTA - AYACUCHO</t>
  </si>
  <si>
    <t>11015615</t>
  </si>
  <si>
    <t xml:space="preserve">      ZONA PARTE DE LA UNIDAD CATASTRAL 90401 VEGUETA - HUAURA - LIMA</t>
  </si>
  <si>
    <t>50137266</t>
  </si>
  <si>
    <t>Parte del Predio rústico El Angel</t>
  </si>
  <si>
    <t>50137267</t>
  </si>
  <si>
    <t xml:space="preserve">        VEGUETA - HUAURA - LIMA</t>
  </si>
  <si>
    <t>50137271</t>
  </si>
  <si>
    <t>Parte del predio rústico el Angel. Tierras eriazas, ubicadas en el sector 1-B distritos de Supe y Vegueta, Provincias de Barranca y Huaura - Lima</t>
  </si>
  <si>
    <t>AVENIDA EL SOL OESTE NUM 454 ESTAC N° 36 - 4° SÓTANO   BARRANCO - LIMA - LIMA</t>
  </si>
  <si>
    <t>13494462</t>
  </si>
  <si>
    <t>Estacionamiento.</t>
  </si>
  <si>
    <t>AVENIDA EL SOL OESTE NUM 452 DPTO N° 303 - TERCER Y CUARTO PISO   BARRANCO - LIMA - LIMA</t>
  </si>
  <si>
    <t>13494540</t>
  </si>
  <si>
    <t>CALLE ESTACIONAMIENTO NUM 304   URB HABILITACIÓN URBANA  TEMPORAL O VACACIONAL CONDOMINIO ASIA BONITA ASIA - CAÑETE - LIMA</t>
  </si>
  <si>
    <t>21143674</t>
  </si>
  <si>
    <t>Ha sido transferido el 29 de octubre de 2016.</t>
  </si>
  <si>
    <t>CALLE IBIZA NUM 190  N° 1- CASA 1 URB PARCELACION SEMI RUSTICA EL SOL DE LA MOLINA LA MOLINA - LIMA - LIMA</t>
  </si>
  <si>
    <t>12610130</t>
  </si>
  <si>
    <t>Casa-habitación.</t>
  </si>
  <si>
    <t>CALLE LOS MEDICOS NUM 176 DPTO 301 - TERCER PISO  DE VIVIENDA INGENIEROS SANTA TERESA LIMITADA SANTIAGO DE SURCO - LIMA - LIMA</t>
  </si>
  <si>
    <t>11807485</t>
  </si>
  <si>
    <t>Departamento.</t>
  </si>
  <si>
    <t>CALLE ESTACIONAMIENTO NUM 305   URB HABILITACIÓN URBANA  TEMPORAL O VACACIONAL CONDOMINIO ASIA BONITA ASIA - CAÑETE - LIMA</t>
  </si>
  <si>
    <t>21143675</t>
  </si>
  <si>
    <t>AVENIDA SCHELL NUM 120 DPTO 601   MIRAFLORES - LIMA - LIMA</t>
  </si>
  <si>
    <t>41637382</t>
  </si>
  <si>
    <t xml:space="preserve">    DPTO DEL 2º PISO, 29-A-201 DEL BLOCK 29 U.V. DEL RIMAC - EDIFICIO TIPO E RIMAC - LIMA - LIMA</t>
  </si>
  <si>
    <t>44263092</t>
  </si>
  <si>
    <t>Ha sido transferido el 04 de diciembre de 2025.</t>
  </si>
  <si>
    <t>CALLE LOS MEDICOS NUM 180 ESTAC 03 - PRIMER PISO  DE VIVIENDA INGENIEROS SANTA TERESA LIMITADA SANTIAGO DE SURCO - LIMA - LIMA</t>
  </si>
  <si>
    <t>11807480</t>
  </si>
  <si>
    <t>TERRENO</t>
  </si>
  <si>
    <t>FINCA BOTIJAV MZ I LOTE 25, SANTA CRUZ DE CAÑETE</t>
  </si>
  <si>
    <t>INSCRIPCIÓN EN TRAMITE. 
PROPIEDAD 100%</t>
  </si>
  <si>
    <t>AVENIDA DOS DE MAYO Nº 1860   DPTO Nº 1501 URB COUNTRY CLUB SAN ISIDRO - LIMA - LIMA</t>
  </si>
  <si>
    <t>11145778</t>
  </si>
  <si>
    <t>PROPIEDAD AL 100%</t>
  </si>
  <si>
    <t>AVENIDA DOS DE MAYO NUM 1856 ESTAC N° 39 URB COUNTRY CLUB SAN ISIDRO - LIMA - LIMA</t>
  </si>
  <si>
    <t>11145724</t>
  </si>
  <si>
    <t>AVENIDA LA MARINA NUM 2289 OFIC 301   SAN MIGUEL - LIMA - LIMA</t>
  </si>
  <si>
    <t>41003022</t>
  </si>
  <si>
    <t>PROPIEDAD AL 50%</t>
  </si>
  <si>
    <t>AVENIDA LA MARINA NUM 2295 PISO 2   SAN MIGUEL - LIMA - LIMA</t>
  </si>
  <si>
    <t>41002999</t>
  </si>
  <si>
    <t>AVENIDA LA MARINA NUM 2289 OFIC 201   SAN MIGUEL - LIMA - LIMA</t>
  </si>
  <si>
    <t>41003006</t>
  </si>
  <si>
    <t>AVENIDA LA MARINA NUM 2289 OFIC 203   SAN MIGUEL - LIMA - LIMA</t>
  </si>
  <si>
    <t>41003014</t>
  </si>
  <si>
    <t>AVENIDA LA MARINA NUM 2289 OFIC 302   SAN MIGUEL - LIMA - LIMA</t>
  </si>
  <si>
    <t>41003030</t>
  </si>
  <si>
    <t>AVENIDA LA MARINA NUM 2289 OFIC 303   SAN MIGUEL - LIMA - LIMA</t>
  </si>
  <si>
    <t>41003049</t>
  </si>
  <si>
    <t>AVENIDA LA MARINA NUM 2289 OFIC 304   SAN MIGUEL - LIMA - LIMA</t>
  </si>
  <si>
    <t>41003057</t>
  </si>
  <si>
    <t>AVENIDA LA MARINA NUM 22289 PISO 1   SAN MIGUEL - LIMA - LIMA</t>
  </si>
  <si>
    <t>41003065</t>
  </si>
  <si>
    <t>ESTACIONAMIENTO NÚMERO 1 - SAN MIGUEL
PROPIEDAD AL 50%</t>
  </si>
  <si>
    <t>AVENIDA LA MARINA NUM 2289 PISO 1   SAN MIGUEL - LIMA - LIMA</t>
  </si>
  <si>
    <t>41003073</t>
  </si>
  <si>
    <t>ESTACIONAMIENTO NÚMERO 2 - SAN MIGUEL
PROPIEDAD AL 50%</t>
  </si>
  <si>
    <t>41003081</t>
  </si>
  <si>
    <t>ESTACIONAMIENTO NÚMERO 3 - SAN MIGUEL
PROPIEDAD AL 50%</t>
  </si>
  <si>
    <t>AVENIDA LA MARINA   PISO 1   SAN MIGUEL - LIMA - LIMA</t>
  </si>
  <si>
    <t>41003103</t>
  </si>
  <si>
    <t>ESTACIONAMIENTO NÚMERO 4 - SAN MIGUEL
PROPIEDAD AL 50%</t>
  </si>
  <si>
    <t>41003111</t>
  </si>
  <si>
    <t>ESTACIONAMIENTO NÚMERO 5 - SAN MIGUEL
PROPIEDAD AL 50%</t>
  </si>
  <si>
    <t>CALLE PRIMERO DE JULIO NUM 339     MAGDALENA DEL MAR - LIMA - LIMA</t>
  </si>
  <si>
    <t>49069499</t>
  </si>
  <si>
    <t>SOCIEDAD CONYUGAL</t>
  </si>
  <si>
    <t>AVENIDA DOS DE MAYO NUM 1856 ESTAC N° 27 URB COUNTRY CLUB SAN ISIDRO - LIMA - LIMA</t>
  </si>
  <si>
    <t>11145712</t>
  </si>
  <si>
    <t>AVENIDA DOS DE MAYO NUM 1856 ESTAC N° 33 URB COUNTRY CLUB SAN ISIDRO - LIMA - LIMA</t>
  </si>
  <si>
    <t>11145718</t>
  </si>
  <si>
    <t>ZONA LOMAS, TERRENOS Y PASTALES - LA PALAPA Y ASPITIA CHILCA - CAÑETE - LIMA</t>
  </si>
  <si>
    <t>90025368</t>
  </si>
  <si>
    <t>Preciso el valor comercial.</t>
  </si>
  <si>
    <t>UBICACION RURAL VALLE ALTO MAYO/SECTOR FACHIN/SAN JUAN PARCELA 8_2809330_141927 AREA Ha. 1.7497 U.C. 141927/HH.CC. 8_2809330_4_4 MOYOBAMBA - MOYOBAMBA - SAN MARTIN</t>
  </si>
  <si>
    <t>11023079</t>
  </si>
  <si>
    <t>moyobamba san martin</t>
  </si>
  <si>
    <t>JIRON RECREO C-04   LOTE 01   LA BANDA DE SHILCAYO - SAN MARTIN - SAN MARTIN</t>
  </si>
  <si>
    <t>11049011</t>
  </si>
  <si>
    <t>JIRON RECREO C-04   LOTE 02   LA BANDA DE SHILCAYO - SAN MARTIN - SAN MARTIN</t>
  </si>
  <si>
    <t>11049012</t>
  </si>
  <si>
    <t xml:space="preserve">    LOTE 3E9A3 SECTOR BARRIO DE CALVARIO MOYOBAMBA - MOYOBAMBA - SAN MARTIN</t>
  </si>
  <si>
    <t>11058915</t>
  </si>
  <si>
    <t>moyobamba- san martin</t>
  </si>
  <si>
    <t>CALLE SIN NOMBRE   LOTE 3E9 SECTOR BARRIO DE CALVARIO MOYOBAMBA - MOYOBAMBA - SAN MARTIN</t>
  </si>
  <si>
    <t>11059176</t>
  </si>
  <si>
    <t>CALLE LOTE 3E9A5 (APORTE A LA VÍA PÚBLICA)   LOTE 3E9A4 SECTOR BARRIO DE CALVARIO MOYOBAMBA - MOYOBAMBA - SAN MARTIN</t>
  </si>
  <si>
    <t>11082882</t>
  </si>
  <si>
    <t>san martin</t>
  </si>
  <si>
    <t>UBICACION RURAL PREDIO RUSTICO DENOMINADO "SANTO TORIBIO"     SECTOR SECTOR MACEDA RUMIZAPA - LAMAS - SAN MARTIN</t>
  </si>
  <si>
    <t>04006861</t>
  </si>
  <si>
    <t>lamas - san martin
inmueble que forma parte de una sucesión intestada</t>
  </si>
  <si>
    <t>SAN MARTIN-LA BANDA DE SHILCAYO- MZ T LOTE 15B - ASENTAMIENTO HUMANO ASOCIACION DE VIVIENDA LA CIUDA</t>
  </si>
  <si>
    <t>P45041988</t>
  </si>
  <si>
    <t>UBICACION RURAL IVONE PARCELA 8_3659255_435227 AREA Ha. 0.0945 SECTOR SAUCE SAUCE - SAN MARTIN - SAN MARTIN</t>
  </si>
  <si>
    <t>11145356</t>
  </si>
  <si>
    <t xml:space="preserve">    AREA Ha. 0.0396   SAUCE - SAN MARTIN - SAN MARTIN</t>
  </si>
  <si>
    <t>11145441</t>
  </si>
  <si>
    <t>SAN MARTIN-SAUCE- MZ 4 LOTE 3 - CENTRO POBLADO DOS DE MAYO</t>
  </si>
  <si>
    <t>P45023359</t>
  </si>
  <si>
    <t>JIRON AGRUPAMIENTO SAN EUGENIO  C205 DPTO C 205 EDIF AGRUPAMIENTO SAN EUGENIO LINCE - LIMA - LIMA</t>
  </si>
  <si>
    <t>40599495</t>
  </si>
  <si>
    <t>inmueble vendido a favor de doña maria piedad ruiz cisneros viuda de paucar, por el precio de US$ 26,500.00, cancelados. Escritura pública del 20-04-95 not. jaime alejandro murguia cavero (fuente de informacion sunarp, partida 40599495, ficha 0000283944 pág 2)</t>
  </si>
  <si>
    <t>JIRON RECREO.       LA BANDA DE SHILCAYO - SAN MARTIN - SAN MARTIN</t>
  </si>
  <si>
    <t>05000302</t>
  </si>
  <si>
    <t>JIRON LIMATAMBO C-05     SECTOR BARRIO COMERCIO TARAPOTO - SAN MARTIN - SAN MARTIN</t>
  </si>
  <si>
    <t>11118715</t>
  </si>
  <si>
    <t>Inmueble</t>
  </si>
  <si>
    <t>Miraflores</t>
  </si>
  <si>
    <t>14658751</t>
  </si>
  <si>
    <t>Dejo constancia que esta propiedad de inmueble de mi titularidad se encuentra inscrita en Sunarp, en la partida previamente indicada, en la que se puede corroborar el valor de adquisición del predio. Para los fines de la valorización consignada en la presente declaración se ha utilizado el valor de autovaluo, toda vez que es la valorización actualizada efectuada por la autoridad administrativa competente.</t>
  </si>
  <si>
    <t>Callao</t>
  </si>
  <si>
    <t>El velero es un bien sometido al régimen de admisión temporal, debidamente declarado ante la Sunat. No cuenta con partida electrónica que lo identifique. El valor del velero se declara en soles, al tipo de cambio del día en que se hizo la declaración en aduanas.</t>
  </si>
  <si>
    <t>Tumbes</t>
  </si>
  <si>
    <t>Tengo la posesión del lote de terreno, y se encuentra ubicado en Los Pinos Sur CR. Panamericana Norte KM. 1234+490 Dpto. 1234+690</t>
  </si>
  <si>
    <t>14658750</t>
  </si>
  <si>
    <t>P15153581</t>
  </si>
  <si>
    <t>Dejo constancia que la inscripción registral de la adquisición de esta propiedad se encuentra aún en trámite ante SUNARP. Asimismo, el valor consignado corresponde al valor de autovaluo, toda vez que esa es la valorización efectuada por la autoridad administrativa competente"</t>
  </si>
  <si>
    <t>70095447</t>
  </si>
  <si>
    <t>Lote de terreno</t>
  </si>
  <si>
    <t>Tengo la posesión del lote de terreno, ubicado en carretera Panamericana Norte KM. 1233+832, Centro Poblado Bocapan.</t>
  </si>
  <si>
    <t>Piura</t>
  </si>
  <si>
    <t>11123877</t>
  </si>
  <si>
    <t>MIraflores</t>
  </si>
  <si>
    <t>14658757</t>
  </si>
  <si>
    <t>14658752</t>
  </si>
  <si>
    <t>14658785</t>
  </si>
  <si>
    <t>CASA PLAYA</t>
  </si>
  <si>
    <t>AV. COSTANERA SUR 30, CENTRO POBLADO SAN LUCAS DE COLAN, DISTRITO DE COLAN, PROVINCIA, DEPARTAMENTO DE PIURA</t>
  </si>
  <si>
    <t>POR SUCESIÓN, LE CORRESPONDE EL 20% DE DERECHOS Y ACCIONES.</t>
  </si>
  <si>
    <t>LOS AVIADORES 217, URB. SANTA MARÍA, SANTIAGO DE SURCO, LIMA</t>
  </si>
  <si>
    <t>44604027</t>
  </si>
  <si>
    <t>POR SUCESIÓN, LE CORRESPONDE EL 20% DE DERECHOS Y ACCIONES, EL MISMO SE ENCUENTRA PENDIENTE DE REALIZAR LA DESCARGA RESPECTIVA ANTES REGISTROS PUBLICOS.</t>
  </si>
  <si>
    <t>CENTRO POBLADO SAN LUCAS DE COLAN, DISTRITO DE COLAN, PROVINCIA DE PAITA, DEPARTAMENTO DE PIURA</t>
  </si>
  <si>
    <t>NUEVO LOBITOS S/N, DISTRITO DE LOBITOS, TALARA, PIURA</t>
  </si>
  <si>
    <t>EL MONTO DE S/. 273,578.45 ES EL VALOR ARANCELARIO</t>
  </si>
  <si>
    <t>JIRON FILIBERTO ROMERO N°148 Y PASAJE ISMAEL PORTAL     FUNDO VILLA DE CHORRILLOS CHORRILLOS - LIMA - LIMA</t>
  </si>
  <si>
    <t>16002225</t>
  </si>
  <si>
    <t>SE ACUMULARON A LA PRESENTE PARTIDA N° 1600225 LOS PREDIOS INSCRITOS EN LAS PARTIDAS N° 07014220 Y N° 42164909.
EL VALOR DE S/. 69,240.20 ES EL MONTO ARANCELARIO.</t>
  </si>
  <si>
    <t>UBICACION RURAL FUNDO SAN FERNANDO -TERELA-PIURA       TAMBO GRANDE - PIURA - PIURA</t>
  </si>
  <si>
    <t>04021811</t>
  </si>
  <si>
    <t>ES UN BIEN EXPROPIADO POR LA REFORMA AGRARIA POR LO QUE LOS HEREDEROS ESTAN EN TRÁMITE PARA SU REGISTRO CORRESPONDIENTE.
NO SE ENCUENTRA DECLARADO ANTE LA MUNICIPALIDAD POR LO QUE NO SE PUEDE CONSIGNAR EL VALOR DE AUTOVALUO.
CUENTA CON EL 20% DE PARTICIPACIÓN DEL PREDIO QUE EQUIVALE A US$ 2,040,000.00 Ò S/. 6,854.400.00.</t>
  </si>
  <si>
    <t>UBICACION RURAL CORRAL DE OVEJAS-P2 ZONA AGRICOLA PARTIDA PARCELA CORRAL DE OVEJAS-P2 ZONA AGRICOLA PARTID   U.C. 16B ZORRITOS - CONTRALMIRANTE VILLAR - TUMBES</t>
  </si>
  <si>
    <t>04007847</t>
  </si>
  <si>
    <t>EL MONTO DE S/. 15811.92 ES EL VALOR ARANCELARIO.</t>
  </si>
  <si>
    <t>CALLE LOS AVIADORES NUM 191  2   SANTIAGO DE SURCO - LIMA - LIMA</t>
  </si>
  <si>
    <t>49067072</t>
  </si>
  <si>
    <t>DEPARTAMENTO. LA NUMERACIÓN DE LA PROPIEDAD ES 221 DE ACUERDO A LA MUNICIPALIDAD DE SURCO.
EL VALOR S/. 129,567.48 ES EL VALOR ARANCELARIO.</t>
  </si>
  <si>
    <t>JIRON FILIBERTO ROMERO Y PASAJE ISMAEL PORTAL     FUNDO VILLA DE CHORRILLOS CHORRILLOS - LIMA - LIMA</t>
  </si>
  <si>
    <t>42164909</t>
  </si>
  <si>
    <t>LA PRESENTE PARTIDA HA SIDO ACUMULADA A LA PARTIDA N° 16002225, LA MISMA QUE YA HA SIDO DECLARADA</t>
  </si>
  <si>
    <t>JIRON FILIBERTO ROMERO NUM 148     CHORRILLOS - LIMA - LIMA</t>
  </si>
  <si>
    <t>07014220</t>
  </si>
  <si>
    <t>LA PRESENTE PARTIDA HA SIDO ACUMULADA A LA PARTIDA N° 16002225, LA MISMA QUE YA HA SIDO DECLARADA.</t>
  </si>
  <si>
    <t>EN LA PRESENTE PLATAFORMA "DECLARA" SE HA DADO DUPLICIDAD DE LA PRESENTE PARTIDA.
ASIMISMO, SE PRECISA QUE LA PRESENTE PARTIDA HA SIDO ACUMULADA A LA PARTIDA N° 16002225, LA MISMA QUE YA HA SIDO DECLARADA</t>
  </si>
  <si>
    <t>AVENIDA FORTUNATO CHIRICHIGNO NUM B SUB LOTE 18 URB SEMI RÚSRICA SAN BERNARDO PIURA - PIURA - PIURA</t>
  </si>
  <si>
    <t>00012068</t>
  </si>
  <si>
    <t>POR SUCESIÓN, ES PROPIETARIA DEL 20% DE ACCIONES Y DERECHOS DEL INMUEBLE.
EL VALOR DE S/. 196,998.55 ES EL VALOR ARANCELARIO.</t>
  </si>
  <si>
    <t>Por sucesión, es propietaria del 20% de acciones y derechos del inmueble. 
En Plataforma "Declara" del JNE figura 2 veces la misma partida registral: 00012068.</t>
  </si>
  <si>
    <t>UBICACION RURAL SECTOR AGAISBAMBA   AREA Ha. 0.0923   CHOTA - CHOTA - CAJAMARCA</t>
  </si>
  <si>
    <t>11120858</t>
  </si>
  <si>
    <t>- EL SUSCRITO POSEE EL 25% DEL TOTAL DEL BIEN, EL MISMO QUE FORMA DE LA SUCESION INTESTADA CONFORMADA POR 4 HERMANOS.
- EN EL ITEM VALOR SE CONSIGNA UN VALOR COMERCIAL ESTIMADO POR EL SUSCRITO.
- RESPECTO AL VALOR DE AUTOVALÚO AL NO ENCONTRARSE EL BIEN INSCRITO EN LA MUNNICIPALIDAD, NO SE CONSIGNA VALOR.</t>
  </si>
  <si>
    <t>UBICACION RURAL VALLE/SECTOR AGAISBAMBA/PREDIO EL POZO COD.PRED. 7_7559275_19764 AREA Ha. 0.1159 U.C. 19764 CHOTA - CHOTA - CAJAMARCA</t>
  </si>
  <si>
    <t>02051746</t>
  </si>
  <si>
    <t>- EL SUSCRITO POSEE EL 25% DEL TOTAL DEL BIEN, EL MISMO QUE FORMA DE LA SUCESION INTESTADA CONFORMADA POR 4 HERMANOS.
-  EN EL ITEM VALOR SE CONSIGNA UN VALOR COMERCIAL ESTIMADO POR EL SUSCRITO.
- RESPECTO AL VALOR DE AUTOVALÚO AL NO ENCONTRARSE EL BIEN INSCRITO EN LA MUNNICIPALIDAD, NO SE CONSIGNA VALOR.</t>
  </si>
  <si>
    <t>UBICACION RURAL VALLE/SECTOR AGAISBAMBA/PREDIO SALOMON COD.PRED. 7_7559275_19768 AREA Ha. 0.0743 U.C. 19768 CHOTA - CHOTA - CAJAMARCA</t>
  </si>
  <si>
    <t>02051748</t>
  </si>
  <si>
    <t>UBICACION RURAL VALLE/SECTOR AGAISBAMBA/PREDIO ANITA COD.PRED. 7_7559270_29623 AREA Ha. 0.0511 U.C. 29623 CHOTA - CHOTA - CAJAMARCA</t>
  </si>
  <si>
    <t>02051779</t>
  </si>
  <si>
    <t>UBICACION RURAL SECTOR AGAISBAMBA/PREDIO EL NOGAL COD.PRED. 7_7559270_29648 AREA Ha. 0.0843 U.C. 29648 CHOTA - CHOTA - CAJAMARCA</t>
  </si>
  <si>
    <t>02052290</t>
  </si>
  <si>
    <t>UBICACION RURAL SECTOR AGAISBAMBA/PREDIO LA CASA COD.PRED. 7_7559275_29645 AZOTEA 0.3316 U.C. 29645 CHOTA - CHOTA - CAJAMARCA</t>
  </si>
  <si>
    <t>02059344</t>
  </si>
  <si>
    <t>AVENIDA 28 DE JULIO NUM 891 ESTAC Nº42A - SEGUNDO SÓTANO   MIRAFLORES - LIMA - LIMA</t>
  </si>
  <si>
    <t>12296127</t>
  </si>
  <si>
    <t>AMBOS VALORES CORRESPONDE AL VALOR DE AUTOVALÚO</t>
  </si>
  <si>
    <t>AVENIDA 28 DE JULIO NUM 891 ESTAC 13A   MIRAFLORES - LIMA - LIMA</t>
  </si>
  <si>
    <t>12296188</t>
  </si>
  <si>
    <t>AVENIDA 28 DE JULIO NUM 887 DPTO Nº908 - NOVENO PISO   MIRAFLORES - LIMA - LIMA</t>
  </si>
  <si>
    <t>12296369</t>
  </si>
  <si>
    <t>AVENIDA 28 DE JULIO NUM 887 DPTO Nº1909 - DÉCIMO NOVENO PISO   MIRAFLORES - LIMA - LIMA</t>
  </si>
  <si>
    <t>12296461</t>
  </si>
  <si>
    <t>UBICACION RURAL SECTOR AGAISBAMBA/PREDIO EL NOGAL COD.PRED. 7_7559275_29641 AREA Ha. 0.1483 U.C. 29641 CHOTA - CHOTA - CAJAMARCA</t>
  </si>
  <si>
    <t>02058473</t>
  </si>
  <si>
    <t>CHOTA-CHOTA- MZ 4 LOTE 13 - CENTRO POBLADO CHOTA SECTOR 4</t>
  </si>
  <si>
    <t>P36010234</t>
  </si>
  <si>
    <t>EL SUSCRITO POSEE EL 25% DEL TOTAL DEL BIEN, EL MISMO QUE FORMA DE LA SUCESION INTESTADA CONFORMADA POR 4 HERMANOS.
AMBOS VALORES CORRESPONDE AL VALOR DE AUTOVALÚO</t>
  </si>
  <si>
    <t>CHOTA-CHOTA- MZ 4 LOTE 12 - CENTRO POBLADO CHOTA SECTOR 4</t>
  </si>
  <si>
    <t>P36010233</t>
  </si>
  <si>
    <t>CALLE 6 NUM 219  BLOCK O DPTO Nº402 - CUARTO PISO URB LOTIZACION CAMPOY SAN JUAN DE LURIGANCHO - LIMA - LIMA</t>
  </si>
  <si>
    <t>12259782</t>
  </si>
  <si>
    <t>EL VALOR CONSIGNADO EN AMBOS CASOS CORRESPONDE AL VALOR DEL AUTOVALUO</t>
  </si>
  <si>
    <t>MZ. K-2 LOTE 24, URB. SAN ISIDRO - ICA</t>
  </si>
  <si>
    <t>11004724</t>
  </si>
  <si>
    <t>SOY PROPIETARIO DEL 7% DEL TOTAL DEL INMUEBLE. ESTE FUE OBTENIDO A TRAVES DE LA SUCESIÓN INTESTADA DE MI SEÑOR PADRE GUILLERMO YAMASHIRO KAMIMOTO. EL VALOR COMERCIAL CONSIGNADO ES EL BRINDADO POR EL CANDIDATO.</t>
  </si>
  <si>
    <t>ESTACIONAMIENTO</t>
  </si>
  <si>
    <t>JR. TOMASAL NRO. 691 ESTACIONAMIENTO 5-A BLOCK 2, URB. HUERTOS DE SAN ANTONIO- SANTIAGO DE SURCO.</t>
  </si>
  <si>
    <t>12481834</t>
  </si>
  <si>
    <t>EL ESTACIONAMIENTO ES DOBLE.
COPROPIEDAD CON MI CÓNYUGE PATRICIA YSABEL ESPINAL LAU, EN VIRTUD AL RÉGIMEN DE SEPARACIÓN DE BIENES. EL VALOR COMERCIAL CONSIGNADO ES EL BRINDADO POR EL CANDIDATO.</t>
  </si>
  <si>
    <t>EDIFICIO DE 5 PISOS</t>
  </si>
  <si>
    <t>MZ. H LOTE 12 URB. SANTA ROSA DEL PALMAR - ICA</t>
  </si>
  <si>
    <t>11004725</t>
  </si>
  <si>
    <t>TOMASAL 835, SURCO NRO. 4, URB. LAS COLINAS DE MONTERRICO - SANTIAGO DE SURCO</t>
  </si>
  <si>
    <t>12007889</t>
  </si>
  <si>
    <t>COPROPIEDAD CON MI CÓNYUGE PATRICIA YSABEL ESPINAL LAU, EN VIRTUD AL RÉGIMEN DE SEPARACIÓN DE BIENES. EL VALOR COMERCIAL CONSIGNADO ES EL BRINDADO POR EL CANDIDATO.</t>
  </si>
  <si>
    <t>TERRENO S/C</t>
  </si>
  <si>
    <t>MZ. E LOTE 14 A - SUBLOTE 2, ICA</t>
  </si>
  <si>
    <t>11204313</t>
  </si>
  <si>
    <t>H.U. ALTO PRADO - RESIDENCIAL LA ANGOSTURA
COPROPIEDAD CON MI CÓNYUGE PATRICIA YSABEL ESPINAL LAU, EN VIRTUD AL RÉGIMEN DE SEPARACIÓN DE BIENES. EL VALOR COMERCIAL CONSIGNADO ES EL BRINDADO POR EL CANDIDATO.</t>
  </si>
  <si>
    <t>JR. TOMASAL 835 - ESTACIONAMIENTO NRO. 16, URB. LAS COLINAS DE MONTERRICO-SANTIAGO DE SURCO, LIMA</t>
  </si>
  <si>
    <t>12007901</t>
  </si>
  <si>
    <t>JR. TOMASAL 695, URB. HUERTOS SAN ANTONIO - SURCO- DPTO. NRO. 101</t>
  </si>
  <si>
    <t>12481880</t>
  </si>
  <si>
    <t>DEPOSITO</t>
  </si>
  <si>
    <t>JR. TOMASAL 691, DEPÓSITO 13, URB, LOS HUERTOS DE SAN ANTONIO-SANTIAGO DE SURCO.</t>
  </si>
  <si>
    <t>12481860</t>
  </si>
  <si>
    <t>DEPÓSITO</t>
  </si>
  <si>
    <t>JR. TOMASAL 835 - DEPÓSITO NRO. 8, URB. LAS COLINAS DE MONTERRICO-SANTIAGO DE SURCO, LIMA</t>
  </si>
  <si>
    <t>12007912</t>
  </si>
  <si>
    <t>JR. TOMASAL 835 - DEPÓSITO NRO. 7, URB. LAS COLINAS DE MONTERRICO-SANTIAGO DE SURCO, LIMA</t>
  </si>
  <si>
    <t>12007911</t>
  </si>
  <si>
    <t>TOMASAL 829, SURCO- DPTO. NRO. 104, URB. LAS COLINAS DE MONTERRICO, SANTIAGO DE SURCO.</t>
  </si>
  <si>
    <t>12007916</t>
  </si>
  <si>
    <t>TOMASAL 835, SURCO NRO. 15 URB. LAS COLINAS DE MONTERRICO, SANTIAGO DE SURCO, LIMA</t>
  </si>
  <si>
    <t>12007900</t>
  </si>
  <si>
    <t>HUANUCO-SANTA MARIA DEL VALLE- MZ N SUB LOTE 5-A - CENTRO POBLADO SANTA MARIA DEL VALLE</t>
  </si>
  <si>
    <t>P39038490</t>
  </si>
  <si>
    <t>UBICACION RURAL 8_3958985_131665   AREA Ha. 0.1171 SECTOR LAS VEGAS DANIEL ALOMIA ROBLES - LEONCIO PRADO - HUANUCO</t>
  </si>
  <si>
    <t>11047548</t>
  </si>
  <si>
    <t>UBICACION RURAL 8_3958985_131664   AREA Ha. 1.5233 SECTOR LAS VEGAS DANIEL ALOMIA ROBLES - LEONCIO PRADO - HUANUCO</t>
  </si>
  <si>
    <t>11047547</t>
  </si>
  <si>
    <t>UBICACION RURAL 8_3958985_131146   AREA Ha. 3.9937 SECTOR LAS VEGAS DANIEL ALOMIA ROBLES - LEONCIO PRADO - HUANUCO</t>
  </si>
  <si>
    <t>11047538</t>
  </si>
  <si>
    <t>UBICACION RURAL 8_3958985_131149   AREA Ha. 9.7720 SECTOR LAS VEGAS DANIEL ALOMIA ROBLES - LEONCIO PRADO - HUANUCO</t>
  </si>
  <si>
    <t>11047540</t>
  </si>
  <si>
    <t>UBICACION RURAL 8_3958985_131145   AREA Ha. 0.1643 SECTOR LAS VEGAS DANIEL ALOMIA ROBLES - LEONCIO PRADO - HUANUCO</t>
  </si>
  <si>
    <t>11047537</t>
  </si>
  <si>
    <t>HUANUCO-SANTA MARIA DEL VALLE- MZ N LOTE 5 - CENTRO POBLADO SANTA MARIA DEL VALLE</t>
  </si>
  <si>
    <t>P39007397</t>
  </si>
  <si>
    <t>UCV 32 LOTE 28    ZONA DE VIVIENDA ZONA B - PUEBLO JOVEN PROYECTO ESPECIAL HUAYCAN - DPTO: LIMA PROV: LIMA DIST: ATE</t>
  </si>
  <si>
    <t>P02005221</t>
  </si>
  <si>
    <t>ICA-SUBTANJALLA- MZ B LOTE 10 - PUEBLO JOVEN P.M.V. LA ANGOSTURA</t>
  </si>
  <si>
    <t>P07000731</t>
  </si>
  <si>
    <t>UBICACION RURAL SECTOR PUÑA/PREDIO AGUA SECA COD.PRED. 7_7609295_34597 AREA Ha. 1.8230 U.C. 34597 TACABAMBA - CHOTA - CAJAMARCA</t>
  </si>
  <si>
    <t>02188303</t>
  </si>
  <si>
    <t>UBICACION RURAL SECTOR HUALANGO/PREDIO EL HIGUERON COD.PRED. 7_7559300_32529 AREA Ha. 0.3331 U.C. 32529 TACABAMBA - CHOTA - CAJAMARCA</t>
  </si>
  <si>
    <t>02187805</t>
  </si>
  <si>
    <t>11010766</t>
  </si>
  <si>
    <t>URBANO, JR. PUNO CUADRA II - TAMBOPATA - INACCESIBLE</t>
  </si>
  <si>
    <t>UBICACION RURAL VALLE TAHUAMANU/SECTOR CHILINASAN ISIDRO/VIRGEN DE CHAPI PARCELA 9_4408755_043010 AREA Ha. 60.4162 U.C. 043010/HH.CC. 9_4408755 INAPARI - TAHUAMANU - MADRE DE DIOS</t>
  </si>
  <si>
    <t>05002350</t>
  </si>
  <si>
    <t>AGRICOLA - SIN AUTOVALUO</t>
  </si>
  <si>
    <t>ILO-ILO- MZ F LOTE 3 - ASENTAMIENTO HUMANO URBANIZACION POPULAR DE INTERES SOCIAL JOHN F. KENNEDY</t>
  </si>
  <si>
    <t>P08017627</t>
  </si>
  <si>
    <t>Derechos y acciones por sucesión.</t>
  </si>
  <si>
    <t>Terreno</t>
  </si>
  <si>
    <t>Asociación casa Huerta El Bosque G45</t>
  </si>
  <si>
    <t>05000877</t>
  </si>
  <si>
    <t>Anticipo de Legitima</t>
  </si>
  <si>
    <t>Asociación Biohuerto Los Olivos y frutos del Algarrobal Mz G Lt 5</t>
  </si>
  <si>
    <t>En posesión a nombre de esposa</t>
  </si>
  <si>
    <t>HUAMANGA-SAN JUAN BAUTISTA- MZ U LOTE 11C    SECTOR I - ASENTAMIENTO HUMANO SAN JUAN BAUTISTA ASENTA</t>
  </si>
  <si>
    <t>P11142390</t>
  </si>
  <si>
    <t>JIRON HUANCASOLAR       AYACUCHO - HUAMANGA - AYACUCHO</t>
  </si>
  <si>
    <t>02003539</t>
  </si>
  <si>
    <t>AVENIDA MICAELA BASTIDAS NUM 1261  EXCLUSIVA DEPARTAMENTO N° 1204 - DECIMO SEGUNDO PISO Y AZOTEA FUNDO CHACRA CERRO ETAPA IX - CIUDAD SOL DE COLLIQUE COMAS - LIMA - LIMA</t>
  </si>
  <si>
    <t>13605292</t>
  </si>
  <si>
    <t>JIRON 1 NUM 450 ESTAC 583 FUNDO CHACRA CERRO - ETAPA X COMAS - LIMA - LIMA</t>
  </si>
  <si>
    <t>14144175</t>
  </si>
  <si>
    <t>JIRON 1 NUM 450 ESTAC 584 FUNDO CHACRA CERRO - ETAPA X COMAS - LIMA - LIMA</t>
  </si>
  <si>
    <t>14144176</t>
  </si>
  <si>
    <t>AVENIDA IGNACIO MERINO NUM 1772 DPTO N°401 - CUARTO PISO URB DEL FUNDO LOBATON LINCE - LIMA - LIMA</t>
  </si>
  <si>
    <t>15162909</t>
  </si>
  <si>
    <t>JIRON ABANCAY NUM 383    SERVICIO S-8 HUANCAYO - HUANCAYO - JUNIN</t>
  </si>
  <si>
    <t>11221975</t>
  </si>
  <si>
    <t>AVENIDA IGNACIO MERINO NUM 1776 ESTAC N°24  - SOTANO 2 URB DEL FUNDO LOBATON LINCE - LIMA - LIMA</t>
  </si>
  <si>
    <t>15162988</t>
  </si>
  <si>
    <t>AVENIDA LIMA NORTE NUM 100-104-106-108-110-112  N° 21 - TIENDA N° 21 - PRIMER PISO   LURIGANCHO - LIMA - LIMA</t>
  </si>
  <si>
    <t>13313315</t>
  </si>
  <si>
    <t>MZ L LOTE 3 - COOPERATIVA DE VIVIENDA PABLO PATRON LTDA. 367- SECCION "E" - DPTO: LIMA PROV: LIMA DIST: LURIGANCHO</t>
  </si>
  <si>
    <t>P02222225</t>
  </si>
  <si>
    <t>STAND</t>
  </si>
  <si>
    <t>AV. LIMA NORTE N° 141-147 MZA TIENDA 67 LURIGANCHO - LIMA</t>
  </si>
  <si>
    <t>SOCIEDAD CONYUGAL, EL STAND SE ENCUENTRA EN PROCESO DE REGULARIZACIÓN, CUENTA CON UN CONTRATO DE COMPRA Y VENTA.</t>
  </si>
  <si>
    <t>MZ L LOTE 2 - COOPERATIVA DE VIVIENDA PABLO PATRON LTDA. 367- SECCION "E" - DPTO: LIMA PROV: LIMA DIST: LURIGANCHO</t>
  </si>
  <si>
    <t>P02222224</t>
  </si>
  <si>
    <t xml:space="preserve">  NUM 156     CHORRILLOS - LIMA - LIMA</t>
  </si>
  <si>
    <t>49063247</t>
  </si>
  <si>
    <t>UBICACION RURAL PAMPAS DE BELLA UNION   AREA Ha. 214.3447   BELLA UNION - CARAVELI - AREQUIPA</t>
  </si>
  <si>
    <t>04002264</t>
  </si>
  <si>
    <t>EMPRESA</t>
  </si>
  <si>
    <t>AV. INDUSTRIAL ESQ. AV. ARIAS ARAGUEZ</t>
  </si>
  <si>
    <t>11009710</t>
  </si>
  <si>
    <t>SRL 40.89%</t>
  </si>
  <si>
    <t>ALFONSO UGARTE I.ET. MZ G3 LT 26</t>
  </si>
  <si>
    <t>11144782</t>
  </si>
  <si>
    <t>EIRL 100%</t>
  </si>
  <si>
    <t>TACNA-TACNA- MZ E LOTE 19 - ASOCIACION RURAL DE VIVIENDA FRONTERA LOS PALOS</t>
  </si>
  <si>
    <t>P20051179</t>
  </si>
  <si>
    <t>AV. BENAVIDES 803 L18</t>
  </si>
  <si>
    <t>41431571</t>
  </si>
  <si>
    <t>PROPIETARIA DEL 33%</t>
  </si>
  <si>
    <t>COCHERA</t>
  </si>
  <si>
    <t>GRIMALDO DEL SOLAR</t>
  </si>
  <si>
    <t>41343974</t>
  </si>
  <si>
    <t>CALLE GENERAL SILVA 546 L 18</t>
  </si>
  <si>
    <t>47428505</t>
  </si>
  <si>
    <t>Departamento 100% sociedad de gananciales</t>
  </si>
  <si>
    <t>Av. Reynaldo Vivanco N° 161 Dpto. 501, Santiago de Surco, Lima, Lima, Perú</t>
  </si>
  <si>
    <t>11227357</t>
  </si>
  <si>
    <t>Calle La Avellana N° 220 2do. Piso, Urb. Los Sauces 1ra. Etapa. Surquillo, Lima, Lima, Perú</t>
  </si>
  <si>
    <t>12383913</t>
  </si>
  <si>
    <t>Estacionamiento 100% sociedad de gananciales</t>
  </si>
  <si>
    <t>Av. Reynaldo Vivanco N° 149, Santiago de Surco, Lima, Lima, Perú</t>
  </si>
  <si>
    <t>11227248</t>
  </si>
  <si>
    <t>Estacionamiento Nº 58</t>
  </si>
  <si>
    <t>11227249</t>
  </si>
  <si>
    <t>Estacionamiento Nº 59</t>
  </si>
  <si>
    <t>Predio rural 100% sociedad de gananciales</t>
  </si>
  <si>
    <t>Sub lote 93 parte norte del centro poblado de Roldán</t>
  </si>
  <si>
    <t>Otro sector Pampas de Quilmaná S/N Mza. S/N Lote 93 Quilmaná, Cañete, Lima, Perú</t>
  </si>
  <si>
    <t>CALLE SALVADOR GUTIERREZ NUM 281   URB PROLONGACION AURORA MIRAFLORES - LIMA - LIMA</t>
  </si>
  <si>
    <t>07066108</t>
  </si>
  <si>
    <t>Vivienda familiar</t>
  </si>
  <si>
    <t>AREQUIPA-ALTO SELVA ALEGRE- MZ A LOTE 9    SECTOR VILLA AREQUIPA - PUEBLO JOVEN PAMPA DE POLANCO</t>
  </si>
  <si>
    <t>P06009313</t>
  </si>
  <si>
    <t>PASAJE BRESCIANI NUM 110  Nº9 (U.I. Nº9) - ESTACIONAMIENTO Nº3 - SÓTANO   BARRANCO - LIMA - LIMA</t>
  </si>
  <si>
    <t>14747294</t>
  </si>
  <si>
    <t>PASAJE BRESCIANI NUM 110  Nº8 (U.I. Nº8) - ESTACIONAMIENTO Nº2 - SÓTANO   BARRANCO - LIMA - LIMA</t>
  </si>
  <si>
    <t>14747173</t>
  </si>
  <si>
    <t>PASAJE BRESCIANI NUM 110  Nº18 (U.I. Nº18) - ESTACIONAMIENTO Nº13 Y DEPÓSITO Nº2 - SÓTANO   BARRANCO - LIMA - LIMA</t>
  </si>
  <si>
    <t>14747303</t>
  </si>
  <si>
    <t>$8,500 fue el valor de compra venta</t>
  </si>
  <si>
    <t>PASAJE BRESCIANI NUM 112  Nº2 (U.I. Nº2) - DEPARTAMENTO 102 - PRIMER PISO   BARRANCO - LIMA - LIMA</t>
  </si>
  <si>
    <t>14747309</t>
  </si>
  <si>
    <t>al tipo de cambio 3.37 el valor de compra venta fue de $285,388.00</t>
  </si>
  <si>
    <t>PASAJE BRESCIANI NUM 112  Nº6 (U.I. Nº6) - DEPARTAMENTO 302 - TERCER PISO Y AIRES   BARRANCO - LIMA - LIMA</t>
  </si>
  <si>
    <t>14747313</t>
  </si>
  <si>
    <t>el valor es de 420 mil dólares según el contrato de compra venta</t>
  </si>
  <si>
    <t>CALLE BRESANI NUM 114     BARRANCO - LIMA - LIMA</t>
  </si>
  <si>
    <t>47115620</t>
  </si>
  <si>
    <t>esta partida se encuentra cerrada desde el 2012 por acumulaciòn de predios en la partida 12869231</t>
  </si>
  <si>
    <t>CALLE BRESANI NUM 110 - 112     BARRANCO - LIMA - LIMA</t>
  </si>
  <si>
    <t>42019879</t>
  </si>
  <si>
    <t>esta partida fue cerrada el 4 de julio del 2012 por acumulación de predios a la partida 12869231</t>
  </si>
  <si>
    <t>PASAJE BRESCIANI NUM 110  Nº17 (U.I. Nº17) - ESTACIONAMIENTO Nº12 Y DEPÓSITO Nº1 - SÓTANO   BARRANCO - LIMA - LIMA</t>
  </si>
  <si>
    <t>14747302</t>
  </si>
  <si>
    <t>valor de compra venta fue $11,500.00</t>
  </si>
  <si>
    <t>ZONA: ZONA REGISTRAL XI - SEDE ICA; OFICINA: CHINCHA</t>
  </si>
  <si>
    <t>40004036</t>
  </si>
  <si>
    <t>EL VALOR CONSIGNADO ES EL VALOR DE COMPRA DEL BIEN.</t>
  </si>
  <si>
    <t>CALLE PARQUE EL ROSEDAL NUM 341 (BLOCK G-10) TIENDA T-15 CC.HH CIUDAD SATELITE SANTA ROSA CALLAO - CALLAO - LIMA</t>
  </si>
  <si>
    <t>70337098</t>
  </si>
  <si>
    <t>MZ K LOTE 4 - ASENTAMIENTO HUMANO HIROSHIMA - DPTO: LIMA PROV: CALLAO DIST: VENTANILLA</t>
  </si>
  <si>
    <t>P01225965</t>
  </si>
  <si>
    <t>CALLE ARICA NUM 996-998 Y PROLONGACION JOSE GALVEZ NUM 295     CALLAO - CALLAO - LIMA</t>
  </si>
  <si>
    <t>70202445</t>
  </si>
  <si>
    <t>CALLE ALAMEDA DE LOS MISIONEROS NUM 435 TIENDA Nº 8 CC.HH CIUDAD SATÉLITE SANTA ROSA CALLAO - CALLAO - LIMA</t>
  </si>
  <si>
    <t>70209503</t>
  </si>
  <si>
    <t>EL VALOR CONSIGNADO ES EL DE COMPRA REALIZADA EN EL AÑO 2006.</t>
  </si>
  <si>
    <t>AVENIDA JAVIER PRADO NUM 975     MAGDALENA DEL MAR - LIMA - LIMA</t>
  </si>
  <si>
    <t>41714662</t>
  </si>
  <si>
    <t xml:space="preserve">  MZ N LOTE 06 URB ALTAMIRA ALTO LARAN - CHINCHA - ICA</t>
  </si>
  <si>
    <t>11034639</t>
  </si>
  <si>
    <t>PENDIENTE DE INSCRIPCIÓN EN LA MUNICIPALIDAD CORRESPONDIENTE.
EL VALOR CONSIGNADO ES EL VALOR DE COMPRA DEL BIEN.</t>
  </si>
  <si>
    <t xml:space="preserve">  MZ N LOTE 12 URB ALTAMIRA ALTO LARAN - CHINCHA - ICA</t>
  </si>
  <si>
    <t>11034645</t>
  </si>
  <si>
    <t xml:space="preserve">  MZ O LOTE 03 URB ALTAMIRA ALTO LARAN - CHINCHA - ICA</t>
  </si>
  <si>
    <t>11034648</t>
  </si>
  <si>
    <t>41751002</t>
  </si>
  <si>
    <t>LOTE 4 MZ B3 PROGRAMA DE VIVIENDAS EL SOL DE CIENEGUILLA - PACHACAMAC</t>
  </si>
  <si>
    <t xml:space="preserve">      SECTOR SANTA ISABEL CHACHAPOYAS - CHACHAPOYAS - AMAZONAS</t>
  </si>
  <si>
    <t>11027747</t>
  </si>
  <si>
    <t>CA. CLAUDE MONTEVERDI 163 DPTO 503 SAN BORJA</t>
  </si>
  <si>
    <t>12750893</t>
  </si>
  <si>
    <t>CA. 2 N° 161, URB. SALAVERRY, MAGDALENA DEL MAR</t>
  </si>
  <si>
    <t>11153594</t>
  </si>
  <si>
    <t>LITIGIO CIVIL</t>
  </si>
  <si>
    <t>CA. CLAUDE MONTEVERDI 193 SOTANO 1 SAN BORJA</t>
  </si>
  <si>
    <t>12750869</t>
  </si>
  <si>
    <t>JR. MASTIL N°405</t>
  </si>
  <si>
    <t>45247856</t>
  </si>
  <si>
    <t>UBICACION RURAL - MZ G LOTE 05 URB NUESTRA SEÑORA DE GUADALUPE PUNO - PUNO - PUNO</t>
  </si>
  <si>
    <t>11111713</t>
  </si>
  <si>
    <t>CALLE JOSE SEBASTIAN BARRANCA NUM 178-180-190 LOTE Nº 1 DE LA MANZANA C URB HUERTOS DE SAN ANTONIO SANTIAGO DE SURCO - LIMA - LIMA</t>
  </si>
  <si>
    <t>44383632</t>
  </si>
  <si>
    <t>El bien inmueble no es de mi propiedad, fue transferido en el año 2015 conforme a la Partida 12502751 de los Registros Públicos de Lima.</t>
  </si>
  <si>
    <t>CALLE MALECON MZ M LOTE 22  , MIRAMAR PUNTA HERMOSA - LIMA - LIMA</t>
  </si>
  <si>
    <t>42237981</t>
  </si>
  <si>
    <t>Esta partida fue trasladada a la Partida P03237833.</t>
  </si>
  <si>
    <t>MZ M LOTE 22 - URBANIZACION MIRAMAR - DPTO: LIMA PROV: LIMA DIST: PUNTA HERMOSA</t>
  </si>
  <si>
    <t>P03237833</t>
  </si>
  <si>
    <t>El valor considerado  es del autovalúo del 2025   y corresponde  al  100% del inmueble. Tengo la titularidad del 8.33% del inmueble por Sucesión Intestada. La Partida de este inmueble tuvo como origen la Partida 42237981.</t>
  </si>
  <si>
    <t>CALLE CHAVIN NUM 133- 131   URB CENTRO COMERCIAL DE MONTERRICO SANTIAGO DE SURCO - LIMA - LIMA</t>
  </si>
  <si>
    <t>44490781</t>
  </si>
  <si>
    <t>La dirección debería indicar "Calle Chavín 133, Mz. C2 y Lote 8, Urb. Centro Comercial Monterrico, Surco". Tiene un crédito hipotecario vigente.  El valor declarado es del autovalúo del año 2025.</t>
  </si>
  <si>
    <t>CALLE COYA RAYMI NUM 171-161 LOTE 26 Y 28   SANTIAGO DE SURCO - LIMA - LIMA</t>
  </si>
  <si>
    <t>44553864</t>
  </si>
  <si>
    <t>El inmueble ya no es de mi propiedad. La presente partida fue cerrada por haberse independizado en Lote 26 (P N° 11896814) y Lote 28 (P N° 11896813). En las dos nuevas partidas se registra la venta entre los años 2006 y 2007.</t>
  </si>
  <si>
    <t xml:space="preserve">  MZ K LOTE 19  , MIRAMAR PUNTA HERMOSA - LIMA - LIMA</t>
  </si>
  <si>
    <t>42230596</t>
  </si>
  <si>
    <t>El valor considerado es del autovalúo del 2025  y corresponde  al 100% del inmueble. Tengo la titularidad del 8.33% del inmueble por Sucesión Intestada.</t>
  </si>
  <si>
    <t>CALLE 2 MZ J LOTE 9  , MIRAMAR PUNTA HERMOSA - LIMA - LIMA</t>
  </si>
  <si>
    <t>42146986</t>
  </si>
  <si>
    <t>El inmueble ya no es de mi propiedad, se transfirió en octubre de 2017.</t>
  </si>
  <si>
    <t>ZONA REGISTRAL XIII - SEDE TACNA; OFICINA: JULIACA</t>
  </si>
  <si>
    <t>11014202</t>
  </si>
  <si>
    <t>11014205</t>
  </si>
  <si>
    <t>11014228</t>
  </si>
  <si>
    <t>11040457</t>
  </si>
  <si>
    <t>UBICACION RURAL CUCHO PAMPA SECTOR LURIATA HUANCANE - HUANCANE - PUNO</t>
  </si>
  <si>
    <t>11043651</t>
  </si>
  <si>
    <t>SECTOR LURIATA HUANCANE - HUANCANE - PUNO</t>
  </si>
  <si>
    <t>11043043</t>
  </si>
  <si>
    <t>11062572</t>
  </si>
  <si>
    <t>11062575</t>
  </si>
  <si>
    <t>Sector Luriata - Huancané</t>
  </si>
  <si>
    <t>11012712</t>
  </si>
  <si>
    <t>TIENE_BIENES_INMUEBLES</t>
  </si>
  <si>
    <t>VEHICULO</t>
  </si>
  <si>
    <t>PLACA</t>
  </si>
  <si>
    <t>CARACTERISTICA</t>
  </si>
  <si>
    <t>REGISTRO DE PROPIEDAD VEHICULAR</t>
  </si>
  <si>
    <t xml:space="preserve">C8W203 </t>
  </si>
  <si>
    <t>Camioneta</t>
  </si>
  <si>
    <t>Soy copropietario</t>
  </si>
  <si>
    <t xml:space="preserve">M3H552 </t>
  </si>
  <si>
    <t>Automovil Chevrolet Sonic 2013</t>
  </si>
  <si>
    <t xml:space="preserve">A5A539 </t>
  </si>
  <si>
    <t>AUTOMÁTICA, COLOR AZUL, MODELO CRUZE LS 1.8, AÑO 2010</t>
  </si>
  <si>
    <t>100% BIEN PROPIO DEL DECLARANTE. EL VALOR CONSIGNADO ES EL ESTIMADO POR EL CANDIDATO.</t>
  </si>
  <si>
    <t xml:space="preserve">BLG867 </t>
  </si>
  <si>
    <t>MECÁNICA, MARCA RENAULT, MODELO NEW OROCH, AÑO 2022</t>
  </si>
  <si>
    <t>100% BIEN PROPIO DEL DECLARANTE.  EL VALOR CONSIGNADO ES EL ESTIMADO POR EL CANDIDATO.</t>
  </si>
  <si>
    <t>AUTOMOVIL/STATION WAGOM</t>
  </si>
  <si>
    <t>LG5250</t>
  </si>
  <si>
    <t>MECANICA, AÑO 1967</t>
  </si>
  <si>
    <t>LA PARTIDA REGISTRAL 50530094, CONSIGNA ANOTACIÓN DE VEHICULO ROBADO.</t>
  </si>
  <si>
    <t xml:space="preserve">CNW629 </t>
  </si>
  <si>
    <t>AUTOMÁTICA, MARCA MAZDA, MODELO CX-5 4X22.0 ATFULL, AÑO 2025</t>
  </si>
  <si>
    <t>100% SOCIEDAD CONYUGAL, CAMIONETA ADQUIRIDA A TRAVES DEL SISTEMA COMERCIAL PANDERO.  EL VALOR CONSIGNADO ES EL ESTIMADO POR EL CANDIDATO.</t>
  </si>
  <si>
    <t xml:space="preserve">A1A591 </t>
  </si>
  <si>
    <t>Honda CRV, color negro crystal, modelo 2010.</t>
  </si>
  <si>
    <t>En SUNARP se puede verificar que hay una anotación de robo vigente.</t>
  </si>
  <si>
    <t xml:space="preserve">BNL693 </t>
  </si>
  <si>
    <t>Auto Datsun 1974</t>
  </si>
  <si>
    <t xml:space="preserve">AKM547 </t>
  </si>
  <si>
    <t>Camioneta Toyota RAV, modelo 2017, color blanco.</t>
  </si>
  <si>
    <t xml:space="preserve">D6J716 </t>
  </si>
  <si>
    <t>Foton, modelo Ollin, color plata, modelo 2012.</t>
  </si>
  <si>
    <t xml:space="preserve">13048A </t>
  </si>
  <si>
    <t>Moto lineal marca Harley Davidson</t>
  </si>
  <si>
    <t>Año 2012. El valor de adquisición es de $9,000. Se ha realizado la conversión a soles con el tipo de cambio SUNAT del 11 de diciembre.</t>
  </si>
  <si>
    <t xml:space="preserve">CNE036 </t>
  </si>
  <si>
    <t>Camioneta Suzuki del año 2024, modelo 2025.</t>
  </si>
  <si>
    <t>El valor de adquisición es de $18,170.92. Se ha realizado la conversión a soles con el tipo de cambio SUNAT del 11 de diciembre.</t>
  </si>
  <si>
    <t>C60988</t>
  </si>
  <si>
    <t>Moto lineal marca Honda 750</t>
  </si>
  <si>
    <t>Año 2003. Valor de adquisición.</t>
  </si>
  <si>
    <t xml:space="preserve">BCE709 </t>
  </si>
  <si>
    <t>Camioneta mecánica TOYOTA</t>
  </si>
  <si>
    <t>EL VALOR ESTIMADO ES PROPORCIONADO POR LA CANDIDATA.</t>
  </si>
  <si>
    <t xml:space="preserve">AJR283 </t>
  </si>
  <si>
    <t>CAMIONETA HONDA CRV</t>
  </si>
  <si>
    <t>NG97361</t>
  </si>
  <si>
    <t>Motocicleta</t>
  </si>
  <si>
    <t>Ha sido donada, en tramite de inscripción.</t>
  </si>
  <si>
    <t xml:space="preserve">C0G165 </t>
  </si>
  <si>
    <t>CAMIONETA JEEP CHEROKEE</t>
  </si>
  <si>
    <t>MY23243</t>
  </si>
  <si>
    <t>MOTO SUSUKI</t>
  </si>
  <si>
    <t>MAL ESTADO - EN DESUSO, EL VALOR CONSIGNADO ES REFERENCIAL</t>
  </si>
  <si>
    <t xml:space="preserve">2577HB </t>
  </si>
  <si>
    <t>MOTO YAMAHA</t>
  </si>
  <si>
    <t xml:space="preserve">C0U375 </t>
  </si>
  <si>
    <t>AUTO TOYOTA</t>
  </si>
  <si>
    <t>MY90099</t>
  </si>
  <si>
    <t>MOTO HONDA</t>
  </si>
  <si>
    <t>MY87878</t>
  </si>
  <si>
    <t>MY13945</t>
  </si>
  <si>
    <t>MAL ESTADO - EN DESUSO - SINIESTRADO</t>
  </si>
  <si>
    <t xml:space="preserve">MD1636 </t>
  </si>
  <si>
    <t>MOTOCICLETA MECANICA YAMAHA</t>
  </si>
  <si>
    <t>VALOR ESTIMADO PROPORCIONADO POR EL CANDIDATO</t>
  </si>
  <si>
    <t xml:space="preserve">B0P882 </t>
  </si>
  <si>
    <t>CAMION HYUNDAI - MECANICO</t>
  </si>
  <si>
    <t xml:space="preserve">AB7927 </t>
  </si>
  <si>
    <t>AUTOMOVIL STATION WAGON MARCA HILLMAN - MECANICO</t>
  </si>
  <si>
    <t xml:space="preserve">ACK309 </t>
  </si>
  <si>
    <t>AUTOMOVIL STATION WAGON WOLKSWAGEN</t>
  </si>
  <si>
    <t xml:space="preserve">F6A231 </t>
  </si>
  <si>
    <t>AUTOMOVIL STATION WAGON VOLKSWAGEN - AUTOMATICO</t>
  </si>
  <si>
    <t xml:space="preserve">T3D863 </t>
  </si>
  <si>
    <t>AUTOMOVIL STATION WAGON MITSUBISHI</t>
  </si>
  <si>
    <t xml:space="preserve">CFR390 </t>
  </si>
  <si>
    <t>VEHÍCULO TOYOTA RAV4 - 2023</t>
  </si>
  <si>
    <t>BIEN CONYUGAL. El valor comercial consignado es el brindado por el candidato.</t>
  </si>
  <si>
    <t xml:space="preserve">CKK651 </t>
  </si>
  <si>
    <t>MARCA MERCEDES BENZ - 2024</t>
  </si>
  <si>
    <t>BIEN PROPIO DEL DECLARANTE/AUTOMÁTICO. El valor comercial consignado es el brindado por el candidato.</t>
  </si>
  <si>
    <t xml:space="preserve">BRD172 </t>
  </si>
  <si>
    <t>Mercedes Benz modelo AMG GLE 53  - Año 2020</t>
  </si>
  <si>
    <t xml:space="preserve">BJX520 </t>
  </si>
  <si>
    <t>Mercedes Benz G 500 - Año 2019</t>
  </si>
  <si>
    <t xml:space="preserve">BKS555 </t>
  </si>
  <si>
    <t>Camioneta Porche Cayenne  - Año 2019</t>
  </si>
  <si>
    <t xml:space="preserve">AI8658 </t>
  </si>
  <si>
    <t>Marca Wolkswagen</t>
  </si>
  <si>
    <t>VEHICULO  ROBADO-AÑO 1990</t>
  </si>
  <si>
    <t xml:space="preserve">CRC678 </t>
  </si>
  <si>
    <t>Marca BMW</t>
  </si>
  <si>
    <t>VALOR  DE ADQUISICION DE ENERO DE 2025</t>
  </si>
  <si>
    <t xml:space="preserve">RGB869 </t>
  </si>
  <si>
    <t>TOYOTA LITEACE VAN VERDE</t>
  </si>
  <si>
    <t>VEHICULO COMPRADO EN NOMBRE DE LA DIRCOTE A LA CUAL REPRESENTABA. A LA FECHA YA NO TENGO ACCESO AL MISMO, POR TAL RAZON NO TENGO EL VALOR ESTIMADO</t>
  </si>
  <si>
    <t xml:space="preserve">BJP339 </t>
  </si>
  <si>
    <t>AUTOMOVIL TOYOTA</t>
  </si>
  <si>
    <t>EN SOCIEDAD CONYUGAL</t>
  </si>
  <si>
    <t xml:space="preserve">BYL059 </t>
  </si>
  <si>
    <t>NISSAN MISTRAL X COLOR NEGRO</t>
  </si>
  <si>
    <t xml:space="preserve">21713S </t>
  </si>
  <si>
    <t>moto</t>
  </si>
  <si>
    <t>color rojo, marca italika</t>
  </si>
  <si>
    <t xml:space="preserve">T2Q843 </t>
  </si>
  <si>
    <t>carro</t>
  </si>
  <si>
    <t>color negro</t>
  </si>
  <si>
    <t>MY19661</t>
  </si>
  <si>
    <t xml:space="preserve">BKP574 </t>
  </si>
  <si>
    <t>color azul</t>
  </si>
  <si>
    <t xml:space="preserve">S1E487 </t>
  </si>
  <si>
    <t>carro color rojo, marca great wall</t>
  </si>
  <si>
    <t>propietarios: victor noriega y ivonne escudero</t>
  </si>
  <si>
    <t xml:space="preserve">BHN569 </t>
  </si>
  <si>
    <t>MARCA SUBARU, MODELO IMPREZA</t>
  </si>
  <si>
    <t>EL VALOR CONSIGNADO ES EL ESTIMADO POR LA CANDIDATA.</t>
  </si>
  <si>
    <t xml:space="preserve">AZN760 </t>
  </si>
  <si>
    <t>MARCA MITSUBISHI, MODELO L200</t>
  </si>
  <si>
    <t xml:space="preserve">ARM449 </t>
  </si>
  <si>
    <t>Marca Subaru, modelo Legacy</t>
  </si>
  <si>
    <t xml:space="preserve">GQ8238 </t>
  </si>
  <si>
    <t>Marca Lada, color ladrillo crema, modelo 2101</t>
  </si>
  <si>
    <t xml:space="preserve">A9X240 </t>
  </si>
  <si>
    <t>NISSAN PLATA METALICO</t>
  </si>
  <si>
    <t>EL VALOR CONSIGNADO ES EL ESTIMADO POR EL CANDIDATO.</t>
  </si>
  <si>
    <t xml:space="preserve">BML296 </t>
  </si>
  <si>
    <t>NEW TUCSON AZUL</t>
  </si>
  <si>
    <t xml:space="preserve">X13899 </t>
  </si>
  <si>
    <t>NO ES DE MI PROPIEDAD</t>
  </si>
  <si>
    <t>EL VEHICULO NO ESTA REGISTRADO A MI NOMBRE , TENGO HOMONIMO, EL PROPIETARIO ES JORGE ANTONIO VELASQUEZ PORTOCARRERO CON DNI 04801187.</t>
  </si>
  <si>
    <t xml:space="preserve">66786X </t>
  </si>
  <si>
    <t>NY57124</t>
  </si>
  <si>
    <t>MOTOCICLETA</t>
  </si>
  <si>
    <t xml:space="preserve">AOC599 </t>
  </si>
  <si>
    <t>ANOTACION DE ROBO VIGENTE - LIMA</t>
  </si>
  <si>
    <t>EL CARRO FUE ROBADO - TIENE UNA ANOTACION EN SUNARP</t>
  </si>
  <si>
    <t xml:space="preserve">BXW570 </t>
  </si>
  <si>
    <t>camioneta grand cherokee, automática</t>
  </si>
  <si>
    <t xml:space="preserve">ZG1854 </t>
  </si>
  <si>
    <t>NINGUNA</t>
  </si>
  <si>
    <t>NO SOY NI HE SIDO PROPIETARIO DE ESTE VEHÍCULO.</t>
  </si>
  <si>
    <t xml:space="preserve">D1M502 </t>
  </si>
  <si>
    <t>HYUNDAI SANTA FE - AÑO 2013</t>
  </si>
  <si>
    <t xml:space="preserve">MF5870 </t>
  </si>
  <si>
    <t>AUDI A8</t>
  </si>
  <si>
    <t>C9O211</t>
  </si>
  <si>
    <t>AUTO</t>
  </si>
  <si>
    <t>AUTO REGISTRADO A NOMBRE DE LA EMPRESA CONSILIUM S.A.C. EL VALOR COMERCIAL CONSIGNADO ES EL BRINDADO POR EL CANDIDATO.</t>
  </si>
  <si>
    <t xml:space="preserve">W2Q494 </t>
  </si>
  <si>
    <t>Marca HAFEI, Modelo LOBO, Año de modelo 2009</t>
  </si>
  <si>
    <t xml:space="preserve">BVT522 </t>
  </si>
  <si>
    <t>Kia soluto, color gris</t>
  </si>
  <si>
    <t>Embarcación Pesquera Artesanal</t>
  </si>
  <si>
    <t>sinplaca</t>
  </si>
  <si>
    <t>Embarcación Pesquera Artesanal de cerco menor</t>
  </si>
  <si>
    <t>Con matricula N° MO-01570-BM, denominado "Gabrielito I"</t>
  </si>
  <si>
    <t xml:space="preserve">1173JW </t>
  </si>
  <si>
    <t xml:space="preserve">BWG711 </t>
  </si>
  <si>
    <t>MODELO AÑO 2024</t>
  </si>
  <si>
    <t xml:space="preserve">CPU012 </t>
  </si>
  <si>
    <t>TOYOTA FORTUNER 4x4, COLOR GRIS</t>
  </si>
  <si>
    <t xml:space="preserve">Z8D494 </t>
  </si>
  <si>
    <t>SUBARU</t>
  </si>
  <si>
    <t>AUTOMOVIL AÑO 2002</t>
  </si>
  <si>
    <t xml:space="preserve">Z4Z368 </t>
  </si>
  <si>
    <t>MAZDA CX3</t>
  </si>
  <si>
    <t>SUV AÑO 2016</t>
  </si>
  <si>
    <t xml:space="preserve">C8J484 </t>
  </si>
  <si>
    <t>MARCA VOLKSWAGEN MODELO TIGUAN 2012</t>
  </si>
  <si>
    <t xml:space="preserve">ANU552 </t>
  </si>
  <si>
    <t>Automóvil Sedán Toyota Avensis</t>
  </si>
  <si>
    <t xml:space="preserve">CJO076 </t>
  </si>
  <si>
    <t>Camioneta rural MG ZX</t>
  </si>
  <si>
    <t xml:space="preserve">BJT683 </t>
  </si>
  <si>
    <t>Subaru SV 2018</t>
  </si>
  <si>
    <t xml:space="preserve">VAH342 </t>
  </si>
  <si>
    <t>CAMIONETA  4X2</t>
  </si>
  <si>
    <t xml:space="preserve">BDW406 </t>
  </si>
  <si>
    <t>Toyota Prius C hìbrido</t>
  </si>
  <si>
    <t>cuenta con 55,600 km. de recorrido</t>
  </si>
  <si>
    <t xml:space="preserve">BDS604 </t>
  </si>
  <si>
    <t>CAMIONETA</t>
  </si>
  <si>
    <t xml:space="preserve">B0M406 </t>
  </si>
  <si>
    <t xml:space="preserve">Z7A002 </t>
  </si>
  <si>
    <t xml:space="preserve">NQ3303 </t>
  </si>
  <si>
    <t>MOTO COLOR ROJO</t>
  </si>
  <si>
    <t>ERROR CONSIGNADO EN EL SISTEMA EN NUMERO DE PLACA. CORRESPONDE EL NUMERO NQ3803</t>
  </si>
  <si>
    <t xml:space="preserve">BYR306 </t>
  </si>
  <si>
    <t>AUTO SEDAN</t>
  </si>
  <si>
    <t>PROCESO DE TRANSFERENCIA NO CONCLUIDO</t>
  </si>
  <si>
    <t>F3G458</t>
  </si>
  <si>
    <t>Jeep</t>
  </si>
  <si>
    <t>Esta a nombre de mi esposa</t>
  </si>
  <si>
    <t>AXC-052</t>
  </si>
  <si>
    <t>CAMIONETA MONTERO MITSUBISHI</t>
  </si>
  <si>
    <t xml:space="preserve">BLC419 </t>
  </si>
  <si>
    <t>CAMIONETA HONDA</t>
  </si>
  <si>
    <t xml:space="preserve">V7G910 </t>
  </si>
  <si>
    <t xml:space="preserve">ADG121 </t>
  </si>
  <si>
    <t>TOYOTA HIGHLANDER (2014)</t>
  </si>
  <si>
    <t xml:space="preserve">BXS585 </t>
  </si>
  <si>
    <t>Camioneta Volkswagen Tiguan All Space del 2021.</t>
  </si>
  <si>
    <t>Valor de adquisición. Automática y gris platino.</t>
  </si>
  <si>
    <t xml:space="preserve">F7I424 </t>
  </si>
  <si>
    <t>Ninguna</t>
  </si>
  <si>
    <t>El vehículo no es de mi propiedad. En la partida N° 51525723 consta que el propietario es un homónimo, identificado con el DNI N° 10354769.</t>
  </si>
  <si>
    <t xml:space="preserve">BMZ362 </t>
  </si>
  <si>
    <t>Honda Civic Azul Cosmic del 2019.</t>
  </si>
  <si>
    <t>El valor consignado corresponde al valor de ingreso al patrimonio, dado que el bien fue incorporado a este mediante un anticipo de legítima. Dicho bien fue valorizado en $ 14,000, monto que fue convertido a soles aplicando el tipo de cambio vigente.</t>
  </si>
  <si>
    <t>8569GZ</t>
  </si>
  <si>
    <t>Trimocarga de color azul.</t>
  </si>
  <si>
    <t>9439GZ</t>
  </si>
  <si>
    <t>Motocicleta Lineal de color rojo</t>
  </si>
  <si>
    <t>5013AX</t>
  </si>
  <si>
    <t>MOTOCICLETA - ROJO</t>
  </si>
  <si>
    <t>TIENE_TITULARIDAD</t>
  </si>
  <si>
    <t>PERSONA_JURIDICA</t>
  </si>
  <si>
    <t>TIPO_TITULARIDAD</t>
  </si>
  <si>
    <t>CANTIDAD</t>
  </si>
  <si>
    <t>NEGOCIACION AGRICOLA GANADERA LA PARED S.A</t>
  </si>
  <si>
    <t>ACCIONES</t>
  </si>
  <si>
    <t>TENGO EL 75% DEL PORCENTAJE TOTAL DE LAS ACCIONES DE LA EMPRESA, LA CUAL EQUIVALE A 1'950.000.00 SOLES</t>
  </si>
  <si>
    <t>CLINICA INDEPENDENCIA S.A.</t>
  </si>
  <si>
    <t>EL TOTAL DEL VALOR DE LAS ACCIONES ES S/.10.00, CON PARTIDA REGISTRAL N° 00365175</t>
  </si>
  <si>
    <t>Inmobiliaria Villa Paris S. A. C.</t>
  </si>
  <si>
    <t>El valor total de las acciones es de 49873 soles.</t>
  </si>
  <si>
    <t>Inversiones Generales ARIBET SAC</t>
  </si>
  <si>
    <t>LA EMPRESA NO TIENE ACTIVIDAD COMERCIAL, CON RUC DADA DE BAJA, SIN EMBARGO, AÚN SIGUE INSCRITA EN REGISTROS PÚBLICOS. LAS ACCIONES DE LA SUSCRITA TIENEN UN VALOR TOTAL DE 95,000.00 SOLES</t>
  </si>
  <si>
    <t>Inversiones Generales AMAT SAC</t>
  </si>
  <si>
    <t>LA EMPRESA NO TIENE ACTIVIDAD COMERCIAL, CON RUC DADA DE BAJA, SIN EMBARGO, AÚN SIGUE INSCRITA EN REGISTROS PÚBLICOS Y POSEE UN BIEN MUEBLE (CAMIONETA). LAS ACCIONES DE LA SUSCRITA TIENEN UN VALOR TOTAL DE 95,000.00 SOLES</t>
  </si>
  <si>
    <t>COMPAÑIA MINERA MARILIA &amp; FCS SAC</t>
  </si>
  <si>
    <t>EL TOTAL DE ACCIONES QUE POSEO TIENE UN VALOR DE S/. 1´031,487.00</t>
  </si>
  <si>
    <t>LUCIA TERESA S.A.C.</t>
  </si>
  <si>
    <t>EL TOTAL DE ACCIONES QUE POSEO TIENE UN VALOR DE S/. 800.00</t>
  </si>
  <si>
    <t>SOLUCIONES ORGÁNICAS DEL PERÚ S.A.C. - SORPERU S.A.C.</t>
  </si>
  <si>
    <t>EL TOTAL DE ACCIONES QUE POSEO TIENE UN VALOR DE S/. 700.00.</t>
  </si>
  <si>
    <t>EL TOTAL DEL VALOR DE LA EMPRESA ES  300,000.00 DEL CUAL TENGO EL 70% DE  ACCIONES QUE TIENE UN VALOR DE S/. 210,000.00</t>
  </si>
  <si>
    <t>INVERSIONES I.V.L. S.A.C.</t>
  </si>
  <si>
    <t>EL TOTAL DE ACCIONES QUE POSEO TIENE UN VALOR DE S/. 33,401.00</t>
  </si>
  <si>
    <t>CLINICA SALUD INTEGRAL FARMEDICA S.A.C.</t>
  </si>
  <si>
    <t>LA EMPRESA TIENE UN VALOR DE S/ 150,000.00 DEL CUAL TENGO EL 70% DE ACCIONES QUE  TIENE UN VALOR DE S/. 105,000.00.</t>
  </si>
  <si>
    <t>EL VALOR TOTAL DE TODAS LA ACCIONES QUE TENGO ES DE: 838,025 SOLES</t>
  </si>
  <si>
    <t>CORPORACION EDUCATIVA FR SAC</t>
  </si>
  <si>
    <t>EL VALOR TOTAL DE LAS ACCIONES QUE TENGO ES DE: 50,729 SOLES</t>
  </si>
  <si>
    <t>ASR Pecuaria SAC</t>
  </si>
  <si>
    <t>Se precisa que se tiene el 88% de acciones</t>
  </si>
  <si>
    <t>ASR Agrícola SAC</t>
  </si>
  <si>
    <t>Se precisa que se tiene el 97% de las acciones</t>
  </si>
  <si>
    <t>Agrícola Pampa Chica EIRL</t>
  </si>
  <si>
    <t>Se precisa que se tiene el 100% de acciones</t>
  </si>
  <si>
    <t>Carlos Mesía &amp; Abogados Asociados S.R.L.</t>
  </si>
  <si>
    <t>PARTICIPACIONES</t>
  </si>
  <si>
    <t>5000 soles es el total del valor nominal.</t>
  </si>
  <si>
    <t>Mesía &amp; Correa Abogados S.A.C.</t>
  </si>
  <si>
    <t>Mesía &amp; Soto Consulting Group S.R.L.</t>
  </si>
  <si>
    <t>Ediciones Especiales S.A.</t>
  </si>
  <si>
    <t>Se debe tener presente que en el año 1986, la moneda en curso no era la actual, por lo que el monto mencionado se refiere al valor nominal. Asimismo, se precisa que 7000000 es el total del valor nominal en el año 1986.</t>
  </si>
  <si>
    <t>Rodriguez Villodaz &amp; Mesía Ramires Abogados Consultores S.A.</t>
  </si>
  <si>
    <t>400 soles es el total del valor nominal.</t>
  </si>
  <si>
    <t>Rosal Sociedad Anónima</t>
  </si>
  <si>
    <t>500 soles es el total del valor nominal.</t>
  </si>
  <si>
    <t>Tempus Perú S.A.C.</t>
  </si>
  <si>
    <t>7200 soles es el total del valor nominal.</t>
  </si>
  <si>
    <t>Estudio Jurídico Mesía-Espinoza &amp; Abogados Asociados Sociedad Civil de Responsabilidad Limitada</t>
  </si>
  <si>
    <t>100 soles es el total del valor nominal.</t>
  </si>
  <si>
    <t>CLINICA ESPECIALIZADA DE FERTILIZACION IN VITRO S.A.C.</t>
  </si>
  <si>
    <t>cada accionista posee el 12.5% del total de las acciones, estado del contribuyente (suspensión temporal), domicilio fiscal: JR. BELEN TORRES NRO. 317 (A 2 CUADRAS IIAA) SAN MARTIN - SAN MARTIN - MORALES. El monto total de acciones es de 30,100 acciones</t>
  </si>
  <si>
    <t>Dimol Perú S.A.C.</t>
  </si>
  <si>
    <t>Marsala S.A.C.</t>
  </si>
  <si>
    <t>ERC CONSULTORES E.I.R.L.</t>
  </si>
  <si>
    <t>INVERSIONES RENZO S.R.L.</t>
  </si>
  <si>
    <t>EL VALOR TOTAL DE MIS PARTICIPACIONES ASCIENDE A S/ 47,340.</t>
  </si>
  <si>
    <t>LOGÍSTICA DEL SUR S.R.L.</t>
  </si>
  <si>
    <t>EL VALOR TOTAL DE MIS PARTICIPACIONES ASCIENDE A S/ 42,136.</t>
  </si>
  <si>
    <t>CONSILIUM SAC</t>
  </si>
  <si>
    <t>EL VALOR TOTAL DE MIS ACCIONES ASCIENDE A S/ 800.</t>
  </si>
  <si>
    <t>MAESTRANZA METAL MECÁNICA S.R.L</t>
  </si>
  <si>
    <t>EL VALOR TOTAL DE MIS PARTICIPACIONES ASCIENDE A S/ 429,445.</t>
  </si>
  <si>
    <t>Constructora HUARI SAC</t>
  </si>
  <si>
    <t>DENTICA MED SOCIEDAD COMERCIAL DE RESPONSABILIDAD LIMITADA - DENTICA MED S.R.L.</t>
  </si>
  <si>
    <t>CON SUSPENSIÓN (BAJA DE OFICIO), Y REPRESENTA EL 50% DE ACCIONES</t>
  </si>
  <si>
    <t>NEUMATICOS DEL SUR SRL</t>
  </si>
  <si>
    <t>INVERSIONES SOCIALES AMAJORRO  S.A.C</t>
  </si>
  <si>
    <t>KAM AMPUERO &amp; MEZA ABOGADOS, ASESORIA Y DEFENSA PROCESAL S.A.C.</t>
  </si>
  <si>
    <t>P &amp; C GENERAL ADVISOR SAC</t>
  </si>
  <si>
    <t>PARTICIPACION CON 990 ACCIONES</t>
  </si>
  <si>
    <t>PERU HOTEL AGUAS CALIENTES SA</t>
  </si>
  <si>
    <t>SE CONSIGNA EL VALOR NOMINAL DEL NUMERO TOTAL DE ACCIONES.</t>
  </si>
  <si>
    <t>PERUVAL CORP S.A. (SOCIEDAD NO DOMICILIADA EN EL PERU)</t>
  </si>
  <si>
    <t>SOCIEDAD NO DOMICILIADA EN EL PERU.  EL VALOR NOMINAL DE CADA ACCION ES US$ 100.  SE HA CALCULADO AL TIPO DE CAMBIO DE S/. 3.40.  SE CONSIGNA EL VALOR NOMINAL DEL NUMERO TOTAL DE ACCIONES.</t>
  </si>
  <si>
    <t>PERU HOTEL Y SERVICIOS S.A.</t>
  </si>
  <si>
    <t>PERUVIAN TRAINS &amp; RAILWAYS S.A.</t>
  </si>
  <si>
    <t>PERU HOTEL CORP S.A.</t>
  </si>
  <si>
    <t>LATIN SECURITY CORP (SOCIEDAD NO DOMICILIADA EN EL PERU)</t>
  </si>
  <si>
    <t>SOCIEDAD NO CONSTITUIDA EN EL PERÚ.  EL VALOR NOMINAL DE CADA ACCION ES US$100. SE HA CALCULADO EL VALOR AL TIPO DE CAMBIO DE S/. 3.40</t>
  </si>
  <si>
    <t>ACRES INVESTMENTS PERU S.A.</t>
  </si>
  <si>
    <t>ACRES INVESTMENTS LTD (SOCIEDAD NO DOMICILIADA EN EL PERU)</t>
  </si>
  <si>
    <t>SOCIEDAD NO DOMICILIADA EN EL PERU.  EL VALOR NOMINAL DE CADA ACCION ES US$100 SE HA CALCULADO AL TIPO DE CAMBIO DE S/.3.40. SE CONSIGNA EL VALOR NOMINAL DEL NUMERO TOTAL DE ACCIONES.</t>
  </si>
  <si>
    <t>PERU HOTEL HOLDING S.A.</t>
  </si>
  <si>
    <t>ACRES INVESTMENTS S.A.</t>
  </si>
  <si>
    <t>INVERSIONES EN COBRA PERU SAC</t>
  </si>
  <si>
    <t>TIENE_INFORMACION_ADICIONAL</t>
  </si>
  <si>
    <t>RUBRO</t>
  </si>
  <si>
    <t>INFORMACIÓN ADICIONAL</t>
  </si>
  <si>
    <t>Poseo depósito a plazo fijo por mi AFP, retiro del 95.5%</t>
  </si>
  <si>
    <t>FORMACIÓN ACADÉMICA</t>
  </si>
  <si>
    <t>DIPLOMADO DE ADMINISTRACIÓN DE EMPRESAS DE SERVICIOS DE SALUD EN LA UNIVERSIDAD SAN IGNACIO DE LOYOLA. (ABRIL DE 1999 A JUNIO DEL 2000). 
CIRUJIA GENERAL Y DIGESTIVA EN HOSPICES CIVILS DE STRASBOURG-FRANCIA (OCTUBRE DE 1981 A DICIEMBRE DEL 1984)</t>
  </si>
  <si>
    <t>TRAYECTORIA PARTIDARIA Y/O POLÍTICA DE DIRIGENTE</t>
  </si>
  <si>
    <t>El suscrito actualmente viene ejerciendo cargo de elección popular de congresista de la República por el periodo 2021-2026.</t>
  </si>
  <si>
    <t>EL BIEN UBICADO EN  LA CALLE FRANCISCO CABRERA N. 170, CHICLAYO, CON PARTIDA 02221737, PERTENECE A LA SUCESION INTESTADA DE SUS PADRES, DONDE CUENTA CON UNA  PARTICIPACIÓN DE 25%, CON UN VALOR COMERCIAL DE 40 533.18 SOLES. (MONTO ESTIMADO POR EL CANTIDADO).</t>
  </si>
  <si>
    <t>Tengo estudios de postgrado realizados en la Universidad de California de los Ángeles (USA). La especialización es Economía. Obtuve el grado de Master of Arts en 1989.</t>
  </si>
  <si>
    <t>Tengo un préstamo mutuo con garantía hipotecaria inscrita en Registros Públicos.</t>
  </si>
  <si>
    <t>DECLARACIÓN JURADA DE INGRESOS DE BIENES Y RENTAS</t>
  </si>
  <si>
    <t>Tengo como posesión un lote de terreno en Tingo María, distrito de Las Palmas, provincia de Rupa-Rupa.</t>
  </si>
  <si>
    <t>Tengo como posesión un lote de terreno en Ucayali, Padre Abad, distrito de Irazola.</t>
  </si>
  <si>
    <t>Las 1000 acciones que tenía en J&amp;A Promotora S. A. C. fueron transferidas el 1 de setiembre de 2025.</t>
  </si>
  <si>
    <t>Sobre los ingresos del sector público, preciso que el primer monto que señalo es por la pensión que recibo de las FFAA, el segundo monto es por docencia en la Escuela CAEN y Escuela de Guerra, y, el último monto es de un bono por el conflicto del Cenepa.</t>
  </si>
  <si>
    <t>Con mi esposa tenemos régimen de separación de bienes. Ella tiene a su nombre una casa en la que vivimos actualmente, ubicada en Algarrobos 170 - Surco, Lima. Y, otra en la Playa Cocoa - Asia, Cañete. Ambas fueron adquiridas por ella durante su actividad profesional.</t>
  </si>
  <si>
    <t>CAMIONETA HIF-164, MECÁNICA GREAT WALL - HAVAL H3, 4X2, VALORIZADA EN 19489.25 SOLES REGISTRADA A NOMBRE DE LA EMPRESA AMAT SAC.</t>
  </si>
  <si>
    <t>CAMIONETA H2C830 MAZDA, MECÁNICA 2012, VALORIZADAS 27,975 SOLES. DE CONVIVIENTE. ASI MISMO POSEE UN 95% DE LA EMPRESA PUENTES Y CONSTRUCCIONES SAC.</t>
  </si>
  <si>
    <t>EXPERIENCIA LABORAL</t>
  </si>
  <si>
    <t>El sistema no permite ordenar la información, empezando por lo más reciente.</t>
  </si>
  <si>
    <t>Además, he tenido el siguiente cargo de elección popular durante 2011 al 2016, el cual el Sistema Declara no precisa: 
1.- Congresista de la República,  Periodo 2011-2016, Partido político Fuerza Popular, antes denominado "Fuerza 2011".</t>
  </si>
  <si>
    <t>Además del valor de los vehículos, declaro en menaje, joyas y otros, la suma de S/ 233,000.00.</t>
  </si>
  <si>
    <t>AMÉRICA Y ESTUDIOS EIRL (ÚNICO TITULAR CON UN CAPITAL DE S/. 12,000.00)</t>
  </si>
  <si>
    <t>TELEPLUS Y COMUNICACIONES EIRL (ÚNICO TITULAR CON UN CAPITAL S/. 13,000.00)</t>
  </si>
  <si>
    <t>PATRONATO DEL TEATRO DE IQUITOS - ASOCIACIÓN CIVIL</t>
  </si>
  <si>
    <t>CLUB BANCREDITO IQUITOS - ASOCIACIÓN CIVIL</t>
  </si>
  <si>
    <t>AMAZONIA PRODUCCIONES EIRL  (ÚNICO TITULAR CON UN CAPITAL DE S/. 10,000.00</t>
  </si>
  <si>
    <t>EL MONTO DEL 48000 SOLES SON INFGRESOS PRECIBIDOS POR LA EMPRESA  AMAZONIA PRODUCCIONES EIRL.</t>
  </si>
  <si>
    <t>LA EMPRESA DROGUERIA E IMPORTADORA FARMEDICA S.A.C LIQUIDO ACCIONES EL 20/05/2024, EN CONSECUENCIA YA NO POSEO ACCIONES</t>
  </si>
  <si>
    <t>LA EMPRESA TECNOLOGIA MINERAL ANDINA S.A.C. LIQUIDO ACCIONES EL 12/04/2024, POR TANTO YA NO POSEO ACCIONES</t>
  </si>
  <si>
    <t>LA SOCIEDAD MINERA DE RESPONSABILIDAD LIMITADA QUIRRIPE LIQUIDO ACCIONES EL 09/01/2023, POR TANTO YA NO POSEO ACCIONES</t>
  </si>
  <si>
    <t>Soy parte de "Juarez Gallegos Abogados Consultores sociedad civil de responsabilidad limitada" inscrita en Registros Publicos con el Nro. de partida 13537897 del cual tengo 5,000 mil participaciones.  Esta persona jurídica fue constituido unicamente con bienes no dinerarios, los cuales se deprecian con el pasar de los años.</t>
  </si>
  <si>
    <t>EL MONTO CONSIGNADO COMO INGRESOS CORRESPONDE AL ALQUILER DE TERRENOS A LAS EMPRESAS DE LAS CUALES ES ACCIONISTA Y REPARTE UTILIDADES</t>
  </si>
  <si>
    <t>El valor de los bienes  inmuebles, en todos los casos, corresponde al valor con que se adquirió la propiedad.</t>
  </si>
  <si>
    <t>Respecto a mi titularidad de acciones o participaciones en Personas Jurídicas, preciso que en el caso de "Editorial Fe de Erratas E.I.R.L.", al ser una EIRL regulada por el Decreto Ley 21621, no existen acciones ni participaciones.</t>
  </si>
  <si>
    <t>Respecto a mi titularidad de acciones o participaciones en Personas Jurídicas, preciso que en el caso de "Asociación Peruana de Derecho Procesal Constitucional", al ser una Asociación, se rige por el Código Civil y no tiene acciones ni participaciones.</t>
  </si>
  <si>
    <t>Respecto a mi titularidad de acciones o participaciones en Personas Jurídicas, preciso que en el caso de "Sociedad Andina de Estudios Jurídicos y Sociales", al ser una Asociación, se rige por el Código Civil y no tiene acciones ni participaciones.</t>
  </si>
  <si>
    <t>Tengo un predio rústico en la Carretera Chiclayo-Pimental, sin embargo, se desconoce en valor comercial de esta propiedad inscrita en Registros Públicos con Partida Nº 02192032, adquirida mediante sucesión intestada. Asimismo, no cuenta con un valor de autovalúo. La sucesión intestada no figura como contribuyente en la municipalidad.</t>
  </si>
  <si>
    <t>Respecto a mi titularidad de acciones o participaciones en Personas Jurídicas, preciso que en el caso de "Full Patas", al ser una Asociación, se rige por el Código Civil y no tiene acciones ni participaciones.</t>
  </si>
  <si>
    <t>El valor de los inmuebles se han convertido de dólares a soles, a precio de compra a la fecha.</t>
  </si>
  <si>
    <t>Tengo un reloj Cartier valorizado en S/ 70,000.00 y una pintura al óleo que valoriza el candidato en S/ 30,000.00 titulada "Paraíso" del pintor Christian Bendayán.</t>
  </si>
  <si>
    <t>CONGRESISTA DE LA REPUBLICA PERIODO 2001-2006 POR LA ORGANIZACION POLITICA ALIANZA ELECTORAL CAMBIO 90-NUEVA MAYORÍA (INGRESÉ EN CALIDAD DE ACCESITARIA).</t>
  </si>
  <si>
    <t>EL ROP NO HA ACTUALIZADO EL CARGO ACTUAL QUE VENGO EJERCIENDO COMO CONGRESISTA DE LA REPÚBLICA 2021-2026.</t>
  </si>
  <si>
    <t>DATOS PERSONALES</t>
  </si>
  <si>
    <t>PRESENTO CERTIFICADO DE HOMONIMIA N° 11819965 EXPEDIDO POR EL RENIEC DE FECHA NOV 2025.
(*) HOMÓNIMO FALLECIDO</t>
  </si>
  <si>
    <t>LICENCIA SIN GOCE DE REMUNERACIONES DESDE EL 01/01/2026 HASTA EL 15/04/2026 (RESOLUCION DIRECTORAL DE FECHA 11/12/2025 EXPEDIDA POR EL HOSPITAL II-2 TARAPOTO DE LA OGESS ESPECIALIZADA)</t>
  </si>
  <si>
    <t>DEJO SEÑALADO QUE LAS EXPERIENCIAS DE TRABAJO EN OFICIOS, OCUPACIONES O PROFESIONES, RELACIONADAS A FARENET (GRUPO EMPRESARIAL), GRUPO FARENET Y EUREKA PARK, CORRESPONDEN A ASESORIAS, REPRESENTACIONES COMO APODERADO EJERCIDAS EN LAS EMPRESAS . EN EL CASO DE LA EXPERIENCIA EN LA EMPRESA ELECCION INTELIGENTE COMERCIALIZADORA, DEJO SEÑALADO QUE ME ENCUENTRO EN SU PLANILLA Y MIS INGRESOS POR TAL CONCEPTO CORRESPONDEN A LO DECLARADO EN EL RUBRO DE REMUNERACION BRUTA ANUAL</t>
  </si>
  <si>
    <t>SOY PROPIETRIA DE MAR DEL NORTE KS EIRL, LA CUAL TIENE UN CAPITAL DE 10,000.OO SOLES</t>
  </si>
  <si>
    <t>DESDE EL AÑO 2025 TIENE EL CARGO DE FISCAL EN LA ASOCIACION: OLAS DE CAMBIO COLAN, CON RUC 20613551922</t>
  </si>
  <si>
    <t>TIENE 50% DE PARTICIPACIONES EN LA EMPESA TAPIDION INVESTMENTS LLC CONSTITUIDA EN EEUU, EL CUAL LE GENERA 15,000.00 DOLARES AMERICANOS ANUALMENTE Y SON TRIBUTADS EN EEUU.</t>
  </si>
  <si>
    <t>TENGO HOMONIMO,CON EL SEÑOR JORGE ANTONIO VELASQUEZ PORTOCARRERO CON DNI 04801187.</t>
  </si>
  <si>
    <t>REGIMEN DE SEPARACIÓN DE PATRIMONIO CON ANA LISBETH ARÉVALO GARCIA  - PARTIDA 11035193 - REGISTRO DE PERSONAS DE PUCALLPA</t>
  </si>
  <si>
    <t>INMUEBLE. UCV 32 LT 18 ZN B HUAYCAN ATE-LIMA.
NO ESTA ISNCRITO EN SUNARP</t>
  </si>
  <si>
    <t>Solar en el centro Poblado de Puña de 100m2, en el distrito de Tacabamba, Provincia de Chota - Cajamarca, con un valor de 25000.00 nuevos soles.</t>
  </si>
  <si>
    <t>- EL PREDIO AGRICOLA NO ESTA ANTE EL MUNICIPIO A NOMBRE NUESTRO, POR LO QUE NO HAY ACCESO NI AUTOVALUO
- EL PREDIO URBANO ES DECLARADO COPROPIETARIA Y ES QUIEN PAGA EL IMPUESTO POR LO QUE NO ACCESO A LA INFORMACIÓN DEL AUTOVALUO</t>
  </si>
  <si>
    <t>Empresa Comdes Perú - Consultores S.A. - Ruc: 20605322531 - Baja Definitiva</t>
  </si>
  <si>
    <t>MIEMBRO ASOCIADO DE LA ASOCIACION AVANCE EMPRENDEDOR  INSCRITA EN SUNARP CON PARTIDA REGISTRAL N° 14339390</t>
  </si>
  <si>
    <t>CHARLAS MOTIVACIONALES</t>
  </si>
  <si>
    <t>TENGO UNA HERENCIA DE UNA OFICINA SIN INSCRIPCION EN SUNARP , EN PASAJE LOS PINOS 156 OFICINA B MIRAFLORES</t>
  </si>
  <si>
    <t>Departamento en construcción en Miguel Aljovin 192-194 
Precio S/ 1,065,792.65</t>
  </si>
  <si>
    <t>tengo inversiones en el Banco de Crèdito del Perù como sigue: 
1. cc renta futura II en dolares: $ 76,104
2. cc conservador en dolares $ 10,246
3. cc conservador mediano plazo soles S/ 50,800
4. CC deuda corporativa soles s/ 50,254
SABBI-fondo de inversiones
tengo una inversiòn de $ 68,000 dòlares
el dinero fue adquirido por herencia de mi padre y en parte por mi AFP</t>
  </si>
  <si>
    <t>PROFESIÓN: PUBLICISTA MARKETERA COMUNICADORA</t>
  </si>
  <si>
    <t>HAGO USUFRUCTO CORRESPONDIENTE DEL ALQUILER DE DOS PROPIEDADES PERTENECIENTES A MIS HIJOS.</t>
  </si>
  <si>
    <t>LA INFORMACION DE ACCIONES EN EMPRESAS SOLO INCLUYE A MI PERSONA, NO INCLUYE A MI CONYUGUE.</t>
  </si>
  <si>
    <t>AHORROS EN EFECTIVO POR UN MONTO DE 100 000.00
FONDOS MUTUOS EN SCOTIA BANK POR UN MONTO DE 80 000.00
SE PRECISA QUE LO CONSIGNADO COMO RENUMERACION BRUTA EN LA PARTE VIII CORRESPONDE A PENSION POR RETIRO COMO SERVIDOR PUBLICO DEL SECTOR DEFENSA MARINA DE GUERRA DEL PERU.</t>
  </si>
  <si>
    <t>ASIGNACIÓN CONGRESAL ANUAL: 152,648.64
APOYO LOGISTICO POR SEMANA DE REPRESENTACIÓN BRUTO: 48,000.00
GRATIFICACIÓN JULIO - DICIEMBRE: 34,008.00
CTS: 15,383.33</t>
  </si>
  <si>
    <t>Antes partido solidaridad nacional.</t>
  </si>
  <si>
    <t>Se han declarado solo  las sociedades donde se tienen la propiedad actual de acciones, no así las sociedades que el declarante haya tenido alguna participación durante su vida y donde aparezca como socio fundador en SUNARP.  Lo anterior ya fue objeto de pronunciamiento de las autoridades electorales.</t>
  </si>
  <si>
    <t>CUENTO CON TERRENO RUSTICON NO INSCRITO, UBICADO POR LA URBANIZACION MAGISTERIAL - TOTORANI POR ALTO PUNO</t>
  </si>
  <si>
    <t>EN CUENTAS BANCARIAS TENGO 206333.01 SOLES.</t>
  </si>
  <si>
    <t>200 ACCIONES EN EMPRESA PAC MINIBRICE SAC CON RUC 20605454934 CON PARTIDA 14366676 ACTUALMENTE CON BAJA DE SUNAT</t>
  </si>
  <si>
    <t>Mi esposa Carla Gonzalez Del Riego Collomp tiene 999 acciones en MYL Productos Sociedad Anónima Cerrada - MYL Productos S.A.C.</t>
  </si>
  <si>
    <t>La información declarada en ingresos es conforme a la Declaración Jurada Anual 2024 de SUNAT.</t>
  </si>
  <si>
    <t>ANEXO</t>
  </si>
  <si>
    <t>URL_ANEXO</t>
  </si>
  <si>
    <t>DDJJ de consentimiento de participación, de la veracidad del contenido del formato único de DJHV y de no tener deuda de reparación civil</t>
  </si>
  <si>
    <t>https://mpesije.jne.gob.pe/apidocs/dea427c5-a7e2-47b2-8e9b-c6242bc2e605.pdf</t>
  </si>
  <si>
    <t>https://mpesije.jne.gob.pe/apidocs/35cd3b58-314c-453d-8809-4abf0ef434cf.pdf</t>
  </si>
  <si>
    <t>Otros</t>
  </si>
  <si>
    <t>https://mpesije.jne.gob.pe/apidocs/840ff749-7d89-44b2-9534-e8ca3811fc01.pdf</t>
  </si>
  <si>
    <t>https://mpesije.jne.gob.pe/apidocs/3f17c90a-3160-4f1e-a38d-c507251ad0f5.pdf</t>
  </si>
  <si>
    <t>https://mpesije.jne.gob.pe/apidocs/a3c10ffe-e9d3-475e-9da8-5db438a495f3.pdf</t>
  </si>
  <si>
    <t>https://mpesije.jne.gob.pe/apidocs/8ffff61f-87fc-4a86-a7d0-d1a4781fb010.pdf</t>
  </si>
  <si>
    <t>https://mpesije.jne.gob.pe/apidocs/ad1a39a6-7327-4052-85e9-6ee41b06f66e.pdf</t>
  </si>
  <si>
    <t>https://mpesije.jne.gob.pe/apidocs/3a3c1313-b9a9-4bd3-a64f-20f607a50126.pdf</t>
  </si>
  <si>
    <t>https://mpesije.jne.gob.pe/apidocs/f311f2bb-89de-40b7-aa62-1df0f10a2385.pdf</t>
  </si>
  <si>
    <t>https://mpesije.jne.gob.pe/apidocs/62b5b3c5-d339-42eb-87e3-92ced249cadd.pdf</t>
  </si>
  <si>
    <t>https://mpesije.jne.gob.pe/apidocs/786f44e5-376a-4d5f-950e-161a6b82e5a0.pdf</t>
  </si>
  <si>
    <t>DDJJ de solicitud de licencia</t>
  </si>
  <si>
    <t>https://mpesije.jne.gob.pe/apidocs/ec73d6b3-ef86-4e58-b4f1-e173d17e8eb1.pdf</t>
  </si>
  <si>
    <t>https://mpesije.jne.gob.pe/apidocs/c5c172ad-7da5-4575-adb1-7cbee463d92b.pdf</t>
  </si>
  <si>
    <t>https://mpesije.jne.gob.pe/apidocs/92e8937d-767a-4273-b2fe-95fa2dff2535.pdf</t>
  </si>
  <si>
    <t>https://mpesije.jne.gob.pe/apidocs/1057731d-46c2-4c13-b8a0-e85b182b4090.pdf</t>
  </si>
  <si>
    <t>https://mpesije.jne.gob.pe/apidocs/438316a6-8308-48da-9128-e1fbdf609d91.pdf</t>
  </si>
  <si>
    <t>https://mpesije.jne.gob.pe/apidocs/1ab5e1e3-0156-4b9d-a320-6e21442f0449.pdf</t>
  </si>
  <si>
    <t>https://mpesije.jne.gob.pe/apidocs/ee4a9e3e-8832-41cd-b39f-aa99f7798626.pdf</t>
  </si>
  <si>
    <t>https://mpesije.jne.gob.pe/apidocs/4b3ae1f3-279c-478b-a815-f3f49a8ba44f.pdf</t>
  </si>
  <si>
    <t>https://mpesije.jne.gob.pe/apidocs/48834b19-5290-4d89-91c0-6441bd4fb1f1.pdf</t>
  </si>
  <si>
    <t>https://mpesije.jne.gob.pe/apidocs/602076f1-4f63-4222-8d0c-63bfcaed6966.pdf</t>
  </si>
  <si>
    <t>https://mpesije.jne.gob.pe/apidocs/5f7597a1-69e6-4735-b97b-3bd433552f3a.pdf</t>
  </si>
  <si>
    <t>https://mpesije.jne.gob.pe/apidocs/9554d086-8dc3-44e0-801a-7d1286787782.pdf</t>
  </si>
  <si>
    <t>https://mpesije.jne.gob.pe/apidocs/992f1c2d-a81c-47ab-9ce6-96a32cb90f16.pdf</t>
  </si>
  <si>
    <t>https://mpesije.jne.gob.pe/apidocs/45a1a983-8b11-4605-81c3-1e2dab55e775.pdf</t>
  </si>
  <si>
    <t>https://mpesije.jne.gob.pe/apidocs/13faccdc-00a6-41ae-8986-3d9d17a3bfdb.pdf</t>
  </si>
  <si>
    <t>https://mpesije.jne.gob.pe/apidocs/709925dd-4d5f-4aa7-9bf7-87dfbfcc8fad.pdf</t>
  </si>
  <si>
    <t>https://mpesije.jne.gob.pe/apidocs/b22b4952-d5f7-42cd-82d8-880465ccc9d9.pdf</t>
  </si>
  <si>
    <t>https://mpesije.jne.gob.pe/apidocs/a99f6231-f811-4234-b2fa-3549b89efc03.pdf</t>
  </si>
  <si>
    <t>https://mpesije.jne.gob.pe/apidocs/5ee54295-6cb7-4fc1-924d-f638eff4e238.pdf</t>
  </si>
  <si>
    <t>https://mpesije.jne.gob.pe/apidocs/6d4ba73a-6e06-4a4a-ae11-f407d9a204bf.pdf</t>
  </si>
  <si>
    <t>https://mpesije.jne.gob.pe/apidocs/e5ade2d8-94e5-4e56-9fe3-3049491ccd1a.pdf</t>
  </si>
  <si>
    <t>https://mpesije.jne.gob.pe/apidocs/76208011-2308-426f-9d7f-8cff254797fe.pdf</t>
  </si>
  <si>
    <t>https://mpesije.jne.gob.pe/apidocs/7e7ee794-3766-4a18-91fb-ee50fd68df6c.pdf</t>
  </si>
  <si>
    <t>https://mpesije.jne.gob.pe/apidocs/18c5e74f-96c7-4971-be92-6751a8edb3f8.pdf</t>
  </si>
  <si>
    <t>https://mpesije.jne.gob.pe/apidocs/7c6788af-a2ca-4360-a966-644b3c971233.pdf</t>
  </si>
  <si>
    <t>https://mpesije.jne.gob.pe/apidocs/fcbac584-6aef-4fda-880f-f58d2217161b.pdf</t>
  </si>
  <si>
    <t>https://mpesije.jne.gob.pe/apidocs/742241c5-8152-4efd-aab1-545d7f3a00cd.pdf</t>
  </si>
  <si>
    <t>https://mpesije.jne.gob.pe/apidocs/fe4cb1f3-1278-4c6b-824d-9ad918b52139.pdf</t>
  </si>
  <si>
    <t>https://mpesije.jne.gob.pe/apidocs/1fed20ee-5dbc-4aa6-9e2c-e22eba01ffef.pdf</t>
  </si>
  <si>
    <t>https://mpesije.jne.gob.pe/apidocs/89831638-542a-49cc-8b49-10be9e07a3ce.pdf</t>
  </si>
  <si>
    <t>Documento que autoriza al candidato designado a postular por otra Organización Política</t>
  </si>
  <si>
    <t>https://mpesije.jne.gob.pe/apidocs/b3be9edd-4110-4c5b-9049-218bfe37bb43.pdf</t>
  </si>
  <si>
    <t>https://mpesije.jne.gob.pe/apidocs/820b557c-0129-46a0-9ea9-91f85561319e.pdf</t>
  </si>
  <si>
    <t>https://mpesije.jne.gob.pe/apidocs/7b241054-54fa-4d1d-b070-6148f15c2df8.pdf</t>
  </si>
  <si>
    <t>https://mpesije.jne.gob.pe/apidocs/46ef77b7-6cf8-43f6-88de-6641cf569ebc.pdf</t>
  </si>
  <si>
    <t>https://mpesije.jne.gob.pe/apidocs/1d03383b-fce2-46d3-8c3b-e592a11fc315.pdf</t>
  </si>
  <si>
    <t>https://mpesije.jne.gob.pe/apidocs/8ccbd3bc-6782-4fba-8084-5bd2522d1726.pdf</t>
  </si>
  <si>
    <t>https://mpesije.jne.gob.pe/apidocs/6246e03a-4df6-4c5e-bad0-4075f652b1f2.pdf</t>
  </si>
  <si>
    <t>https://mpesije.jne.gob.pe/apidocs/9ebb0dff-a1df-4a42-aa27-4a3201e26c77.pdf</t>
  </si>
  <si>
    <t>https://mpesije.jne.gob.pe/apidocs/7ad04f76-8c4a-48cf-828a-7f9545a0f76a.pdf</t>
  </si>
  <si>
    <t>https://mpesije.jne.gob.pe/apidocs/63fb559b-77f7-4f08-a89a-83f4ea6715c8.pdf</t>
  </si>
  <si>
    <t>https://mpesije.jne.gob.pe/apidocs/f7d8e864-cef8-4706-8d4a-df5d35b2d936.pdf</t>
  </si>
  <si>
    <t>https://mpesije.jne.gob.pe/apidocs/825ff7f4-5081-44ba-a0d2-3cad1c54ac4d.pdf</t>
  </si>
  <si>
    <t>https://mpesije.jne.gob.pe/apidocs/fe703230-87c1-4746-9664-15e391b8cdf9.pdf</t>
  </si>
  <si>
    <t>https://mpesije.jne.gob.pe/apidocs/68528866-0114-42a0-aa96-1d189c1f7efd.pdf</t>
  </si>
  <si>
    <t>https://mpesije.jne.gob.pe/apidocs/8a65ac48-9225-45b7-bf55-5e4439d616bc.pdf</t>
  </si>
  <si>
    <t>https://mpesije.jne.gob.pe/apidocs/69c211d3-487d-4289-93f4-2c87643c77ae.pdf</t>
  </si>
  <si>
    <t>https://mpesije.jne.gob.pe/apidocs/3a48945a-ea55-4bee-9ba8-68737f92653f.pdf</t>
  </si>
  <si>
    <t>https://mpesije.jne.gob.pe/apidocs/4e69214c-05e8-491d-af3d-ae24f308cbe7.pdf</t>
  </si>
  <si>
    <t>https://mpesije.jne.gob.pe/apidocs/212eff28-3f96-46cf-bd2a-4d247582f174.pdf</t>
  </si>
  <si>
    <t>https://mpesije.jne.gob.pe/apidocs/e45f3252-103d-4914-823c-f48da353bdf7.pdf</t>
  </si>
  <si>
    <t>https://mpesije.jne.gob.pe/apidocs/95aab4e0-281c-4744-8f81-62ece7859b6b.pdf</t>
  </si>
  <si>
    <t>https://mpesije.jne.gob.pe/apidocs/736cb066-2d08-4f33-898f-c438670303a7.pdf</t>
  </si>
  <si>
    <t>https://mpesije.jne.gob.pe/apidocs/4d9b0e67-377f-40c8-9559-90fd9e237079.pdf</t>
  </si>
  <si>
    <t>https://mpesije.jne.gob.pe/apidocs/8640da7a-84c5-4abd-923f-13ed388cd3e6.pdf</t>
  </si>
  <si>
    <t>https://mpesije.jne.gob.pe/apidocs/0ad1148f-cc24-49f2-89fb-e8d687f5c86c.pdf</t>
  </si>
  <si>
    <t>DDJJ de renuncia al cargo</t>
  </si>
  <si>
    <t>https://mpesije.jne.gob.pe/apidocs/51ec9481-4268-420f-af56-d04f363d92bb.pdf</t>
  </si>
  <si>
    <t>https://mpesije.jne.gob.pe/apidocs/7c338dc7-38de-4ee9-b302-7b55e7dd4fd4.pdf</t>
  </si>
  <si>
    <t>https://mpesije.jne.gob.pe/apidocs/1c0aaa17-78f2-46ac-8b55-0974a858dd54.pdf</t>
  </si>
  <si>
    <t>https://mpesije.jne.gob.pe/apidocs/78168edb-ed6b-4e0a-9b67-376e074da88a.pdf</t>
  </si>
  <si>
    <t>https://mpesije.jne.gob.pe/apidocs/f8932555-a922-4728-923d-93b2f15da3ff.pdf</t>
  </si>
  <si>
    <t>https://mpesije.jne.gob.pe/apidocs/688e47ac-fdcc-4679-be6f-29f79996b07b.pdf</t>
  </si>
  <si>
    <t>https://mpesije.jne.gob.pe/apidocs/c792f032-bfb7-43c8-bc5a-6ec8bb572c20.pdf</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</si>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</sst>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rgb="FFFFFFFF"/>
      <name val="Calibri"/>
      <family val="2"/>
      <scheme val="minor"/>
    </font>
    <font>
      <b/>
      <sz val="11"/>
      <color theme="1"/>
      <name val="Calibri"/>
      <family val="2"/>
    </font>
    <font>
      <sz val="11"/>
      <color theme="1"/>
      <name val="Calibri"/>
      <family val="2"/>
    </font>
    <font>
      <sz val="11"/>
      <color theme="1"/>
      <name val="Calibri"/>
      <family val="2"/>
      <scheme val="minor"/>
    </font>
  </fonts>
  <fills count="6">
    <fill>
      <patternFill patternType="none"/>
    </fill>
    <fill>
      <patternFill patternType="gray125"/>
    </fill>
    <fill>
      <patternFill patternType="solid">
        <fgColor rgb="FF4472C4"/>
        <bgColor rgb="FF4472C4"/>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s>
  <borders count="15">
    <border>
      <left/>
      <right/>
      <top/>
      <bottom/>
      <diagonal/>
    </border>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1">
    <xf numFmtId="0" fontId="0" fillId="0" borderId="1"/>
  </cellStyleXfs>
  <cellXfs count="38">
    <xf numFmtId="0" fontId="0" fillId="0" borderId="0" xfId="0" applyBorder="1"/>
    <xf numFmtId="0" fontId="1" fillId="2" borderId="1" xfId="0" applyFont="1" applyFill="1"/>
    <xf numFmtId="0" fontId="2" fillId="3" borderId="1" xfId="0" applyFont="1" applyFill="1"/>
    <xf numFmtId="0" fontId="2" fillId="3" borderId="0" xfId="0" applyFont="1" applyFill="1" applyBorder="1"/>
    <xf numFmtId="0" fontId="3" fillId="3" borderId="0" xfId="0" applyFont="1" applyFill="1" applyBorder="1"/>
    <xf numFmtId="0" fontId="4" fillId="0" borderId="0" xfId="0" applyFont="1" applyBorder="1"/>
    <xf numFmtId="0" fontId="4" fillId="3" borderId="0" xfId="0" applyFont="1" applyFill="1" applyBorder="1"/>
    <xf numFmtId="0" fontId="2" fillId="4" borderId="0" xfId="0" applyFont="1" applyFill="1" applyBorder="1"/>
    <xf numFmtId="0" fontId="3" fillId="4" borderId="0" xfId="0" applyFont="1" applyFill="1" applyBorder="1"/>
    <xf numFmtId="0" fontId="3" fillId="0" borderId="0" xfId="0" applyFont="1" applyBorder="1"/>
    <xf numFmtId="9" fontId="3" fillId="0" borderId="0" xfId="0" applyNumberFormat="1" applyFont="1" applyBorder="1" applyAlignment="1">
      <alignment horizontal="right"/>
    </xf>
    <xf numFmtId="9" fontId="2" fillId="0" borderId="0" xfId="0" applyNumberFormat="1" applyFont="1" applyBorder="1" applyAlignment="1">
      <alignment horizontal="right"/>
    </xf>
    <xf numFmtId="0" fontId="3" fillId="0" borderId="0" xfId="0" applyFont="1" applyBorder="1" applyAlignment="1">
      <alignment horizontal="right"/>
    </xf>
    <xf numFmtId="0" fontId="4" fillId="4" borderId="0" xfId="0" applyFont="1" applyFill="1" applyBorder="1"/>
    <xf numFmtId="3" fontId="4" fillId="4" borderId="0" xfId="0" applyNumberFormat="1" applyFont="1" applyFill="1" applyBorder="1"/>
    <xf numFmtId="0" fontId="4" fillId="5" borderId="0" xfId="0" applyFont="1" applyFill="1" applyBorder="1"/>
    <xf numFmtId="3" fontId="4" fillId="5" borderId="0" xfId="0" applyNumberFormat="1" applyFont="1" applyFill="1" applyBorder="1"/>
    <xf numFmtId="0" fontId="0" fillId="0" borderId="2" xfId="0" applyBorder="1"/>
    <xf numFmtId="0" fontId="0" fillId="0" borderId="2" xfId="0" pivotButton="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9" xfId="0" applyBorder="1"/>
    <xf numFmtId="0" fontId="0" fillId="0" borderId="2"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1"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0" fillId="0" borderId="11" xfId="0" applyNumberFormat="1" applyBorder="1"/>
    <xf numFmtId="0" fontId="0" fillId="0" borderId="12" xfId="0" applyBorder="1"/>
    <xf numFmtId="0" fontId="0" fillId="0" borderId="12" xfId="0" applyNumberFormat="1" applyBorder="1"/>
    <xf numFmtId="0" fontId="0" fillId="0" borderId="13" xfId="0" applyNumberFormat="1" applyBorder="1"/>
    <xf numFmtId="0" fontId="0" fillId="0" borderId="14"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o Scargglioni" refreshedDate="46188.862523379627" refreshedVersion="8" recordCount="100" xr:uid="{00000000-000A-0000-FFFF-FFFF3C000000}">
  <cacheSource type="worksheet">
    <worksheetSource ref="A1:Z101" sheet="01 DATOS PERSONALES"/>
  </cacheSource>
  <cacheFields count="26">
    <cacheField name="ORGANIZACION_POLITICA" numFmtId="0">
      <sharedItems containsBlank="1" count="7">
        <s v="AHORA NACION - AN"/>
        <s v="FUERZA POPULAR"/>
        <s v="JUNTOS POR EL PERU"/>
        <s v="PARTIDO CIVICO OBRAS"/>
        <s v="PARTIDO DEL BUEN GOBIERNO"/>
        <s v="RENOVACION POPULAR"/>
        <m/>
      </sharedItems>
    </cacheField>
    <cacheField name="DNI_CANDIDATO" numFmtId="0">
      <sharedItems containsBlank="1"/>
    </cacheField>
    <cacheField name="CANDIDATO" numFmtId="0">
      <sharedItems containsBlank="1"/>
    </cacheField>
    <cacheField name="DOCUMENTO_IDENTIDAD" numFmtId="0">
      <sharedItems containsBlank="1"/>
    </cacheField>
    <cacheField name="APELLIDO_PATERNO" numFmtId="0">
      <sharedItems containsBlank="1"/>
    </cacheField>
    <cacheField name="APELLIDO_MATERNO" numFmtId="0">
      <sharedItems containsBlank="1"/>
    </cacheField>
    <cacheField name="NOMBRES" numFmtId="0">
      <sharedItems containsBlank="1"/>
    </cacheField>
    <cacheField name="SEXO" numFmtId="0">
      <sharedItems containsBlank="1"/>
    </cacheField>
    <cacheField name="FECHA_NACIMIENTO" numFmtId="0">
      <sharedItems containsBlank="1"/>
    </cacheField>
    <cacheField name="PAIS_NACIMIENTO" numFmtId="0">
      <sharedItems containsBlank="1"/>
    </cacheField>
    <cacheField name="DEPARTAMENTO_NACIMIENTO" numFmtId="0">
      <sharedItems containsBlank="1"/>
    </cacheField>
    <cacheField name="PROVINCIA_NACIMIENTO" numFmtId="0">
      <sharedItems containsBlank="1"/>
    </cacheField>
    <cacheField name="DISTRITO_NACIMIENTO" numFmtId="0">
      <sharedItems containsBlank="1"/>
    </cacheField>
    <cacheField name="PRIMER_CARGO_ELECCION" numFmtId="0">
      <sharedItems containsBlank="1"/>
    </cacheField>
    <cacheField name="SEGUNDO_CARGO_ELECION" numFmtId="0">
      <sharedItems containsBlank="1"/>
    </cacheField>
    <cacheField name="DISTRITO_ELEC" numFmtId="0">
      <sharedItems containsBlank="1"/>
    </cacheField>
    <cacheField name="INFORMACION_COMPLEMENTARIA" numFmtId="0">
      <sharedItems containsBlank="1"/>
    </cacheField>
    <cacheField name="URL_FOTO" numFmtId="0">
      <sharedItems containsBlank="1"/>
    </cacheField>
    <cacheField name="TXRUTAVIRTUAL" numFmtId="0">
      <sharedItems containsBlank="1"/>
    </cacheField>
    <cacheField name="TXNOMBREDOCUMENTO" numFmtId="0">
      <sharedItems containsBlank="1"/>
    </cacheField>
    <cacheField name="EDAD" numFmtId="0">
      <sharedItems containsString="0" containsBlank="1" containsNumber="1" containsInteger="1" minValue="39" maxValue="79"/>
    </cacheField>
    <cacheField name="RANGO_EDAD" numFmtId="0">
      <sharedItems containsBlank="1"/>
    </cacheField>
    <cacheField name="PAÍS_LIMPIO" numFmtId="0">
      <sharedItems/>
    </cacheField>
    <cacheField name="SEXO_LIMPIO" numFmtId="0">
      <sharedItems containsBlank="1"/>
    </cacheField>
    <cacheField name="DEP_NAC_LIMPIO" numFmtId="0">
      <sharedItems containsBlank="1"/>
    </cacheField>
    <cacheField name="DISTRITO_ELEC_LIMPIO"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o Scargglioni" refreshedDate="46188.862523495372" refreshedVersion="8" recordCount="56" xr:uid="{00000000-000A-0000-FFFF-FFFF41000000}">
  <cacheSource type="worksheet">
    <worksheetSource ref="A1:Z57" sheet="01 DATOS PERSONALES"/>
  </cacheSource>
  <cacheFields count="26">
    <cacheField name="ORGANIZACION_POLITICA" numFmtId="0">
      <sharedItems containsBlank="1" count="7">
        <s v="AHORA NACION - AN"/>
        <s v="FUERZA POPULAR"/>
        <s v="JUNTOS POR EL PERU"/>
        <s v="PARTIDO CIVICO OBRAS"/>
        <s v="PARTIDO DEL BUEN GOBIERNO"/>
        <s v="RENOVACION POPULAR"/>
        <m u="1"/>
      </sharedItems>
    </cacheField>
    <cacheField name="DNI_CANDIDATO" numFmtId="0">
      <sharedItems/>
    </cacheField>
    <cacheField name="CANDIDATO" numFmtId="0">
      <sharedItems/>
    </cacheField>
    <cacheField name="DOCUMENTO_IDENTIDAD" numFmtId="0">
      <sharedItems/>
    </cacheField>
    <cacheField name="APELLIDO_PATERNO" numFmtId="0">
      <sharedItems/>
    </cacheField>
    <cacheField name="APELLIDO_MATERNO" numFmtId="0">
      <sharedItems/>
    </cacheField>
    <cacheField name="NOMBRES" numFmtId="0">
      <sharedItems/>
    </cacheField>
    <cacheField name="SEXO" numFmtId="0">
      <sharedItems/>
    </cacheField>
    <cacheField name="FECHA_NACIMIENTO" numFmtId="0">
      <sharedItems/>
    </cacheField>
    <cacheField name="PAIS_NACIMIENTO" numFmtId="0">
      <sharedItems/>
    </cacheField>
    <cacheField name="DEPARTAMENTO_NACIMIENTO" numFmtId="0">
      <sharedItems/>
    </cacheField>
    <cacheField name="PROVINCIA_NACIMIENTO" numFmtId="0">
      <sharedItems/>
    </cacheField>
    <cacheField name="DISTRITO_NACIMIENTO" numFmtId="0">
      <sharedItems/>
    </cacheField>
    <cacheField name="PRIMER_CARGO_ELECCION" numFmtId="0">
      <sharedItems/>
    </cacheField>
    <cacheField name="SEGUNDO_CARGO_ELECION" numFmtId="0">
      <sharedItems containsBlank="1"/>
    </cacheField>
    <cacheField name="DISTRITO_ELEC" numFmtId="0">
      <sharedItems/>
    </cacheField>
    <cacheField name="INFORMACION_COMPLEMENTARIA" numFmtId="0">
      <sharedItems containsBlank="1"/>
    </cacheField>
    <cacheField name="URL_FOTO" numFmtId="0">
      <sharedItems/>
    </cacheField>
    <cacheField name="TXRUTAVIRTUAL" numFmtId="0">
      <sharedItems/>
    </cacheField>
    <cacheField name="TXNOMBREDOCUMENTO" numFmtId="0">
      <sharedItems/>
    </cacheField>
    <cacheField name="EDAD" numFmtId="0">
      <sharedItems containsSemiMixedTypes="0" containsString="0" containsNumber="1" containsInteger="1" minValue="39" maxValue="79"/>
    </cacheField>
    <cacheField name="RANGO_EDAD" numFmtId="0">
      <sharedItems/>
    </cacheField>
    <cacheField name="PAÍS_LIMPIO" numFmtId="0">
      <sharedItems/>
    </cacheField>
    <cacheField name="SEXO_LIMPIO" numFmtId="0">
      <sharedItems containsBlank="1" count="4">
        <s v="MASCULINO"/>
        <s v="FEMENINO"/>
        <s v="" u="1"/>
        <m u="1"/>
      </sharedItems>
    </cacheField>
    <cacheField name="DEP_NAC_LIMPIO" numFmtId="0">
      <sharedItems/>
    </cacheField>
    <cacheField name="DISTRITO_ELEC_LIMPI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07755878"/>
    <s v="DELGADO ZEGARRA, JAIME RICARDO"/>
    <s v="07755878"/>
    <s v="DELGADO"/>
    <s v="ZEGARRA"/>
    <s v="JAIME RICARDO"/>
    <s v="MASCULINO"/>
    <s v="17/11/1956"/>
    <s v="PERÚ"/>
    <s v="AREQUIPA"/>
    <s v="AREQUIPA"/>
    <s v="AREQUIPA"/>
    <s v="SENADOR"/>
    <m/>
    <s v="ÚNICO NACIONAL"/>
    <m/>
    <s v="https://mpesije.jne.gob.pe/apidocs/9aee4b33-103e-4327-9038-3618515d950d.jpg"/>
    <s v="https://mpesije.jne.gob.pe/apidocs/bec6fc78-6285-4522-a02e-2730994b7ca8.pdf"/>
    <s v="AHORA NACION - AN - 07755878.pdf"/>
    <n v="69"/>
    <s v="60+"/>
    <s v="PERÚ"/>
    <s v="MASCULINO"/>
    <s v="AREQUIPA"/>
    <s v="ÚNICO NACIONAL"/>
  </r>
  <r>
    <x v="0"/>
    <s v="25331980"/>
    <s v="LOPEZ CHAU NAVA, PABLO ALFONSO"/>
    <s v="25331980"/>
    <s v="LOPEZ CHAU"/>
    <s v="NAVA"/>
    <s v="PABLO ALFONSO"/>
    <s v="MASCULINO"/>
    <s v="17/07/1950"/>
    <s v="PERÚ"/>
    <s v="LIMA"/>
    <s v="LIMA"/>
    <s v="LIMA"/>
    <s v="PRESIDENTE DE LA REPÚBLICA"/>
    <s v="SENADOR"/>
    <s v="ÚNICO NACIONAL"/>
    <m/>
    <s v="https://mpesije.jne.gob.pe/apidocs/ddfa74eb-cae3-401c-a34c-35543ae83c57.jpg"/>
    <s v="https://mpesije.jne.gob.pe/apidocs/4ba2cdce-703e-421b-8b75-746b4dd21439.pdf"/>
    <s v="AHORA NACION - AN - 25331980.pdf"/>
    <n v="75"/>
    <s v="60+"/>
    <s v="PERÚ"/>
    <s v="MASCULINO"/>
    <s v="LIMA"/>
    <s v="ÚNICO NACIONAL"/>
  </r>
  <r>
    <x v="0"/>
    <s v="40204874"/>
    <s v="LUQUE IBARRA, RUTH"/>
    <s v="40204874"/>
    <s v="LUQUE"/>
    <s v="IBARRA"/>
    <s v="RUTH"/>
    <s v="FEMENINO"/>
    <s v="19/06/1979"/>
    <s v="PERÚ"/>
    <s v="CUSCO"/>
    <s v="CUSCO"/>
    <s v="SANTIAGO"/>
    <s v="SENADOR"/>
    <m/>
    <s v="ÚNICO NACIONAL"/>
    <m/>
    <s v="https://mpesije.jne.gob.pe/apidocs/428c14a1-1be6-477e-b02a-f0dec2dc8e65.jpg"/>
    <s v="https://mpesije.jne.gob.pe/apidocs/ed569772-6440-41f6-a1ad-b62d373d92ef.pdf"/>
    <s v="AHORA NACION - AN - 40204874.pdf"/>
    <n v="46"/>
    <s v="40-49"/>
    <s v="PERÚ"/>
    <s v="FEMENINO"/>
    <s v="CUSCO"/>
    <s v="ÚNICO NACIONAL"/>
  </r>
  <r>
    <x v="0"/>
    <s v="26705695"/>
    <s v="VASQUEZ CHUQUILIN, MIRTHA ESTHER"/>
    <s v="26705695"/>
    <s v="VASQUEZ"/>
    <s v="CHUQUILIN"/>
    <s v="MIRTHA ESTHER"/>
    <s v="FEMENINO"/>
    <s v="31/03/1975"/>
    <s v="PERÚ"/>
    <s v="CAJAMARCA"/>
    <s v="CAJAMARCA"/>
    <s v="CAJAMARCA"/>
    <s v="SENADOR"/>
    <m/>
    <s v="ÚNICO NACIONAL"/>
    <m/>
    <s v="https://mpesije.jne.gob.pe/apidocs/83aa4be4-54a0-4f96-874a-96ec34678843.jpg"/>
    <s v="https://mpesije.jne.gob.pe/apidocs/26df0361-db17-47af-85bf-fc1e8ae1329b.pdf"/>
    <s v="AHORA NACION - AN - 26705695.pdf"/>
    <n v="51"/>
    <s v="50-59"/>
    <s v="PERÚ"/>
    <s v="FEMENINO"/>
    <s v="CAJAMARCA"/>
    <s v="ÚNICO NACIONAL"/>
  </r>
  <r>
    <x v="1"/>
    <s v="08236035"/>
    <s v="AGUINAGA RECUENCO, ALEJANDRO AURELIO"/>
    <s v="08236035"/>
    <s v="AGUINAGA"/>
    <s v="RECUENCO"/>
    <s v="ALEJANDRO AURELIO"/>
    <s v="MASCULINO"/>
    <s v="28/01/1950"/>
    <s v="PERÚ"/>
    <s v="LA LIBERTAD"/>
    <s v="TRUJILLO"/>
    <s v="TRUJILLO"/>
    <s v="SENADOR"/>
    <m/>
    <s v="LAMBAYEQUE"/>
    <m/>
    <s v="https://mpesije.jne.gob.pe/apidocs/ec0a8246-1b06-4e2b-8037-a71cfce09cf5.jpg"/>
    <s v="https://mpesije.jne.gob.pe/apidocs/6b4456ea-6731-4925-a6e7-056a36b87156.pdf"/>
    <s v="FUERZA POPULAR - 08236035.pdf"/>
    <n v="76"/>
    <s v="60+"/>
    <s v="PERÚ"/>
    <s v="MASCULINO"/>
    <s v="LA LIBERTAD"/>
    <s v="LAMBAYEQUE"/>
  </r>
  <r>
    <x v="1"/>
    <s v="06717199"/>
    <s v="ARISTA ARBILDO, JOSE BERLEY"/>
    <s v="06717199"/>
    <s v="ARISTA"/>
    <s v="ARBILDO"/>
    <s v="JOSE BERLEY"/>
    <s v="MASCULINO"/>
    <s v="18/08/1959"/>
    <s v="PERÚ"/>
    <s v="AMAZONAS"/>
    <s v="RODRIGUEZ DE MENDOZA"/>
    <s v="HUAMBO"/>
    <s v="SENADOR"/>
    <m/>
    <s v="AMAZONAS"/>
    <m/>
    <s v="https://mpesije.jne.gob.pe/apidocs/d70fc358-ff34-4dfb-99fc-2cdcbb77ff83.jpg"/>
    <s v="https://mpesije.jne.gob.pe/apidocs/4239a3ba-9445-4c88-a74d-d0d798857d45.pdf"/>
    <s v="FUERZA POPULAR - 06717199.pdf"/>
    <n v="66"/>
    <s v="60+"/>
    <s v="PERÚ"/>
    <s v="MASCULINO"/>
    <s v="AMAZONAS"/>
    <s v="AMAZONAS"/>
  </r>
  <r>
    <x v="1"/>
    <s v="10307948"/>
    <s v="ASTUDILLO SALCEDO, CESAR AUGUSTO"/>
    <s v="10307948"/>
    <s v="ASTUDILLO"/>
    <s v="SALCEDO"/>
    <s v="CESAR AUGUSTO"/>
    <s v="MASCULINO"/>
    <s v="30/09/1960"/>
    <s v="PERÚ"/>
    <s v="LIMA"/>
    <s v="LIMA"/>
    <s v="MIRAFLORES"/>
    <s v="SENADOR"/>
    <m/>
    <s v="ÚNICO NACIONAL"/>
    <m/>
    <s v="https://mpesije.jne.gob.pe/apidocs/e4aee02d-e85d-44f7-aaca-9eb286ee132f.jpg"/>
    <s v="https://mpesije.jne.gob.pe/apidocs/c3804a57-68ff-450f-b6d6-edd5fa532e44.pdf"/>
    <s v="FUERZA POPULAR - 10307948.pdf"/>
    <n v="65"/>
    <s v="60+"/>
    <s v="PERÚ"/>
    <s v="MASCULINO"/>
    <s v="LIMA"/>
    <s v="ÚNICO NACIONAL"/>
  </r>
  <r>
    <x v="1"/>
    <s v="32971154"/>
    <s v="CHACON TRUJILLO, NILZA MERLY"/>
    <s v="32971154"/>
    <s v="CHACON"/>
    <s v="TRUJILLO"/>
    <s v="NILZA MERLY"/>
    <s v="FEMENINO"/>
    <s v="15/12/1975"/>
    <s v="PERÚ"/>
    <s v="ANCASH"/>
    <s v="SANTA"/>
    <s v="CHIMBOTE"/>
    <s v="SENADOR"/>
    <m/>
    <s v="ANCASH"/>
    <m/>
    <s v="https://mpesije.jne.gob.pe/apidocs/133f5d7c-5498-4a5e-81e2-a7c2f3f53d0c.jpg"/>
    <s v="https://mpesije.jne.gob.pe/apidocs/647e50c4-80ae-491f-9f49-ead290ebba04.pdf"/>
    <s v="FUERZA POPULAR - 32971154.pdf"/>
    <n v="50"/>
    <s v="50-59"/>
    <s v="PERÚ"/>
    <s v="FEMENINO"/>
    <s v="ANCASH"/>
    <s v="ANCASH"/>
  </r>
  <r>
    <x v="1"/>
    <s v="07960843"/>
    <s v="CHAVEZ COSSIO, MARTHA GLADYS"/>
    <s v="07960843"/>
    <s v="CHAVEZ"/>
    <s v="COSSIO"/>
    <s v="MARTHA GLADYS"/>
    <s v="FEMENINO"/>
    <s v="12/01/1953"/>
    <s v="PERÚ"/>
    <s v="CALLAO"/>
    <s v="CALLAO"/>
    <s v="BELLAVISTA"/>
    <s v="SENADOR"/>
    <m/>
    <s v="ÚNICO NACIONAL"/>
    <s v="Callao no es departamento. Debería figurar como &quot;provincia constitucional del Callao&quot;."/>
    <s v="https://mpesije.jne.gob.pe/apidocs/b3b29de8-c5bd-4b73-b34b-29c48267363a.jpg"/>
    <s v="https://mpesije.jne.gob.pe/apidocs/cd58063a-eafa-4e92-b04e-267a33eda88b.pdf"/>
    <s v="FUERZA POPULAR - 07960843.pdf"/>
    <n v="73"/>
    <s v="60+"/>
    <s v="PERÚ"/>
    <s v="FEMENINO"/>
    <s v="CALLAO"/>
    <s v="ÚNICO NACIONAL"/>
  </r>
  <r>
    <x v="1"/>
    <s v="05227631"/>
    <s v="DEL AGUILA CARDENAS, JUAN CARLOS"/>
    <s v="05227631"/>
    <s v="DEL AGUILA"/>
    <s v="CARDENAS"/>
    <s v="JUAN CARLOS"/>
    <s v="MASCULINO"/>
    <s v="09/01/1962"/>
    <s v="PERÚ"/>
    <s v="LORETO"/>
    <s v="MAYNAS"/>
    <s v="IQUITOS"/>
    <s v="SENADOR"/>
    <m/>
    <s v="LORETO"/>
    <m/>
    <s v="https://mpesije.jne.gob.pe/apidocs/39addd4e-6c93-405b-9e93-56a0892eae72.jpg"/>
    <s v="https://mpesije.jne.gob.pe/apidocs/f2c9c961-f74a-45e8-8790-d864e7893093.pdf"/>
    <s v="FUERZA POPULAR - 05227631.pdf"/>
    <n v="64"/>
    <s v="60+"/>
    <s v="PERÚ"/>
    <s v="MASCULINO"/>
    <s v="LORETO"/>
    <s v="LORETO"/>
  </r>
  <r>
    <x v="1"/>
    <s v="17896798"/>
    <s v="FLORES RUIZ, VICTOR SEFERINO"/>
    <s v="17896798"/>
    <s v="FLORES"/>
    <s v="RUIZ"/>
    <s v="VICTOR SEFERINO"/>
    <s v="MASCULINO"/>
    <s v="24/08/1957"/>
    <s v="PERÚ"/>
    <s v="LA LIBERTAD"/>
    <s v="SANCHEZ CARRION"/>
    <s v="HUAMACHUCO"/>
    <s v="SENADOR"/>
    <m/>
    <s v="LA LIBERTAD"/>
    <m/>
    <s v="https://mpesije.jne.gob.pe/apidocs/8022ae32-73db-492b-9442-9ab351cf4ac6.jpg"/>
    <s v="https://mpesije.jne.gob.pe/apidocs/c913c7f0-9803-46c8-8b69-d37a3f7b5206.pdf"/>
    <s v="FUERZA POPULAR - 17896798.pdf"/>
    <n v="68"/>
    <s v="60+"/>
    <s v="PERÚ"/>
    <s v="MASCULINO"/>
    <s v="LA LIBERTAD"/>
    <s v="LA LIBERTAD"/>
  </r>
  <r>
    <x v="1"/>
    <s v="19994639"/>
    <s v="JIMENEZ HEREDIA, DAVID JULIO"/>
    <s v="19994639"/>
    <s v="JIMENEZ"/>
    <s v="HEREDIA"/>
    <s v="DAVID JULIO"/>
    <s v="MASCULINO"/>
    <s v="01/09/1955"/>
    <s v="PERÚ"/>
    <s v="JUNIN"/>
    <s v="HUANCAYO"/>
    <s v="HUANCAYO"/>
    <s v="SENADOR"/>
    <m/>
    <s v="JUNIN"/>
    <m/>
    <s v="https://mpesije.jne.gob.pe/apidocs/2856fdf9-9f1e-4e3e-857e-0b998e066e36.jpg"/>
    <s v="https://mpesije.jne.gob.pe/apidocs/e234be5e-855f-4d56-9ed4-0849690ccbf5.pdf"/>
    <s v="FUERZA POPULAR - 19994639.pdf"/>
    <n v="70"/>
    <s v="60+"/>
    <s v="PERÚ"/>
    <s v="MASCULINO"/>
    <s v="JUNIN"/>
    <s v="JUNIN"/>
  </r>
  <r>
    <x v="1"/>
    <s v="07831436"/>
    <s v="JUAREZ GALLEGOS, CARMEN PATRICIA"/>
    <s v="07831436"/>
    <s v="JUAREZ"/>
    <s v="GALLEGOS"/>
    <s v="CARMEN PATRICIA"/>
    <s v="FEMENINO"/>
    <s v="16/07/1960"/>
    <s v="PERÚ"/>
    <s v="ICA"/>
    <s v="NASCA"/>
    <s v="MARCONA"/>
    <s v="SENADOR"/>
    <m/>
    <s v="ÚNICO NACIONAL"/>
    <m/>
    <s v="https://mpesije.jne.gob.pe/apidocs/1dc6fbdd-d970-4fa3-9195-cf0492bc11d2.jpg"/>
    <s v="https://mpesije.jne.gob.pe/apidocs/f7c8bd65-b17e-4266-845d-b045a55d492a.pdf"/>
    <s v="FUERZA POPULAR - 07831436.pdf"/>
    <n v="65"/>
    <s v="60+"/>
    <s v="PERÚ"/>
    <s v="FEMENINO"/>
    <s v="ICA"/>
    <s v="ÚNICO NACIONAL"/>
  </r>
  <r>
    <x v="1"/>
    <s v="09884301"/>
    <s v="MELGAR VALDEZ, ELARD GALO"/>
    <s v="09884301"/>
    <s v="MELGAR"/>
    <s v="VALDEZ"/>
    <s v="ELARD GALO"/>
    <s v="MASCULINO"/>
    <s v="15/10/1956"/>
    <s v="PERÚ"/>
    <s v="AREQUIPA"/>
    <s v="CASTILLA"/>
    <s v="APLAO"/>
    <s v="SENADOR"/>
    <m/>
    <s v="LIMA PROVINCIAS"/>
    <m/>
    <s v="https://mpesije.jne.gob.pe/apidocs/2d527059-8586-4a8d-9224-a08d4d3dc223.jpg"/>
    <s v="https://mpesije.jne.gob.pe/apidocs/a0e3bdcd-8a71-4f70-a1d5-aebd9d0c263a.pdf"/>
    <s v="FUERZA POPULAR - 09884301.pdf"/>
    <n v="69"/>
    <s v="60+"/>
    <s v="PERÚ"/>
    <s v="MASCULINO"/>
    <s v="AREQUIPA"/>
    <s v="LIMA PROVINCIAS"/>
  </r>
  <r>
    <x v="1"/>
    <s v="08266314"/>
    <s v="MESIA RAMIREZ, CARLOS FERNANDO"/>
    <s v="08266314"/>
    <s v="MESIA"/>
    <s v="RAMIREZ"/>
    <s v="CARLOS FERNANDO"/>
    <s v="MASCULINO"/>
    <s v="08/12/1959"/>
    <s v="PERÚ"/>
    <s v="LORETO"/>
    <s v="MAYNAS"/>
    <s v="IQUITOS"/>
    <s v="SENADOR"/>
    <m/>
    <s v="ÚNICO NACIONAL"/>
    <m/>
    <s v="https://mpesije.jne.gob.pe/apidocs/8b5d10f4-a0ec-4744-b29f-59271274b78c.jpg"/>
    <s v="https://mpesije.jne.gob.pe/apidocs/986de612-7510-4a49-bbd3-8d3ff2e98d15.pdf"/>
    <s v="FUERZA POPULAR - 08266314.pdf"/>
    <n v="66"/>
    <s v="60+"/>
    <s v="PERÚ"/>
    <s v="MASCULINO"/>
    <s v="LORETO"/>
    <s v="ÚNICO NACIONAL"/>
  </r>
  <r>
    <x v="1"/>
    <s v="22974228"/>
    <s v="MIYASHIRO ARASHIRO, MARCO ENRIQUE"/>
    <s v="22974228"/>
    <s v="MIYASHIRO"/>
    <s v="ARASHIRO"/>
    <s v="MARCO ENRIQUE"/>
    <s v="MASCULINO"/>
    <s v="25/04/1953"/>
    <s v="PERÚ"/>
    <s v="LIMA"/>
    <s v="LIMA"/>
    <s v="LIMA"/>
    <s v="SENADOR"/>
    <m/>
    <s v="LIMA METROPOLITANA"/>
    <m/>
    <s v="https://mpesije.jne.gob.pe/apidocs/8388c289-7fce-48e9-91f9-732565b127c7.jpg"/>
    <s v="https://mpesije.jne.gob.pe/apidocs/a49ce4d3-07d3-4728-a386-78e3a7696cd2.pdf"/>
    <s v="FUERZA POPULAR - 22974228.pdf"/>
    <n v="73"/>
    <s v="60+"/>
    <s v="PERÚ"/>
    <s v="MASCULINO"/>
    <s v="LIMA"/>
    <s v="LIMA METROPOLITANA"/>
  </r>
  <r>
    <x v="1"/>
    <s v="08911520"/>
    <s v="MOYANO DELGADO, MARTHA LUPE"/>
    <s v="08911520"/>
    <s v="MOYANO"/>
    <s v="DELGADO"/>
    <s v="MARTHA LUPE"/>
    <s v="FEMENINO"/>
    <s v="14/10/1964"/>
    <s v="PERÚ"/>
    <s v="CALLAO"/>
    <s v="CALLAO"/>
    <s v="BELLAVISTA"/>
    <s v="SENADOR"/>
    <m/>
    <s v="ÚNICO NACIONAL"/>
    <m/>
    <s v="https://mpesije.jne.gob.pe/apidocs/e1193269-c9d9-48c8-9ff2-4fa1317c49cf.jpg"/>
    <s v="https://mpesije.jne.gob.pe/apidocs/68a5f54c-a9f2-41e8-915f-4b14a17dc3a3.pdf"/>
    <s v="FUERZA POPULAR - 08911520.pdf"/>
    <n v="61"/>
    <s v="60+"/>
    <s v="PERÚ"/>
    <s v="FEMENINO"/>
    <s v="CALLAO"/>
    <s v="ÚNICO NACIONAL"/>
  </r>
  <r>
    <x v="1"/>
    <s v="17806760"/>
    <s v="NORIEGA REATEGUI, VICTOR MANUEL"/>
    <s v="17806760"/>
    <s v="NORIEGA"/>
    <s v="REATEGUI"/>
    <s v="VICTOR MANUEL"/>
    <s v="MASCULINO"/>
    <s v="14/05/1962"/>
    <s v="PERÚ"/>
    <s v="SAN MARTIN"/>
    <s v="EL DORADO"/>
    <s v="SAN JOSE DE SISA"/>
    <s v="SENADOR"/>
    <m/>
    <s v="SAN MARTIN"/>
    <m/>
    <s v="https://mpesije.jne.gob.pe/apidocs/84f8ce01-b3ad-4d93-bbe2-79314b572334.jpg"/>
    <s v="https://mpesije.jne.gob.pe/apidocs/f4f1e141-61f6-4499-bf91-10e28fe56db1.pdf"/>
    <s v="FUERZA POPULAR - 17806760.pdf"/>
    <n v="64"/>
    <s v="60+"/>
    <s v="PERÚ"/>
    <s v="MASCULINO"/>
    <s v="SAN MARTIN"/>
    <s v="SAN MARTIN"/>
  </r>
  <r>
    <x v="1"/>
    <s v="08234063"/>
    <s v="RODRICH ACKERMAN, JACQUES SALOMON"/>
    <s v="08234063"/>
    <s v="RODRICH"/>
    <s v="ACKERMAN"/>
    <s v="JACQUES SALOMON"/>
    <s v="MASCULINO"/>
    <s v="14/08/1961"/>
    <s v="PERÚ"/>
    <s v="LIMA"/>
    <s v="LIMA"/>
    <s v="SAN ISIDRO"/>
    <s v="SENADOR"/>
    <m/>
    <s v="CALLAO"/>
    <s v="El candidato actualmente consigna en su Documento Nacional de Identidad como domicilio calle Alberto Secada N° 315 - Callao"/>
    <s v="https://mpesije.jne.gob.pe/apidocs/04696b3b-471f-462a-b3c2-84726b866a6f.jpg"/>
    <s v="https://mpesije.jne.gob.pe/apidocs/b368d19a-c667-4b25-9d4f-8e5048887a4f.pdf"/>
    <s v="FUERZA POPULAR - 08234063.pdf"/>
    <n v="64"/>
    <s v="60+"/>
    <s v="PERÚ"/>
    <s v="MASCULINO"/>
    <s v="LIMA"/>
    <s v="CALLAO"/>
  </r>
  <r>
    <x v="1"/>
    <s v="07704730"/>
    <s v="ROSPIGLIOSI CAPURRO, FERNANDO MIGUEL"/>
    <s v="07704730"/>
    <s v="ROSPIGLIOSI"/>
    <s v="CAPURRO"/>
    <s v="FERNANDO MIGUEL"/>
    <s v="MASCULINO"/>
    <s v="25/02/1947"/>
    <s v="PERÚ"/>
    <s v="LIMA"/>
    <s v="LIMA"/>
    <s v="MIRAFLORES"/>
    <s v="SENADOR"/>
    <m/>
    <s v="ÚNICO NACIONAL"/>
    <m/>
    <s v="https://mpesije.jne.gob.pe/apidocs/4e1024fa-a2ee-4b49-8563-7484061f3763.jpg"/>
    <s v="https://mpesije.jne.gob.pe/apidocs/e088f78d-87d9-4d2c-a3a9-d348a26419b4.pdf"/>
    <s v="FUERZA POPULAR - 07704730.pdf"/>
    <n v="79"/>
    <s v="60+"/>
    <s v="PERÚ"/>
    <s v="MASCULINO"/>
    <s v="LIMA"/>
    <s v="ÚNICO NACIONAL"/>
  </r>
  <r>
    <x v="1"/>
    <s v="10638205"/>
    <s v="SCHAEFER CUCULIZA, KARLA MELISSA"/>
    <s v="10638205"/>
    <s v="SCHAEFER"/>
    <s v="CUCULIZA"/>
    <s v="KARLA MELISSA"/>
    <s v="FEMENINO"/>
    <s v="14/03/1966"/>
    <s v="PERÚ"/>
    <s v="PIURA"/>
    <s v="PIURA"/>
    <s v="PIURA"/>
    <s v="SENADOR"/>
    <m/>
    <s v="PIURA"/>
    <m/>
    <s v="https://mpesije.jne.gob.pe/apidocs/8484cd8e-5f0a-48d3-ba54-be7120b1107f.jpg"/>
    <s v="https://mpesije.jne.gob.pe/apidocs/82e3af5f-ed4b-423d-bba6-e9de26662f1a.pdf"/>
    <s v="FUERZA POPULAR - 10638205.pdf"/>
    <n v="60"/>
    <s v="60+"/>
    <s v="PERÚ"/>
    <s v="FEMENINO"/>
    <s v="PIURA"/>
    <s v="PIURA"/>
  </r>
  <r>
    <x v="1"/>
    <s v="16657841"/>
    <s v="TAPIA BERNAL, SEGUNDO LEOCADIO"/>
    <s v="16657841"/>
    <s v="TAPIA"/>
    <s v="BERNAL"/>
    <s v="SEGUNDO LEOCADIO"/>
    <s v="MASCULINO"/>
    <s v="12/02/1968"/>
    <s v="PERÚ"/>
    <s v="CAJAMARCA"/>
    <s v="CHOTA"/>
    <s v="CHOTA"/>
    <s v="SENADOR"/>
    <m/>
    <s v="CAJAMARCA"/>
    <m/>
    <s v="https://mpesije.jne.gob.pe/apidocs/09f4526f-7117-476b-9499-38179dd8ef02.jpg"/>
    <s v="https://mpesije.jne.gob.pe/apidocs/3f910188-c6ed-44e3-93a5-a8fdeb7a3531.pdf"/>
    <s v="FUERZA POPULAR - 16657841.pdf"/>
    <n v="58"/>
    <s v="50-59"/>
    <s v="PERÚ"/>
    <s v="MASCULINO"/>
    <s v="CAJAMARCA"/>
    <s v="CAJAMARCA"/>
  </r>
  <r>
    <x v="1"/>
    <s v="21143880"/>
    <s v="VELASQUEZ PORTOCARRERO, JORGE"/>
    <s v="21143880"/>
    <s v="VELASQUEZ"/>
    <s v="PORTOCARRERO"/>
    <s v="JORGE"/>
    <s v="MASCULINO"/>
    <s v="14/01/1966"/>
    <s v="PERÚ"/>
    <s v="SAN MARTIN"/>
    <s v="RIOJA"/>
    <s v="RIOJA"/>
    <s v="SENADOR"/>
    <m/>
    <s v="UCAYALI"/>
    <m/>
    <s v="https://mpesije.jne.gob.pe/apidocs/043cb739-9e01-4351-88d8-c0a5979b4884.jpg"/>
    <s v="https://mpesije.jne.gob.pe/apidocs/764aa850-dece-4ab5-8956-4420b2717ec3.pdf"/>
    <s v="FUERZA POPULAR - 21143880.pdf"/>
    <n v="60"/>
    <s v="60+"/>
    <s v="PERÚ"/>
    <s v="MASCULINO"/>
    <s v="SAN MARTIN"/>
    <s v="UCAYALI"/>
  </r>
  <r>
    <x v="1"/>
    <s v="40242430"/>
    <s v="VENTURA ANGEL, HECTOR JOSE"/>
    <s v="40242430"/>
    <s v="VENTURA"/>
    <s v="ANGEL"/>
    <s v="HECTOR JOSE"/>
    <s v="MASCULINO"/>
    <s v="24/07/1979"/>
    <s v="PERÚ"/>
    <s v="PASCO"/>
    <s v="PASCO"/>
    <s v="HUARIACA"/>
    <s v="SENADOR"/>
    <m/>
    <s v="TUMBES"/>
    <m/>
    <s v="https://mpesije.jne.gob.pe/apidocs/bcf4cec7-d78a-4d75-a07c-d6ecf3f9322e.jpg"/>
    <s v="https://mpesije.jne.gob.pe/apidocs/b003710f-1e5d-4c02-bbca-7b10f0cca71a.pdf"/>
    <s v="FUERZA POPULAR - 40242430.pdf"/>
    <n v="46"/>
    <s v="40-49"/>
    <s v="PERÚ"/>
    <s v="MASCULINO"/>
    <s v="PASCO"/>
    <s v="TUMBES"/>
  </r>
  <r>
    <x v="1"/>
    <s v="21414172"/>
    <s v="YAMASHIRO ORE, RAFAEL GUSTAVO"/>
    <s v="21414172"/>
    <s v="YAMASHIRO"/>
    <s v="ORE"/>
    <s v="RAFAEL GUSTAVO"/>
    <s v="MASCULINO"/>
    <s v="25/06/1963"/>
    <s v="PERÚ"/>
    <s v="ICA"/>
    <s v="ICA"/>
    <s v="ICA"/>
    <s v="SENADOR"/>
    <m/>
    <s v="ICA"/>
    <m/>
    <s v="https://mpesije.jne.gob.pe/apidocs/54b17e85-5ae3-4825-85d3-be4a29802a84.jpg"/>
    <s v="https://mpesije.jne.gob.pe/apidocs/dd0973d2-282d-4388-8bf1-5f081177d22a.pdf"/>
    <s v="FUERZA POPULAR - 21414172.pdf"/>
    <n v="62"/>
    <s v="60+"/>
    <s v="PERÚ"/>
    <s v="MASCULINO"/>
    <s v="ICA"/>
    <s v="ICA"/>
  </r>
  <r>
    <x v="2"/>
    <s v="22482738"/>
    <s v="ANDRES LUJAN, SERAFIN"/>
    <s v="22482738"/>
    <s v="ANDRES"/>
    <s v="LUJAN"/>
    <s v="SERAFIN"/>
    <s v="MASCULINO"/>
    <s v="12/10/1966"/>
    <s v="PERÚ"/>
    <s v="HUANUCO"/>
    <s v="YAROWILCA"/>
    <s v="APARICIO POMARES"/>
    <s v="SENADOR"/>
    <m/>
    <s v="HUANUCO"/>
    <m/>
    <s v="https://mpesije.jne.gob.pe/apidocs/28f4e30f-f8c9-4a48-b698-94f4480bd3fe.jpg"/>
    <s v="https://mpesije.jne.gob.pe/apidocs/5110bbb9-f342-40ef-8b4b-e6beb36c0f94.pdf"/>
    <s v="JUNTOS POR EL PERU - 22482738.pdf"/>
    <n v="59"/>
    <s v="50-59"/>
    <s v="PERÚ"/>
    <s v="MASCULINO"/>
    <s v="HUANUCO"/>
    <s v="HUANUCO"/>
  </r>
  <r>
    <x v="2"/>
    <s v="21487528"/>
    <s v="ARMACANQUI MORALES, SAUL ANDRES"/>
    <s v="21487528"/>
    <s v="ARMACANQUI"/>
    <s v="MORALES"/>
    <s v="SAUL ANDRES"/>
    <s v="MASCULINO"/>
    <s v="30/11/1953"/>
    <s v="PERÚ"/>
    <s v="ICA"/>
    <s v="ICA"/>
    <s v="ICA"/>
    <s v="SENADOR"/>
    <m/>
    <s v="ÚNICO NACIONAL"/>
    <m/>
    <s v="https://mpesije.jne.gob.pe/apidocs/1baf3ce6-bf7f-4f48-90af-7df69ba21d70.jpg"/>
    <s v="https://mpesije.jne.gob.pe/apidocs/fba5c0e0-c3b9-4c85-b049-58a2a0771bf0.pdf"/>
    <s v="JUNTOS POR EL PERU - 21487528.pdf"/>
    <n v="72"/>
    <s v="60+"/>
    <s v="PERÚ"/>
    <s v="MASCULINO"/>
    <s v="ICA"/>
    <s v="ÚNICO NACIONAL"/>
  </r>
  <r>
    <x v="2"/>
    <s v="27409088"/>
    <s v="CASTILLO TERRONES, JOSE MERCEDES"/>
    <s v="27409088"/>
    <s v="CASTILLO"/>
    <s v="TERRONES"/>
    <s v="JOSE MERCEDES"/>
    <s v="MASCULINO"/>
    <s v="24/09/1964"/>
    <s v="PERÚ"/>
    <s v="CAJAMARCA"/>
    <s v="CHOTA"/>
    <s v="TACABAMBA"/>
    <s v="SENADOR"/>
    <m/>
    <s v="ÚNICO NACIONAL"/>
    <m/>
    <s v="https://mpesije.jne.gob.pe/apidocs/0e2b05c2-c95a-4599-bc78-56584d571b51.jpg"/>
    <s v="https://mpesije.jne.gob.pe/apidocs/61933e79-79be-45fb-9b0f-11be2bf70d02.pdf"/>
    <s v="JUNTOS POR EL PERU - 27409088.pdf"/>
    <n v="61"/>
    <s v="60+"/>
    <s v="PERÚ"/>
    <s v="MASCULINO"/>
    <s v="CAJAMARCA"/>
    <s v="ÚNICO NACIONAL"/>
  </r>
  <r>
    <x v="2"/>
    <s v="40669342"/>
    <s v="CCAHUANA AYMACHOQUE, HUGO ISAAC"/>
    <s v="40669342"/>
    <s v="CCAHUANA"/>
    <s v="AYMACHOQUE"/>
    <s v="HUGO ISAAC"/>
    <s v="MASCULINO"/>
    <s v="08/07/1978"/>
    <s v="PERÚ"/>
    <s v="CUSCO"/>
    <s v="CANCHIS"/>
    <s v="SAN PEDRO"/>
    <s v="SENADOR"/>
    <m/>
    <s v="MADRE DE DIOS"/>
    <m/>
    <s v="https://mpesije.jne.gob.pe/apidocs/ffc812a5-4689-4912-831a-cb0ab734f078.jpg"/>
    <s v="https://mpesije.jne.gob.pe/apidocs/bbc0ceed-8cb9-4859-b242-24ff0547c996.pdf"/>
    <s v="JUNTOS POR EL PERU - 40669342.pdf"/>
    <n v="47"/>
    <s v="40-49"/>
    <s v="PERÚ"/>
    <s v="MASCULINO"/>
    <s v="CUSCO"/>
    <s v="MADRE DE DIOS"/>
  </r>
  <r>
    <x v="2"/>
    <s v="04647085"/>
    <s v="CUTIPA CCAMA, VICTOR RAUL"/>
    <s v="04647085"/>
    <s v="CUTIPA"/>
    <s v="CCAMA"/>
    <s v="VICTOR RAUL"/>
    <s v="MASCULINO"/>
    <s v="14/09/1972"/>
    <s v="PERÚ"/>
    <s v="PUNO"/>
    <s v="PUNO"/>
    <s v="ACORA"/>
    <s v="SENADOR"/>
    <m/>
    <s v="MOQUEGUA"/>
    <m/>
    <s v="https://mpesije.jne.gob.pe/apidocs/8a462ad7-557a-40c5-80af-4f87c81544ea.jpg"/>
    <s v="https://mpesije.jne.gob.pe/apidocs/df837d7a-d815-4f7a-b9f2-39edb294f267.pdf"/>
    <s v="JUNTOS POR EL PERU - 04647085.pdf"/>
    <n v="53"/>
    <s v="50-59"/>
    <s v="PERÚ"/>
    <s v="MASCULINO"/>
    <s v="PUNO"/>
    <s v="MOQUEGUA"/>
  </r>
  <r>
    <x v="2"/>
    <s v="21453924"/>
    <s v="MARAVI OLARTE, IBER ANTENOR"/>
    <s v="21453924"/>
    <s v="MARAVI"/>
    <s v="OLARTE"/>
    <s v="IBER ANTENOR"/>
    <s v="MASCULINO"/>
    <s v="15/05/1961"/>
    <s v="PERÚ"/>
    <s v="AYACUCHO"/>
    <s v="HUAMANGA"/>
    <s v="AYACUCHO"/>
    <s v="SENADOR"/>
    <m/>
    <s v="ÚNICO NACIONAL"/>
    <m/>
    <s v="https://mpesije.jne.gob.pe/apidocs/9ff4f8d0-cff1-429b-b3b9-a2c9baf178cf.jpg"/>
    <s v="https://mpesije.jne.gob.pe/apidocs/4080756a-aa47-451c-9ae6-ea726f4dbf37.pdf"/>
    <s v="JUNTOS POR EL PERU - 21453924.pdf"/>
    <n v="65"/>
    <s v="60+"/>
    <s v="PERÚ"/>
    <s v="MASCULINO"/>
    <s v="AYACUCHO"/>
    <s v="ÚNICO NACIONAL"/>
  </r>
  <r>
    <x v="2"/>
    <s v="10252335"/>
    <s v="MORALES RAMIREZ, EDYSON HUMBERTO"/>
    <s v="10252335"/>
    <s v="MORALES"/>
    <s v="RAMIREZ"/>
    <s v="EDYSON HUMBERTO"/>
    <s v="MASCULINO"/>
    <s v="17/04/1976"/>
    <s v="PERÚ"/>
    <s v="HUANCAVELICA"/>
    <s v="ANGARAES"/>
    <s v="CHINCHO"/>
    <s v="SENADOR"/>
    <m/>
    <s v="AYACUCHO"/>
    <m/>
    <s v="https://mpesije.jne.gob.pe/apidocs/58170e97-f6a2-4003-a111-f1ce55f0715a.jpg"/>
    <s v="https://mpesije.jne.gob.pe/apidocs/0d293f37-70ce-4a2f-a49a-34411cdf8110.pdf"/>
    <s v="JUNTOS POR EL PERU - 10252335.pdf"/>
    <n v="50"/>
    <s v="50-59"/>
    <s v="PERÚ"/>
    <s v="MASCULINO"/>
    <s v="HUANCAVELICA"/>
    <s v="AYACUCHO"/>
  </r>
  <r>
    <x v="2"/>
    <s v="40938678"/>
    <s v="OSORIO PALPAN, PERCY HERBERT"/>
    <s v="40938678"/>
    <s v="OSORIO"/>
    <s v="PALPAN"/>
    <s v="PERCY HERBERT"/>
    <s v="MASCULINO"/>
    <s v="14/03/1979"/>
    <s v="PERÚ"/>
    <s v="PASCO"/>
    <s v="OXAPAMPA"/>
    <s v="OXAPAMPA"/>
    <s v="SENADOR"/>
    <m/>
    <s v="PASCO"/>
    <m/>
    <s v="https://mpesije.jne.gob.pe/apidocs/5feb176c-f41c-425c-b42c-70564c87a8ba.jpg"/>
    <s v="https://mpesije.jne.gob.pe/apidocs/1fcffca7-a8b1-4bd3-b9e8-46649f81d4c4.pdf"/>
    <s v="JUNTOS POR EL PERU - 40938678.pdf"/>
    <n v="47"/>
    <s v="40-49"/>
    <s v="PERÚ"/>
    <s v="MASCULINO"/>
    <s v="PASCO"/>
    <s v="PASCO"/>
  </r>
  <r>
    <x v="2"/>
    <s v="29632775"/>
    <s v="QUITO SARMIENTO, BERNARDO JAIME"/>
    <s v="29632775"/>
    <s v="QUITO"/>
    <s v="SARMIENTO"/>
    <s v="BERNARDO JAIME"/>
    <s v="MASCULINO"/>
    <s v="29/03/1975"/>
    <s v="PERÚ"/>
    <s v="AREQUIPA"/>
    <s v="AREQUIPA"/>
    <s v="AREQUIPA"/>
    <s v="SENADOR"/>
    <m/>
    <s v="ÚNICO NACIONAL"/>
    <m/>
    <s v="https://mpesije.jne.gob.pe/apidocs/dc4ba573-e19b-4a60-8485-52ebcd3d6d3a.jpg"/>
    <s v="https://mpesije.jne.gob.pe/apidocs/3bc32fe0-aeb8-41d2-b677-8c6230bca2e6.pdf"/>
    <s v="JUNTOS POR EL PERU - 29632775.pdf"/>
    <n v="51"/>
    <s v="50-59"/>
    <s v="PERÚ"/>
    <s v="MASCULINO"/>
    <s v="AREQUIPA"/>
    <s v="ÚNICO NACIONAL"/>
  </r>
  <r>
    <x v="2"/>
    <s v="42750152"/>
    <s v="ROBLES ARAUJO, SILVANA EMPERATRIZ"/>
    <s v="42750152"/>
    <s v="ROBLES"/>
    <s v="ARAUJO"/>
    <s v="SILVANA EMPERATRIZ"/>
    <s v="FEMENINO"/>
    <s v="06/11/1984"/>
    <s v="PERÚ"/>
    <s v="JUNIN"/>
    <s v="CHANCHAMAYO"/>
    <s v="CHANCHAMAYO"/>
    <s v="SENADOR"/>
    <m/>
    <s v="ÚNICO NACIONAL"/>
    <m/>
    <s v="https://mpesije.jne.gob.pe/apidocs/3339fe0c-6911-4144-85df-b4617bfb7ebe.jpg"/>
    <s v="https://mpesije.jne.gob.pe/apidocs/24e247a9-87ab-45a2-95f0-f39dca282f88.pdf"/>
    <s v="JUNTOS POR EL PERU - 42750152.pdf"/>
    <n v="41"/>
    <s v="40-49"/>
    <s v="PERÚ"/>
    <s v="FEMENINO"/>
    <s v="JUNIN"/>
    <s v="ÚNICO NACIONAL"/>
  </r>
  <r>
    <x v="2"/>
    <s v="23906812"/>
    <s v="VERANO SARAVIA, WILFREDO"/>
    <s v="23906812"/>
    <s v="VERANO"/>
    <s v="SARAVIA"/>
    <s v="WILFREDO"/>
    <s v="MASCULINO"/>
    <s v="27/02/1963"/>
    <s v="PERÚ"/>
    <s v="CUSCO"/>
    <s v="CUSCO"/>
    <s v="CUSCO"/>
    <s v="SENADOR"/>
    <m/>
    <s v="CUSCO"/>
    <m/>
    <s v="https://mpesije.jne.gob.pe/apidocs/f9434b58-54bc-4456-9354-653e00d90003.jpg"/>
    <s v="https://mpesije.jne.gob.pe/apidocs/26d97157-c8a8-4023-847a-5609b5409b00.pdf"/>
    <s v="JUNTOS POR EL PERU - 23906812.pdf"/>
    <n v="63"/>
    <s v="60+"/>
    <s v="PERÚ"/>
    <s v="MASCULINO"/>
    <s v="CUSCO"/>
    <s v="CUSCO"/>
  </r>
  <r>
    <x v="3"/>
    <s v="07651031"/>
    <s v="ASTUCURI LAURA, ROGER MIGUEL"/>
    <s v="07651031"/>
    <s v="ASTUCURI"/>
    <s v="LAURA"/>
    <s v="ROGER MIGUEL"/>
    <s v="MASCULINO"/>
    <s v="03/09/1960"/>
    <s v="PERÚ"/>
    <s v="LIMA"/>
    <s v="LIMA"/>
    <s v="LURIGANCHO"/>
    <s v="SENADOR"/>
    <m/>
    <s v="ÚNICO NACIONAL"/>
    <m/>
    <s v="https://mpesije.jne.gob.pe/apidocs/ca28ff0a-b929-4dae-87b6-d49dc63f75ac.jpg"/>
    <s v="https://mpesije.jne.gob.pe/apidocs/1ae39a6e-ce49-4e8d-9354-e609b53c2d20.pdf"/>
    <s v="PARTIDO CIVICO OBRAS - 07651031.pdf"/>
    <n v="65"/>
    <s v="60+"/>
    <s v="PERÚ"/>
    <s v="MASCULINO"/>
    <s v="LIMA"/>
    <s v="ÚNICO NACIONAL"/>
  </r>
  <r>
    <x v="3"/>
    <s v="10063223"/>
    <s v="BARRAGAN COLOMA, DANIEL HUGO"/>
    <s v="10063223"/>
    <s v="BARRAGAN"/>
    <s v="COLOMA"/>
    <s v="DANIEL HUGO"/>
    <s v="MASCULINO"/>
    <s v="21/08/1961"/>
    <s v="PERÚ"/>
    <s v="LIMA"/>
    <s v="LIMA"/>
    <s v="LIMA"/>
    <s v="PRIMER VICEPRESIDENTE DE LA REPÚBLICA"/>
    <s v="SENADOR"/>
    <s v="ÚNICO NACIONAL"/>
    <m/>
    <s v="https://mpesije.jne.gob.pe/apidocs/15595890-de24-4f14-b4f6-bd9b5e10372a.jpg"/>
    <s v="https://mpesije.jne.gob.pe/apidocs/6a216000-4a97-4d48-94f0-5ac8d5186e12.pdf"/>
    <s v="PARTIDO CIVICO OBRAS - 10063223.pdf"/>
    <n v="64"/>
    <s v="60+"/>
    <s v="PERÚ"/>
    <s v="MASCULINO"/>
    <s v="LIMA"/>
    <s v="ÚNICO NACIONAL"/>
  </r>
  <r>
    <x v="3"/>
    <s v="07250032"/>
    <s v="FLORES CORDOVA, AGRIPINA MARIA DEL PILAR"/>
    <s v="07250032"/>
    <s v="FLORES"/>
    <s v="CORDOVA"/>
    <s v="AGRIPINA MARIA DEL PILAR"/>
    <s v="FEMENINO"/>
    <s v="23/06/1950"/>
    <s v="PERÚ"/>
    <s v="LIMA"/>
    <s v="LIMA"/>
    <s v="MAGDALENA DEL MAR"/>
    <s v="SENADOR"/>
    <m/>
    <s v="ÚNICO NACIONAL"/>
    <m/>
    <s v="https://mpesije.jne.gob.pe/apidocs/1c31e830-418b-4987-adc6-47f3007dd2bb.jpg"/>
    <s v="https://mpesije.jne.gob.pe/apidocs/e75ecce3-6eb6-4315-b4a5-a3755c2dce0c.pdf"/>
    <s v="PARTIDO CIVICO OBRAS - 07250032.pdf"/>
    <n v="75"/>
    <s v="60+"/>
    <s v="PERÚ"/>
    <s v="FEMENINO"/>
    <s v="LIMA"/>
    <s v="ÚNICO NACIONAL"/>
  </r>
  <r>
    <x v="3"/>
    <s v="07412350"/>
    <s v="GAGO RODRIGUEZ, WALTER FRANCISCO"/>
    <s v="07412350"/>
    <s v="GAGO"/>
    <s v="RODRIGUEZ"/>
    <s v="WALTER FRANCISCO"/>
    <s v="MASCULINO"/>
    <s v="13/07/1961"/>
    <s v="PERÚ"/>
    <s v="LIMA"/>
    <s v="CAÑETE"/>
    <s v="SAN VICENTE DE CAÑETE"/>
    <s v="SENADOR"/>
    <m/>
    <s v="ÚNICO NACIONAL"/>
    <m/>
    <s v="https://mpesije.jne.gob.pe/apidocs/7d624b9c-c411-46c2-9368-5f1280b8646b.jpg"/>
    <s v="https://mpesije.jne.gob.pe/apidocs/75515f26-f0c4-4a79-9c09-d93ed7aae1bd.pdf"/>
    <s v="PARTIDO CIVICO OBRAS - 07412350.pdf"/>
    <n v="64"/>
    <s v="60+"/>
    <s v="PERÚ"/>
    <s v="MASCULINO"/>
    <s v="LIMA"/>
    <s v="ÚNICO NACIONAL"/>
  </r>
  <r>
    <x v="3"/>
    <s v="00422672"/>
    <s v="TICONA COHAILA, JUANA GUISELLA"/>
    <s v="00422672"/>
    <s v="TICONA"/>
    <s v="COHAILA"/>
    <s v="JUANA GUISELLA"/>
    <s v="FEMENINO"/>
    <s v="30/05/1963"/>
    <s v="PERÚ"/>
    <s v="TACNA"/>
    <s v="TACNA"/>
    <s v="TACNA"/>
    <s v="SENADOR"/>
    <m/>
    <s v="TACNA"/>
    <m/>
    <s v="https://mpesije.jne.gob.pe/apidocs/35cb22aa-fee5-4341-b50c-2eaac0ddbb13.jpg"/>
    <s v="https://mpesije.jne.gob.pe/apidocs/a3916658-d255-4bd2-b224-1059d32c8bbf.pdf"/>
    <s v="PARTIDO CIVICO OBRAS - 00422672.pdf"/>
    <n v="63"/>
    <s v="60+"/>
    <s v="PERÚ"/>
    <s v="FEMENINO"/>
    <s v="TACNA"/>
    <s v="TACNA"/>
  </r>
  <r>
    <x v="4"/>
    <s v="06519219"/>
    <s v="BONIFAZ CARMONA, NORA"/>
    <s v="06519219"/>
    <s v="BONIFAZ"/>
    <s v="CARMONA"/>
    <s v="NORA"/>
    <s v="FEMENINO"/>
    <s v="08/06/1954"/>
    <s v="PERÚ"/>
    <s v="LIMA"/>
    <s v="LIMA"/>
    <s v="LIMA"/>
    <s v="SENADOR"/>
    <m/>
    <s v="LIMA METROPOLITANA"/>
    <m/>
    <s v="https://mpesije.jne.gob.pe/apidocs/f8a01e27-807f-4d43-a555-48f03cfe5baf.jpg"/>
    <s v="https://mpesije.jne.gob.pe/apidocs/d092ca57-99b7-480c-bab3-4b7d3b8114ba.pdf"/>
    <s v="PARTIDO DEL BUEN GOBIERNO - 06519219.pdf"/>
    <n v="72"/>
    <s v="60+"/>
    <s v="PERÚ"/>
    <s v="FEMENINO"/>
    <s v="LIMA"/>
    <s v="LIMA METROPOLITANA"/>
  </r>
  <r>
    <x v="4"/>
    <s v="43360309"/>
    <s v="CABALLERO LEON, CARLOS DAVID"/>
    <s v="43360309"/>
    <s v="CABALLERO"/>
    <s v="LEON"/>
    <s v="CARLOS DAVID"/>
    <s v="MASCULINO"/>
    <s v="03/05/1963"/>
    <s v="PERÚ"/>
    <s v="LIMA"/>
    <s v="LIMA"/>
    <s v="LIMA"/>
    <s v="SEGUNDO VICEPRESIDENTE DE LA REPÚBLICA"/>
    <s v="SENADOR"/>
    <s v="ÚNICO NACIONAL"/>
    <m/>
    <s v="https://mpesije.jne.gob.pe/apidocs/22e7b027-0df4-461c-8fd9-1bc297a95caf.jpg"/>
    <s v="https://mpesije.jne.gob.pe/apidocs/b7946182-ad32-409c-bb75-9ea7498fa803.pdf"/>
    <s v="PARTIDO DEL BUEN GOBIERNO - 43360309.pdf"/>
    <n v="63"/>
    <s v="60+"/>
    <s v="PERÚ"/>
    <s v="MASCULINO"/>
    <s v="LIMA"/>
    <s v="ÚNICO NACIONAL"/>
  </r>
  <r>
    <x v="4"/>
    <s v="07793210"/>
    <s v="FIGALLO RIVADENEYRA, FLAVIO FELIPE"/>
    <s v="07793210"/>
    <s v="FIGALLO"/>
    <s v="RIVADENEYRA"/>
    <s v="FLAVIO FELIPE"/>
    <s v="MASCULINO"/>
    <s v="24/12/1953"/>
    <s v="PERÚ"/>
    <s v="LIMA"/>
    <s v="LIMA"/>
    <s v="MIRAFLORES"/>
    <s v="SENADOR"/>
    <m/>
    <s v="ÚNICO NACIONAL"/>
    <m/>
    <s v="https://mpesije.jne.gob.pe/apidocs/3e078903-65e7-4fe8-9c87-89be503223a7.jpg"/>
    <s v="https://mpesije.jne.gob.pe/apidocs/bfbc620a-52a4-4ac5-8182-621d447b7fba.pdf"/>
    <s v="PARTIDO DEL BUEN GOBIERNO - 07793210.pdf"/>
    <n v="72"/>
    <s v="60+"/>
    <s v="PERÚ"/>
    <s v="MASCULINO"/>
    <s v="LIMA"/>
    <s v="ÚNICO NACIONAL"/>
  </r>
  <r>
    <x v="4"/>
    <s v="30762511"/>
    <s v="FLORES SUAREZ, JUVER NILSON"/>
    <s v="30762511"/>
    <s v="FLORES"/>
    <s v="SUAREZ"/>
    <s v="JUVER NILSON"/>
    <s v="MASCULINO"/>
    <s v="05/04/1973"/>
    <s v="PERÚ"/>
    <s v="AREQUIPA"/>
    <s v="CAMANA"/>
    <s v="CAMANA"/>
    <s v="SENADOR"/>
    <m/>
    <s v="AREQUIPA"/>
    <m/>
    <s v="https://mpesije.jne.gob.pe/apidocs/9d17d4fc-7d1c-4e45-96ab-4361c6fe286a.jpg"/>
    <s v="https://mpesije.jne.gob.pe/apidocs/4c33feea-65d4-4394-9edb-000badafb43b.pdf"/>
    <s v="PARTIDO DEL BUEN GOBIERNO - 30762511.pdf"/>
    <n v="53"/>
    <s v="50-59"/>
    <s v="PERÚ"/>
    <s v="MASCULINO"/>
    <s v="AREQUIPA"/>
    <s v="AREQUIPA"/>
  </r>
  <r>
    <x v="4"/>
    <s v="07619185"/>
    <s v="GAVIDIA RODRIGUEZ, JORGE OCTAVIO"/>
    <s v="07619185"/>
    <s v="GAVIDIA"/>
    <s v="RODRIGUEZ"/>
    <s v="JORGE OCTAVIO"/>
    <s v="MASCULINO"/>
    <s v="16/06/1968"/>
    <s v="PERÚ"/>
    <s v="LIMA"/>
    <s v="LIMA"/>
    <s v="MIRAFLORES"/>
    <s v="SENADOR"/>
    <m/>
    <s v="ÚNICO NACIONAL"/>
    <s v="Mayormente resido en: Bartolomé de las Casas 296, Santa Patricia, La Molina, Lima (Alquilado)"/>
    <s v="https://mpesije.jne.gob.pe/apidocs/7348e9ca-1d86-470e-af99-1be833a166d3.jpg"/>
    <s v="https://mpesije.jne.gob.pe/apidocs/38c9ab76-8a7b-4b09-8251-712162294305.pdf"/>
    <s v="PARTIDO DEL BUEN GOBIERNO - 07619185.pdf"/>
    <n v="57"/>
    <s v="50-59"/>
    <s v="PERÚ"/>
    <s v="MASCULINO"/>
    <s v="LIMA"/>
    <s v="ÚNICO NACIONAL"/>
  </r>
  <r>
    <x v="4"/>
    <s v="07231335"/>
    <s v="ITURREGUI BYRNE, PATRICIA MILAGROS"/>
    <s v="07231335"/>
    <s v="ITURREGUI"/>
    <s v="BYRNE"/>
    <s v="PATRICIA MILAGROS"/>
    <s v="FEMENINO"/>
    <s v="18/05/1953"/>
    <s v="PERÚ"/>
    <s v="LIMA"/>
    <s v="LIMA"/>
    <s v="LIMA"/>
    <s v="SENADOR"/>
    <m/>
    <s v="ÚNICO NACIONAL"/>
    <m/>
    <s v="https://mpesije.jne.gob.pe/apidocs/1596b93e-f1f1-44e5-a76c-386c100a888d.jpg"/>
    <s v="https://mpesije.jne.gob.pe/apidocs/70880c4c-58a3-4fcf-81e8-c7de76fa1446.pdf"/>
    <s v="PARTIDO DEL BUEN GOBIERNO - 07231335.pdf"/>
    <n v="73"/>
    <s v="60+"/>
    <s v="PERÚ"/>
    <s v="FEMENINO"/>
    <s v="LIMA"/>
    <s v="ÚNICO NACIONAL"/>
  </r>
  <r>
    <x v="4"/>
    <s v="06876967"/>
    <s v="MATUTE CHARUN, SUSANA FLOR DE MARIA"/>
    <s v="06876967"/>
    <s v="MATUTE"/>
    <s v="CHARUN"/>
    <s v="SUSANA FLOR DE MARIA"/>
    <s v="FEMENINO"/>
    <s v="12/06/1965"/>
    <s v="PERÚ"/>
    <s v="LIMA"/>
    <s v="LIMA"/>
    <s v="PUEBLO LIBRE"/>
    <s v="PRIMER VICEPRESIDENTE DE LA REPÚBLICA"/>
    <s v="SENADOR"/>
    <s v="ÚNICO NACIONAL"/>
    <m/>
    <s v="https://mpesije.jne.gob.pe/apidocs/63c487f6-0e92-45ec-8d58-5fed3a35e368.jpg"/>
    <s v="https://mpesije.jne.gob.pe/apidocs/650515c4-438a-47e5-8f0f-1494a7716244.pdf"/>
    <s v="PARTIDO DEL BUEN GOBIERNO - 06876967.pdf"/>
    <n v="61"/>
    <s v="60+"/>
    <s v="PERÚ"/>
    <s v="FEMENINO"/>
    <s v="LIMA"/>
    <s v="ÚNICO NACIONAL"/>
  </r>
  <r>
    <x v="5"/>
    <s v="08235876"/>
    <s v="ALCORTA SUERO, MARIA LOURDES PIA LUISA"/>
    <s v="08235876"/>
    <s v="ALCORTA"/>
    <s v="SUERO"/>
    <s v="MARIA LOURDES PIA LUISA"/>
    <s v="FEMENINO"/>
    <s v="21/06/1951"/>
    <s v="PERÚ"/>
    <s v="LIMA"/>
    <s v="LIMA"/>
    <s v="MIRAFLORES"/>
    <s v="SENADOR"/>
    <m/>
    <s v="ÚNICO NACIONAL"/>
    <m/>
    <s v="https://mpesije.jne.gob.pe/apidocs/0a50619c-a4b3-4580-bdee-146c75827d2c.jpg"/>
    <s v="https://mpesije.jne.gob.pe/apidocs/440ebb09-edfe-4ca7-9d2c-8659c6aff6f5.pdf"/>
    <s v="RENOVACION POPULAR - 08235876.pdf"/>
    <n v="74"/>
    <s v="60+"/>
    <s v="PERÚ"/>
    <s v="FEMENINO"/>
    <s v="LIMA"/>
    <s v="ÚNICO NACIONAL"/>
  </r>
  <r>
    <x v="5"/>
    <s v="25799622"/>
    <s v="AMPUERO MEZA, KATHERINE MILAGROS"/>
    <s v="25799622"/>
    <s v="AMPUERO"/>
    <s v="MEZA"/>
    <s v="KATHERINE MILAGROS"/>
    <s v="FEMENINO"/>
    <s v="05/11/1975"/>
    <s v="PERÚ"/>
    <s v="AMAZONAS"/>
    <s v="CHACHAPOYAS"/>
    <s v="CHACHAPOYAS"/>
    <s v="SENADOR"/>
    <m/>
    <s v="ÚNICO NACIONAL"/>
    <m/>
    <s v="https://mpesije.jne.gob.pe/apidocs/6574b5ec-9453-4117-8f95-80cf0bcb4371.jpg"/>
    <s v="https://mpesije.jne.gob.pe/apidocs/f97f7d87-0cf7-4366-a4e3-c885d8aa1977.pdf"/>
    <s v="RENOVACION POPULAR - 25799622.pdf"/>
    <n v="50"/>
    <s v="50-59"/>
    <s v="PERÚ"/>
    <s v="FEMENINO"/>
    <s v="AMAZONAS"/>
    <s v="ÚNICO NACIONAL"/>
  </r>
  <r>
    <x v="5"/>
    <s v="43285320"/>
    <s v="CALISTO GIAMPIETRI, FRANCISCO JOSE"/>
    <s v="43285320"/>
    <s v="CALISTO"/>
    <s v="GIAMPIETRI"/>
    <s v="FRANCISCO JOSE"/>
    <s v="MASCULINO"/>
    <s v="28/02/1961"/>
    <s v="PERÚ"/>
    <s v="CALLAO"/>
    <s v="CALLAO"/>
    <s v="BELLAVISTA"/>
    <s v="SENADOR"/>
    <m/>
    <s v="LIMA METROPOLITANA"/>
    <m/>
    <s v="https://mpesije.jne.gob.pe/apidocs/552d520b-f83d-4e86-86c4-f55840c252be.jpg"/>
    <s v="https://mpesije.jne.gob.pe/apidocs/321d680e-20b8-4049-94a9-a0a00b3fde03.pdf"/>
    <s v="RENOVACION POPULAR - 43285320.pdf"/>
    <n v="65"/>
    <s v="60+"/>
    <s v="PERÚ"/>
    <s v="MASCULINO"/>
    <s v="CALLAO"/>
    <s v="LIMA METROPOLITANA"/>
  </r>
  <r>
    <x v="5"/>
    <s v="07852432"/>
    <s v="JAUREGUI MARTINEZ DE AGUAYO, MARIA DE LOS MILAGROS JACKELINE"/>
    <s v="07852432"/>
    <s v="JAUREGUI"/>
    <s v="MARTINEZ DE AGUAYO"/>
    <s v="MARIA DE LOS MILAGROS JACKELINE"/>
    <s v="FEMENINO"/>
    <s v="16/06/1963"/>
    <s v="PERÚ"/>
    <s v="JUNIN"/>
    <s v="HUANCAYO"/>
    <s v="HUANCAYO"/>
    <s v="SENADOR"/>
    <m/>
    <s v="LIMA METROPOLITANA"/>
    <m/>
    <s v="https://mpesije.jne.gob.pe/apidocs/b0d9cd02-a849-4579-8091-2c6903eec61a.jpg"/>
    <s v="https://mpesije.jne.gob.pe/apidocs/ae9a2ed0-e060-4adc-8ea5-81473a1d59a1.pdf"/>
    <s v="RENOVACION POPULAR - 07852432.pdf"/>
    <n v="62"/>
    <s v="60+"/>
    <s v="PERÚ"/>
    <s v="FEMENINO"/>
    <s v="JUNIN"/>
    <s v="LIMA METROPOLITANA"/>
  </r>
  <r>
    <x v="5"/>
    <s v="07845838"/>
    <s v="LÓPEZ ALIAGA CAZORLA, RAFAEL BERNARDO"/>
    <s v="07845838"/>
    <s v="LÓPEZ ALIAGA"/>
    <s v="CAZORLA"/>
    <s v="RAFAEL BERNARDO"/>
    <s v="MASCULINO"/>
    <s v="11/02/1961"/>
    <s v="PERÚ"/>
    <s v="LIMA"/>
    <s v="LIMA"/>
    <s v="LIMA"/>
    <s v="PRESIDENTE DE LA REPÚBLICA"/>
    <s v="SENADOR"/>
    <s v="ÚNICO NACIONAL"/>
    <m/>
    <s v="https://mpesije.jne.gob.pe/apidocs/b2e00ae2-1e50-4ad3-a103-71fc7e4e8255.jpg"/>
    <s v="https://mpesije.jne.gob.pe/apidocs/3d7498fe-7a54-4f7d-882e-c5cdfd2ba26b.pdf"/>
    <s v="RENOVACION POPULAR - 07845838.pdf"/>
    <n v="65"/>
    <s v="60+"/>
    <s v="PERÚ"/>
    <s v="MASCULINO"/>
    <s v="LIMA"/>
    <s v="ÚNICO NACIONAL"/>
  </r>
  <r>
    <x v="5"/>
    <s v="01539305"/>
    <s v="MANCHA PINEDA, ESTANISLAO EDGAR"/>
    <s v="01539305"/>
    <s v="MANCHA"/>
    <s v="PINEDA"/>
    <s v="ESTANISLAO EDGAR"/>
    <s v="MASCULINO"/>
    <s v="19/11/1973"/>
    <s v="PERÚ"/>
    <s v="PUNO"/>
    <s v="AZANGARO"/>
    <s v="SAN ANTON"/>
    <s v="SENADOR"/>
    <m/>
    <s v="ÚNICO NACIONAL"/>
    <m/>
    <s v="https://mpesije.jne.gob.pe/apidocs/278ecb43-645b-460c-82f0-b310cbb72289.jpg"/>
    <s v="https://mpesije.jne.gob.pe/apidocs/cff4c882-00b3-4a6a-aca5-7bbc07ae3837.pdf"/>
    <s v="RENOVACION POPULAR - 01539305.pdf"/>
    <n v="52"/>
    <s v="50-59"/>
    <s v="PERÚ"/>
    <s v="MASCULINO"/>
    <s v="PUNO"/>
    <s v="ÚNICO NACIONAL"/>
  </r>
  <r>
    <x v="5"/>
    <s v="45209282"/>
    <s v="MUÑANTE BARRIOS, ALEJANDRO"/>
    <s v="45209282"/>
    <s v="MUÑANTE"/>
    <s v="BARRIOS"/>
    <s v="ALEJANDRO"/>
    <s v="MASCULINO"/>
    <s v="02/03/1987"/>
    <s v="PERÚ"/>
    <s v="LORETO"/>
    <s v="MAYNAS"/>
    <s v="IQUITOS"/>
    <s v="SENADOR"/>
    <m/>
    <s v="ÚNICO NACIONAL"/>
    <s v="ES ACTUALMENTE CONGRESISTA."/>
    <s v="https://mpesije.jne.gob.pe/apidocs/bcf375ae-6a90-4f80-8ed3-37c2c43efbca.jpg"/>
    <s v="https://mpesije.jne.gob.pe/apidocs/60f97c6b-ac8f-414a-b4f9-e45f6f680f17.pdf"/>
    <s v="RENOVACION POPULAR - 45209282.pdf"/>
    <n v="39"/>
    <s v="30-39"/>
    <s v="PERÚ"/>
    <s v="MASCULINO"/>
    <s v="LORETO"/>
    <s v="ÚNICO NACIONAL"/>
  </r>
  <r>
    <x v="5"/>
    <s v="06504611"/>
    <s v="VELASQUEZ GARCIA, MIGUEL ANGEL"/>
    <s v="06504611"/>
    <s v="VELASQUEZ"/>
    <s v="GARCIA"/>
    <s v="MIGUEL ANGEL"/>
    <s v="MASCULINO"/>
    <s v="05/01/1962"/>
    <s v="PERÚ"/>
    <s v="LIMA"/>
    <s v="LIMA"/>
    <s v="JESUS MARIA"/>
    <s v="SENADOR"/>
    <m/>
    <s v="PERUANOS RESIDENTES EN EL EXTRANJERO"/>
    <m/>
    <s v="https://mpesije.jne.gob.pe/apidocs/f526053a-32bd-4f15-b314-92c9603db466.jpg"/>
    <s v="https://mpesije.jne.gob.pe/apidocs/10a7d2e3-71b6-48fe-adf1-e974a7119e3f.pdf"/>
    <s v="RENOVACION POPULAR - 06504611.pdf"/>
    <n v="64"/>
    <s v="60+"/>
    <s v="PERÚ"/>
    <s v="MASCULINO"/>
    <s v="LIMA"/>
    <s v="PERUANOS RESIDENTES EN EL EXTRANJERO"/>
  </r>
  <r>
    <x v="1"/>
    <s v="40433187"/>
    <s v="TORRES MORALES, MIGUEL ANGEL"/>
    <s v="40433187"/>
    <s v="TORRES"/>
    <s v="MORALES"/>
    <s v="MIGUEL ANGEL"/>
    <s v="MASCULINO"/>
    <s v="18/02/1980"/>
    <s v="PERÚ"/>
    <s v="LIMA"/>
    <s v="LIMA"/>
    <s v="LINCE"/>
    <s v="SEGUNDO VICEPRESIDENTE DE LA REPÚBLICA"/>
    <s v="SENADOR"/>
    <s v="ÚNICO NACIONAL"/>
    <m/>
    <s v="https://mpesije.jne.gob.pe/apidocs/789b7714-8633-4a59-a89b-7fab4646fef1.jpeg"/>
    <s v="https://mpesije.jne.gob.pe/apidocs/99872797-b3bf-452e-939b-06d1cdeaa917.pdf"/>
    <s v="FUERZA POPULAR - 40433187.pdf"/>
    <n v="46"/>
    <s v="40-49"/>
    <s v="PERÚ"/>
    <s v="MASCULINO"/>
    <s v="LIMA"/>
    <s v="ÚNICO NACIONAL"/>
  </r>
  <r>
    <x v="2"/>
    <s v="02044988"/>
    <s v="CHIPANA CHIPANA, JOSE MOISES"/>
    <s v="02044988"/>
    <s v="CHIPANA"/>
    <s v="CHIPANA"/>
    <s v="JOSE MOISES"/>
    <s v="MASCULINO"/>
    <s v="29/08/1974"/>
    <s v="PERÚ"/>
    <s v="PUNO"/>
    <s v="HUANCANE"/>
    <s v="HUANCANE"/>
    <s v="SENADOR"/>
    <m/>
    <s v="ÚNICO NACIONAL"/>
    <m/>
    <m/>
    <m/>
    <s v="JUNTOS POR EL PERU - 02044988.pdf"/>
    <n v="51"/>
    <s v="50-59"/>
    <s v="PERÚ"/>
    <s v="MASCULINO"/>
    <s v="PUNO"/>
    <s v="ÚNICO NACIONAL"/>
  </r>
  <r>
    <x v="2"/>
    <s v="23271450"/>
    <s v="YAURI TUNQUE, JOAQUIN"/>
    <s v="23271450"/>
    <s v="YAURI"/>
    <s v="TUNQUE"/>
    <s v="JOAQUIN"/>
    <s v="MASCULINO"/>
    <s v="16/08/1974"/>
    <s v="PERÚ"/>
    <s v="HUANCAVELICA"/>
    <s v="HUANCAVELICA"/>
    <s v="HUANCAVELICA"/>
    <s v="SENADOR"/>
    <m/>
    <s v="ÚNICO NACIONAL"/>
    <m/>
    <m/>
    <m/>
    <s v="JUNTOS POR EL PERU - 23271450.pdf"/>
    <n v="51"/>
    <s v="50-59"/>
    <s v="PERÚ"/>
    <s v="MASCULINO"/>
    <s v="HUANCAVELICA"/>
    <s v="ÚNICO NACIONAL"/>
  </r>
  <r>
    <x v="2"/>
    <s v="31010129"/>
    <s v="RAMOS HUILLCAS, ANDRES AVELINO"/>
    <s v="31010129"/>
    <s v="RAMOS"/>
    <s v="HUILLCAS"/>
    <s v="ANDRES AVELINO"/>
    <s v="MASCULINO"/>
    <s v="10/11/1958"/>
    <s v="PERÚ"/>
    <s v="APURIMAC"/>
    <s v="ABANCAY"/>
    <s v="PICHIRHUA"/>
    <s v="SENADOR"/>
    <m/>
    <s v="ÚNICO NACIONAL"/>
    <m/>
    <m/>
    <m/>
    <s v="JUNTOS POR EL PERU - 31010129.pdf"/>
    <n v="67"/>
    <s v="60+"/>
    <s v="PERÚ"/>
    <s v="MASCULINO"/>
    <s v="APURIMAC"/>
    <s v="ÚNICO NACIONAL"/>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r>
    <x v="6"/>
    <m/>
    <m/>
    <m/>
    <m/>
    <m/>
    <m/>
    <m/>
    <m/>
    <m/>
    <m/>
    <m/>
    <m/>
    <m/>
    <m/>
    <m/>
    <m/>
    <m/>
    <m/>
    <m/>
    <m/>
    <m/>
    <s v=""/>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s v="07755878"/>
    <s v="DELGADO ZEGARRA, JAIME RICARDO"/>
    <s v="07755878"/>
    <s v="DELGADO"/>
    <s v="ZEGARRA"/>
    <s v="JAIME RICARDO"/>
    <s v="MASCULINO"/>
    <s v="17/11/1956"/>
    <s v="PERÚ"/>
    <s v="AREQUIPA"/>
    <s v="AREQUIPA"/>
    <s v="AREQUIPA"/>
    <s v="SENADOR"/>
    <m/>
    <s v="ÚNICO NACIONAL"/>
    <m/>
    <s v="https://mpesije.jne.gob.pe/apidocs/9aee4b33-103e-4327-9038-3618515d950d.jpg"/>
    <s v="https://mpesije.jne.gob.pe/apidocs/bec6fc78-6285-4522-a02e-2730994b7ca8.pdf"/>
    <s v="AHORA NACION - AN - 07755878.pdf"/>
    <n v="69"/>
    <s v="60+"/>
    <s v="PERÚ"/>
    <x v="0"/>
    <s v="AREQUIPA"/>
    <s v="ÚNICO NACIONAL"/>
  </r>
  <r>
    <x v="0"/>
    <s v="25331980"/>
    <s v="LOPEZ CHAU NAVA, PABLO ALFONSO"/>
    <s v="25331980"/>
    <s v="LOPEZ CHAU"/>
    <s v="NAVA"/>
    <s v="PABLO ALFONSO"/>
    <s v="MASCULINO"/>
    <s v="17/07/1950"/>
    <s v="PERÚ"/>
    <s v="LIMA"/>
    <s v="LIMA"/>
    <s v="LIMA"/>
    <s v="PRESIDENTE DE LA REPÚBLICA"/>
    <s v="SENADOR"/>
    <s v="ÚNICO NACIONAL"/>
    <m/>
    <s v="https://mpesije.jne.gob.pe/apidocs/ddfa74eb-cae3-401c-a34c-35543ae83c57.jpg"/>
    <s v="https://mpesije.jne.gob.pe/apidocs/4ba2cdce-703e-421b-8b75-746b4dd21439.pdf"/>
    <s v="AHORA NACION - AN - 25331980.pdf"/>
    <n v="75"/>
    <s v="60+"/>
    <s v="PERÚ"/>
    <x v="0"/>
    <s v="LIMA"/>
    <s v="ÚNICO NACIONAL"/>
  </r>
  <r>
    <x v="0"/>
    <s v="40204874"/>
    <s v="LUQUE IBARRA, RUTH"/>
    <s v="40204874"/>
    <s v="LUQUE"/>
    <s v="IBARRA"/>
    <s v="RUTH"/>
    <s v="FEMENINO"/>
    <s v="19/06/1979"/>
    <s v="PERÚ"/>
    <s v="CUSCO"/>
    <s v="CUSCO"/>
    <s v="SANTIAGO"/>
    <s v="SENADOR"/>
    <m/>
    <s v="ÚNICO NACIONAL"/>
    <m/>
    <s v="https://mpesije.jne.gob.pe/apidocs/428c14a1-1be6-477e-b02a-f0dec2dc8e65.jpg"/>
    <s v="https://mpesije.jne.gob.pe/apidocs/ed569772-6440-41f6-a1ad-b62d373d92ef.pdf"/>
    <s v="AHORA NACION - AN - 40204874.pdf"/>
    <n v="46"/>
    <s v="40-49"/>
    <s v="PERÚ"/>
    <x v="1"/>
    <s v="CUSCO"/>
    <s v="ÚNICO NACIONAL"/>
  </r>
  <r>
    <x v="0"/>
    <s v="26705695"/>
    <s v="VASQUEZ CHUQUILIN, MIRTHA ESTHER"/>
    <s v="26705695"/>
    <s v="VASQUEZ"/>
    <s v="CHUQUILIN"/>
    <s v="MIRTHA ESTHER"/>
    <s v="FEMENINO"/>
    <s v="31/03/1975"/>
    <s v="PERÚ"/>
    <s v="CAJAMARCA"/>
    <s v="CAJAMARCA"/>
    <s v="CAJAMARCA"/>
    <s v="SENADOR"/>
    <m/>
    <s v="ÚNICO NACIONAL"/>
    <m/>
    <s v="https://mpesije.jne.gob.pe/apidocs/83aa4be4-54a0-4f96-874a-96ec34678843.jpg"/>
    <s v="https://mpesije.jne.gob.pe/apidocs/26df0361-db17-47af-85bf-fc1e8ae1329b.pdf"/>
    <s v="AHORA NACION - AN - 26705695.pdf"/>
    <n v="51"/>
    <s v="50-59"/>
    <s v="PERÚ"/>
    <x v="1"/>
    <s v="CAJAMARCA"/>
    <s v="ÚNICO NACIONAL"/>
  </r>
  <r>
    <x v="1"/>
    <s v="08236035"/>
    <s v="AGUINAGA RECUENCO, ALEJANDRO AURELIO"/>
    <s v="08236035"/>
    <s v="AGUINAGA"/>
    <s v="RECUENCO"/>
    <s v="ALEJANDRO AURELIO"/>
    <s v="MASCULINO"/>
    <s v="28/01/1950"/>
    <s v="PERÚ"/>
    <s v="LA LIBERTAD"/>
    <s v="TRUJILLO"/>
    <s v="TRUJILLO"/>
    <s v="SENADOR"/>
    <m/>
    <s v="LAMBAYEQUE"/>
    <m/>
    <s v="https://mpesije.jne.gob.pe/apidocs/ec0a8246-1b06-4e2b-8037-a71cfce09cf5.jpg"/>
    <s v="https://mpesije.jne.gob.pe/apidocs/6b4456ea-6731-4925-a6e7-056a36b87156.pdf"/>
    <s v="FUERZA POPULAR - 08236035.pdf"/>
    <n v="76"/>
    <s v="60+"/>
    <s v="PERÚ"/>
    <x v="0"/>
    <s v="LA LIBERTAD"/>
    <s v="LAMBAYEQUE"/>
  </r>
  <r>
    <x v="1"/>
    <s v="06717199"/>
    <s v="ARISTA ARBILDO, JOSE BERLEY"/>
    <s v="06717199"/>
    <s v="ARISTA"/>
    <s v="ARBILDO"/>
    <s v="JOSE BERLEY"/>
    <s v="MASCULINO"/>
    <s v="18/08/1959"/>
    <s v="PERÚ"/>
    <s v="AMAZONAS"/>
    <s v="RODRIGUEZ DE MENDOZA"/>
    <s v="HUAMBO"/>
    <s v="SENADOR"/>
    <m/>
    <s v="AMAZONAS"/>
    <m/>
    <s v="https://mpesije.jne.gob.pe/apidocs/d70fc358-ff34-4dfb-99fc-2cdcbb77ff83.jpg"/>
    <s v="https://mpesije.jne.gob.pe/apidocs/4239a3ba-9445-4c88-a74d-d0d798857d45.pdf"/>
    <s v="FUERZA POPULAR - 06717199.pdf"/>
    <n v="66"/>
    <s v="60+"/>
    <s v="PERÚ"/>
    <x v="0"/>
    <s v="AMAZONAS"/>
    <s v="AMAZONAS"/>
  </r>
  <r>
    <x v="1"/>
    <s v="10307948"/>
    <s v="ASTUDILLO SALCEDO, CESAR AUGUSTO"/>
    <s v="10307948"/>
    <s v="ASTUDILLO"/>
    <s v="SALCEDO"/>
    <s v="CESAR AUGUSTO"/>
    <s v="MASCULINO"/>
    <s v="30/09/1960"/>
    <s v="PERÚ"/>
    <s v="LIMA"/>
    <s v="LIMA"/>
    <s v="MIRAFLORES"/>
    <s v="SENADOR"/>
    <m/>
    <s v="ÚNICO NACIONAL"/>
    <m/>
    <s v="https://mpesije.jne.gob.pe/apidocs/e4aee02d-e85d-44f7-aaca-9eb286ee132f.jpg"/>
    <s v="https://mpesije.jne.gob.pe/apidocs/c3804a57-68ff-450f-b6d6-edd5fa532e44.pdf"/>
    <s v="FUERZA POPULAR - 10307948.pdf"/>
    <n v="65"/>
    <s v="60+"/>
    <s v="PERÚ"/>
    <x v="0"/>
    <s v="LIMA"/>
    <s v="ÚNICO NACIONAL"/>
  </r>
  <r>
    <x v="1"/>
    <s v="32971154"/>
    <s v="CHACON TRUJILLO, NILZA MERLY"/>
    <s v="32971154"/>
    <s v="CHACON"/>
    <s v="TRUJILLO"/>
    <s v="NILZA MERLY"/>
    <s v="FEMENINO"/>
    <s v="15/12/1975"/>
    <s v="PERÚ"/>
    <s v="ANCASH"/>
    <s v="SANTA"/>
    <s v="CHIMBOTE"/>
    <s v="SENADOR"/>
    <m/>
    <s v="ANCASH"/>
    <m/>
    <s v="https://mpesije.jne.gob.pe/apidocs/133f5d7c-5498-4a5e-81e2-a7c2f3f53d0c.jpg"/>
    <s v="https://mpesije.jne.gob.pe/apidocs/647e50c4-80ae-491f-9f49-ead290ebba04.pdf"/>
    <s v="FUERZA POPULAR - 32971154.pdf"/>
    <n v="50"/>
    <s v="50-59"/>
    <s v="PERÚ"/>
    <x v="1"/>
    <s v="ANCASH"/>
    <s v="ANCASH"/>
  </r>
  <r>
    <x v="1"/>
    <s v="07960843"/>
    <s v="CHAVEZ COSSIO, MARTHA GLADYS"/>
    <s v="07960843"/>
    <s v="CHAVEZ"/>
    <s v="COSSIO"/>
    <s v="MARTHA GLADYS"/>
    <s v="FEMENINO"/>
    <s v="12/01/1953"/>
    <s v="PERÚ"/>
    <s v="CALLAO"/>
    <s v="CALLAO"/>
    <s v="BELLAVISTA"/>
    <s v="SENADOR"/>
    <m/>
    <s v="ÚNICO NACIONAL"/>
    <s v="Callao no es departamento. Debería figurar como &quot;provincia constitucional del Callao&quot;."/>
    <s v="https://mpesije.jne.gob.pe/apidocs/b3b29de8-c5bd-4b73-b34b-29c48267363a.jpg"/>
    <s v="https://mpesije.jne.gob.pe/apidocs/cd58063a-eafa-4e92-b04e-267a33eda88b.pdf"/>
    <s v="FUERZA POPULAR - 07960843.pdf"/>
    <n v="73"/>
    <s v="60+"/>
    <s v="PERÚ"/>
    <x v="1"/>
    <s v="CALLAO"/>
    <s v="ÚNICO NACIONAL"/>
  </r>
  <r>
    <x v="1"/>
    <s v="05227631"/>
    <s v="DEL AGUILA CARDENAS, JUAN CARLOS"/>
    <s v="05227631"/>
    <s v="DEL AGUILA"/>
    <s v="CARDENAS"/>
    <s v="JUAN CARLOS"/>
    <s v="MASCULINO"/>
    <s v="09/01/1962"/>
    <s v="PERÚ"/>
    <s v="LORETO"/>
    <s v="MAYNAS"/>
    <s v="IQUITOS"/>
    <s v="SENADOR"/>
    <m/>
    <s v="LORETO"/>
    <m/>
    <s v="https://mpesije.jne.gob.pe/apidocs/39addd4e-6c93-405b-9e93-56a0892eae72.jpg"/>
    <s v="https://mpesije.jne.gob.pe/apidocs/f2c9c961-f74a-45e8-8790-d864e7893093.pdf"/>
    <s v="FUERZA POPULAR - 05227631.pdf"/>
    <n v="64"/>
    <s v="60+"/>
    <s v="PERÚ"/>
    <x v="0"/>
    <s v="LORETO"/>
    <s v="LORETO"/>
  </r>
  <r>
    <x v="1"/>
    <s v="17896798"/>
    <s v="FLORES RUIZ, VICTOR SEFERINO"/>
    <s v="17896798"/>
    <s v="FLORES"/>
    <s v="RUIZ"/>
    <s v="VICTOR SEFERINO"/>
    <s v="MASCULINO"/>
    <s v="24/08/1957"/>
    <s v="PERÚ"/>
    <s v="LA LIBERTAD"/>
    <s v="SANCHEZ CARRION"/>
    <s v="HUAMACHUCO"/>
    <s v="SENADOR"/>
    <m/>
    <s v="LA LIBERTAD"/>
    <m/>
    <s v="https://mpesije.jne.gob.pe/apidocs/8022ae32-73db-492b-9442-9ab351cf4ac6.jpg"/>
    <s v="https://mpesije.jne.gob.pe/apidocs/c913c7f0-9803-46c8-8b69-d37a3f7b5206.pdf"/>
    <s v="FUERZA POPULAR - 17896798.pdf"/>
    <n v="68"/>
    <s v="60+"/>
    <s v="PERÚ"/>
    <x v="0"/>
    <s v="LA LIBERTAD"/>
    <s v="LA LIBERTAD"/>
  </r>
  <r>
    <x v="1"/>
    <s v="19994639"/>
    <s v="JIMENEZ HEREDIA, DAVID JULIO"/>
    <s v="19994639"/>
    <s v="JIMENEZ"/>
    <s v="HEREDIA"/>
    <s v="DAVID JULIO"/>
    <s v="MASCULINO"/>
    <s v="01/09/1955"/>
    <s v="PERÚ"/>
    <s v="JUNIN"/>
    <s v="HUANCAYO"/>
    <s v="HUANCAYO"/>
    <s v="SENADOR"/>
    <m/>
    <s v="JUNIN"/>
    <m/>
    <s v="https://mpesije.jne.gob.pe/apidocs/2856fdf9-9f1e-4e3e-857e-0b998e066e36.jpg"/>
    <s v="https://mpesije.jne.gob.pe/apidocs/e234be5e-855f-4d56-9ed4-0849690ccbf5.pdf"/>
    <s v="FUERZA POPULAR - 19994639.pdf"/>
    <n v="70"/>
    <s v="60+"/>
    <s v="PERÚ"/>
    <x v="0"/>
    <s v="JUNIN"/>
    <s v="JUNIN"/>
  </r>
  <r>
    <x v="1"/>
    <s v="07831436"/>
    <s v="JUAREZ GALLEGOS, CARMEN PATRICIA"/>
    <s v="07831436"/>
    <s v="JUAREZ"/>
    <s v="GALLEGOS"/>
    <s v="CARMEN PATRICIA"/>
    <s v="FEMENINO"/>
    <s v="16/07/1960"/>
    <s v="PERÚ"/>
    <s v="ICA"/>
    <s v="NASCA"/>
    <s v="MARCONA"/>
    <s v="SENADOR"/>
    <m/>
    <s v="ÚNICO NACIONAL"/>
    <m/>
    <s v="https://mpesije.jne.gob.pe/apidocs/1dc6fbdd-d970-4fa3-9195-cf0492bc11d2.jpg"/>
    <s v="https://mpesije.jne.gob.pe/apidocs/f7c8bd65-b17e-4266-845d-b045a55d492a.pdf"/>
    <s v="FUERZA POPULAR - 07831436.pdf"/>
    <n v="65"/>
    <s v="60+"/>
    <s v="PERÚ"/>
    <x v="1"/>
    <s v="ICA"/>
    <s v="ÚNICO NACIONAL"/>
  </r>
  <r>
    <x v="1"/>
    <s v="09884301"/>
    <s v="MELGAR VALDEZ, ELARD GALO"/>
    <s v="09884301"/>
    <s v="MELGAR"/>
    <s v="VALDEZ"/>
    <s v="ELARD GALO"/>
    <s v="MASCULINO"/>
    <s v="15/10/1956"/>
    <s v="PERÚ"/>
    <s v="AREQUIPA"/>
    <s v="CASTILLA"/>
    <s v="APLAO"/>
    <s v="SENADOR"/>
    <m/>
    <s v="LIMA PROVINCIAS"/>
    <m/>
    <s v="https://mpesije.jne.gob.pe/apidocs/2d527059-8586-4a8d-9224-a08d4d3dc223.jpg"/>
    <s v="https://mpesije.jne.gob.pe/apidocs/a0e3bdcd-8a71-4f70-a1d5-aebd9d0c263a.pdf"/>
    <s v="FUERZA POPULAR - 09884301.pdf"/>
    <n v="69"/>
    <s v="60+"/>
    <s v="PERÚ"/>
    <x v="0"/>
    <s v="AREQUIPA"/>
    <s v="LIMA PROVINCIAS"/>
  </r>
  <r>
    <x v="1"/>
    <s v="08266314"/>
    <s v="MESIA RAMIREZ, CARLOS FERNANDO"/>
    <s v="08266314"/>
    <s v="MESIA"/>
    <s v="RAMIREZ"/>
    <s v="CARLOS FERNANDO"/>
    <s v="MASCULINO"/>
    <s v="08/12/1959"/>
    <s v="PERÚ"/>
    <s v="LORETO"/>
    <s v="MAYNAS"/>
    <s v="IQUITOS"/>
    <s v="SENADOR"/>
    <m/>
    <s v="ÚNICO NACIONAL"/>
    <m/>
    <s v="https://mpesije.jne.gob.pe/apidocs/8b5d10f4-a0ec-4744-b29f-59271274b78c.jpg"/>
    <s v="https://mpesije.jne.gob.pe/apidocs/986de612-7510-4a49-bbd3-8d3ff2e98d15.pdf"/>
    <s v="FUERZA POPULAR - 08266314.pdf"/>
    <n v="66"/>
    <s v="60+"/>
    <s v="PERÚ"/>
    <x v="0"/>
    <s v="LORETO"/>
    <s v="ÚNICO NACIONAL"/>
  </r>
  <r>
    <x v="1"/>
    <s v="22974228"/>
    <s v="MIYASHIRO ARASHIRO, MARCO ENRIQUE"/>
    <s v="22974228"/>
    <s v="MIYASHIRO"/>
    <s v="ARASHIRO"/>
    <s v="MARCO ENRIQUE"/>
    <s v="MASCULINO"/>
    <s v="25/04/1953"/>
    <s v="PERÚ"/>
    <s v="LIMA"/>
    <s v="LIMA"/>
    <s v="LIMA"/>
    <s v="SENADOR"/>
    <m/>
    <s v="LIMA METROPOLITANA"/>
    <m/>
    <s v="https://mpesije.jne.gob.pe/apidocs/8388c289-7fce-48e9-91f9-732565b127c7.jpg"/>
    <s v="https://mpesije.jne.gob.pe/apidocs/a49ce4d3-07d3-4728-a386-78e3a7696cd2.pdf"/>
    <s v="FUERZA POPULAR - 22974228.pdf"/>
    <n v="73"/>
    <s v="60+"/>
    <s v="PERÚ"/>
    <x v="0"/>
    <s v="LIMA"/>
    <s v="LIMA METROPOLITANA"/>
  </r>
  <r>
    <x v="1"/>
    <s v="08911520"/>
    <s v="MOYANO DELGADO, MARTHA LUPE"/>
    <s v="08911520"/>
    <s v="MOYANO"/>
    <s v="DELGADO"/>
    <s v="MARTHA LUPE"/>
    <s v="FEMENINO"/>
    <s v="14/10/1964"/>
    <s v="PERÚ"/>
    <s v="CALLAO"/>
    <s v="CALLAO"/>
    <s v="BELLAVISTA"/>
    <s v="SENADOR"/>
    <m/>
    <s v="ÚNICO NACIONAL"/>
    <m/>
    <s v="https://mpesije.jne.gob.pe/apidocs/e1193269-c9d9-48c8-9ff2-4fa1317c49cf.jpg"/>
    <s v="https://mpesije.jne.gob.pe/apidocs/68a5f54c-a9f2-41e8-915f-4b14a17dc3a3.pdf"/>
    <s v="FUERZA POPULAR - 08911520.pdf"/>
    <n v="61"/>
    <s v="60+"/>
    <s v="PERÚ"/>
    <x v="1"/>
    <s v="CALLAO"/>
    <s v="ÚNICO NACIONAL"/>
  </r>
  <r>
    <x v="1"/>
    <s v="17806760"/>
    <s v="NORIEGA REATEGUI, VICTOR MANUEL"/>
    <s v="17806760"/>
    <s v="NORIEGA"/>
    <s v="REATEGUI"/>
    <s v="VICTOR MANUEL"/>
    <s v="MASCULINO"/>
    <s v="14/05/1962"/>
    <s v="PERÚ"/>
    <s v="SAN MARTIN"/>
    <s v="EL DORADO"/>
    <s v="SAN JOSE DE SISA"/>
    <s v="SENADOR"/>
    <m/>
    <s v="SAN MARTIN"/>
    <m/>
    <s v="https://mpesije.jne.gob.pe/apidocs/84f8ce01-b3ad-4d93-bbe2-79314b572334.jpg"/>
    <s v="https://mpesije.jne.gob.pe/apidocs/f4f1e141-61f6-4499-bf91-10e28fe56db1.pdf"/>
    <s v="FUERZA POPULAR - 17806760.pdf"/>
    <n v="64"/>
    <s v="60+"/>
    <s v="PERÚ"/>
    <x v="0"/>
    <s v="SAN MARTIN"/>
    <s v="SAN MARTIN"/>
  </r>
  <r>
    <x v="1"/>
    <s v="08234063"/>
    <s v="RODRICH ACKERMAN, JACQUES SALOMON"/>
    <s v="08234063"/>
    <s v="RODRICH"/>
    <s v="ACKERMAN"/>
    <s v="JACQUES SALOMON"/>
    <s v="MASCULINO"/>
    <s v="14/08/1961"/>
    <s v="PERÚ"/>
    <s v="LIMA"/>
    <s v="LIMA"/>
    <s v="SAN ISIDRO"/>
    <s v="SENADOR"/>
    <m/>
    <s v="CALLAO"/>
    <s v="El candidato actualmente consigna en su Documento Nacional de Identidad como domicilio calle Alberto Secada N° 315 - Callao"/>
    <s v="https://mpesije.jne.gob.pe/apidocs/04696b3b-471f-462a-b3c2-84726b866a6f.jpg"/>
    <s v="https://mpesije.jne.gob.pe/apidocs/b368d19a-c667-4b25-9d4f-8e5048887a4f.pdf"/>
    <s v="FUERZA POPULAR - 08234063.pdf"/>
    <n v="64"/>
    <s v="60+"/>
    <s v="PERÚ"/>
    <x v="0"/>
    <s v="LIMA"/>
    <s v="CALLAO"/>
  </r>
  <r>
    <x v="1"/>
    <s v="07704730"/>
    <s v="ROSPIGLIOSI CAPURRO, FERNANDO MIGUEL"/>
    <s v="07704730"/>
    <s v="ROSPIGLIOSI"/>
    <s v="CAPURRO"/>
    <s v="FERNANDO MIGUEL"/>
    <s v="MASCULINO"/>
    <s v="25/02/1947"/>
    <s v="PERÚ"/>
    <s v="LIMA"/>
    <s v="LIMA"/>
    <s v="MIRAFLORES"/>
    <s v="SENADOR"/>
    <m/>
    <s v="ÚNICO NACIONAL"/>
    <m/>
    <s v="https://mpesije.jne.gob.pe/apidocs/4e1024fa-a2ee-4b49-8563-7484061f3763.jpg"/>
    <s v="https://mpesije.jne.gob.pe/apidocs/e088f78d-87d9-4d2c-a3a9-d348a26419b4.pdf"/>
    <s v="FUERZA POPULAR - 07704730.pdf"/>
    <n v="79"/>
    <s v="60+"/>
    <s v="PERÚ"/>
    <x v="0"/>
    <s v="LIMA"/>
    <s v="ÚNICO NACIONAL"/>
  </r>
  <r>
    <x v="1"/>
    <s v="10638205"/>
    <s v="SCHAEFER CUCULIZA, KARLA MELISSA"/>
    <s v="10638205"/>
    <s v="SCHAEFER"/>
    <s v="CUCULIZA"/>
    <s v="KARLA MELISSA"/>
    <s v="FEMENINO"/>
    <s v="14/03/1966"/>
    <s v="PERÚ"/>
    <s v="PIURA"/>
    <s v="PIURA"/>
    <s v="PIURA"/>
    <s v="SENADOR"/>
    <m/>
    <s v="PIURA"/>
    <m/>
    <s v="https://mpesije.jne.gob.pe/apidocs/8484cd8e-5f0a-48d3-ba54-be7120b1107f.jpg"/>
    <s v="https://mpesije.jne.gob.pe/apidocs/82e3af5f-ed4b-423d-bba6-e9de26662f1a.pdf"/>
    <s v="FUERZA POPULAR - 10638205.pdf"/>
    <n v="60"/>
    <s v="60+"/>
    <s v="PERÚ"/>
    <x v="1"/>
    <s v="PIURA"/>
    <s v="PIURA"/>
  </r>
  <r>
    <x v="1"/>
    <s v="16657841"/>
    <s v="TAPIA BERNAL, SEGUNDO LEOCADIO"/>
    <s v="16657841"/>
    <s v="TAPIA"/>
    <s v="BERNAL"/>
    <s v="SEGUNDO LEOCADIO"/>
    <s v="MASCULINO"/>
    <s v="12/02/1968"/>
    <s v="PERÚ"/>
    <s v="CAJAMARCA"/>
    <s v="CHOTA"/>
    <s v="CHOTA"/>
    <s v="SENADOR"/>
    <m/>
    <s v="CAJAMARCA"/>
    <m/>
    <s v="https://mpesije.jne.gob.pe/apidocs/09f4526f-7117-476b-9499-38179dd8ef02.jpg"/>
    <s v="https://mpesije.jne.gob.pe/apidocs/3f910188-c6ed-44e3-93a5-a8fdeb7a3531.pdf"/>
    <s v="FUERZA POPULAR - 16657841.pdf"/>
    <n v="58"/>
    <s v="50-59"/>
    <s v="PERÚ"/>
    <x v="0"/>
    <s v="CAJAMARCA"/>
    <s v="CAJAMARCA"/>
  </r>
  <r>
    <x v="1"/>
    <s v="21143880"/>
    <s v="VELASQUEZ PORTOCARRERO, JORGE"/>
    <s v="21143880"/>
    <s v="VELASQUEZ"/>
    <s v="PORTOCARRERO"/>
    <s v="JORGE"/>
    <s v="MASCULINO"/>
    <s v="14/01/1966"/>
    <s v="PERÚ"/>
    <s v="SAN MARTIN"/>
    <s v="RIOJA"/>
    <s v="RIOJA"/>
    <s v="SENADOR"/>
    <m/>
    <s v="UCAYALI"/>
    <m/>
    <s v="https://mpesije.jne.gob.pe/apidocs/043cb739-9e01-4351-88d8-c0a5979b4884.jpg"/>
    <s v="https://mpesije.jne.gob.pe/apidocs/764aa850-dece-4ab5-8956-4420b2717ec3.pdf"/>
    <s v="FUERZA POPULAR - 21143880.pdf"/>
    <n v="60"/>
    <s v="60+"/>
    <s v="PERÚ"/>
    <x v="0"/>
    <s v="SAN MARTIN"/>
    <s v="UCAYALI"/>
  </r>
  <r>
    <x v="1"/>
    <s v="40242430"/>
    <s v="VENTURA ANGEL, HECTOR JOSE"/>
    <s v="40242430"/>
    <s v="VENTURA"/>
    <s v="ANGEL"/>
    <s v="HECTOR JOSE"/>
    <s v="MASCULINO"/>
    <s v="24/07/1979"/>
    <s v="PERÚ"/>
    <s v="PASCO"/>
    <s v="PASCO"/>
    <s v="HUARIACA"/>
    <s v="SENADOR"/>
    <m/>
    <s v="TUMBES"/>
    <m/>
    <s v="https://mpesije.jne.gob.pe/apidocs/bcf4cec7-d78a-4d75-a07c-d6ecf3f9322e.jpg"/>
    <s v="https://mpesije.jne.gob.pe/apidocs/b003710f-1e5d-4c02-bbca-7b10f0cca71a.pdf"/>
    <s v="FUERZA POPULAR - 40242430.pdf"/>
    <n v="46"/>
    <s v="40-49"/>
    <s v="PERÚ"/>
    <x v="0"/>
    <s v="PASCO"/>
    <s v="TUMBES"/>
  </r>
  <r>
    <x v="1"/>
    <s v="21414172"/>
    <s v="YAMASHIRO ORE, RAFAEL GUSTAVO"/>
    <s v="21414172"/>
    <s v="YAMASHIRO"/>
    <s v="ORE"/>
    <s v="RAFAEL GUSTAVO"/>
    <s v="MASCULINO"/>
    <s v="25/06/1963"/>
    <s v="PERÚ"/>
    <s v="ICA"/>
    <s v="ICA"/>
    <s v="ICA"/>
    <s v="SENADOR"/>
    <m/>
    <s v="ICA"/>
    <m/>
    <s v="https://mpesije.jne.gob.pe/apidocs/54b17e85-5ae3-4825-85d3-be4a29802a84.jpg"/>
    <s v="https://mpesije.jne.gob.pe/apidocs/dd0973d2-282d-4388-8bf1-5f081177d22a.pdf"/>
    <s v="FUERZA POPULAR - 21414172.pdf"/>
    <n v="62"/>
    <s v="60+"/>
    <s v="PERÚ"/>
    <x v="0"/>
    <s v="ICA"/>
    <s v="ICA"/>
  </r>
  <r>
    <x v="2"/>
    <s v="22482738"/>
    <s v="ANDRES LUJAN, SERAFIN"/>
    <s v="22482738"/>
    <s v="ANDRES"/>
    <s v="LUJAN"/>
    <s v="SERAFIN"/>
    <s v="MASCULINO"/>
    <s v="12/10/1966"/>
    <s v="PERÚ"/>
    <s v="HUANUCO"/>
    <s v="YAROWILCA"/>
    <s v="APARICIO POMARES"/>
    <s v="SENADOR"/>
    <m/>
    <s v="HUANUCO"/>
    <m/>
    <s v="https://mpesije.jne.gob.pe/apidocs/28f4e30f-f8c9-4a48-b698-94f4480bd3fe.jpg"/>
    <s v="https://mpesije.jne.gob.pe/apidocs/5110bbb9-f342-40ef-8b4b-e6beb36c0f94.pdf"/>
    <s v="JUNTOS POR EL PERU - 22482738.pdf"/>
    <n v="59"/>
    <s v="50-59"/>
    <s v="PERÚ"/>
    <x v="0"/>
    <s v="HUANUCO"/>
    <s v="HUANUCO"/>
  </r>
  <r>
    <x v="2"/>
    <s v="21487528"/>
    <s v="ARMACANQUI MORALES, SAUL ANDRES"/>
    <s v="21487528"/>
    <s v="ARMACANQUI"/>
    <s v="MORALES"/>
    <s v="SAUL ANDRES"/>
    <s v="MASCULINO"/>
    <s v="30/11/1953"/>
    <s v="PERÚ"/>
    <s v="ICA"/>
    <s v="ICA"/>
    <s v="ICA"/>
    <s v="SENADOR"/>
    <m/>
    <s v="ÚNICO NACIONAL"/>
    <m/>
    <s v="https://mpesije.jne.gob.pe/apidocs/1baf3ce6-bf7f-4f48-90af-7df69ba21d70.jpg"/>
    <s v="https://mpesije.jne.gob.pe/apidocs/fba5c0e0-c3b9-4c85-b049-58a2a0771bf0.pdf"/>
    <s v="JUNTOS POR EL PERU - 21487528.pdf"/>
    <n v="72"/>
    <s v="60+"/>
    <s v="PERÚ"/>
    <x v="0"/>
    <s v="ICA"/>
    <s v="ÚNICO NACIONAL"/>
  </r>
  <r>
    <x v="2"/>
    <s v="27409088"/>
    <s v="CASTILLO TERRONES, JOSE MERCEDES"/>
    <s v="27409088"/>
    <s v="CASTILLO"/>
    <s v="TERRONES"/>
    <s v="JOSE MERCEDES"/>
    <s v="MASCULINO"/>
    <s v="24/09/1964"/>
    <s v="PERÚ"/>
    <s v="CAJAMARCA"/>
    <s v="CHOTA"/>
    <s v="TACABAMBA"/>
    <s v="SENADOR"/>
    <m/>
    <s v="ÚNICO NACIONAL"/>
    <m/>
    <s v="https://mpesije.jne.gob.pe/apidocs/0e2b05c2-c95a-4599-bc78-56584d571b51.jpg"/>
    <s v="https://mpesije.jne.gob.pe/apidocs/61933e79-79be-45fb-9b0f-11be2bf70d02.pdf"/>
    <s v="JUNTOS POR EL PERU - 27409088.pdf"/>
    <n v="61"/>
    <s v="60+"/>
    <s v="PERÚ"/>
    <x v="0"/>
    <s v="CAJAMARCA"/>
    <s v="ÚNICO NACIONAL"/>
  </r>
  <r>
    <x v="2"/>
    <s v="40669342"/>
    <s v="CCAHUANA AYMACHOQUE, HUGO ISAAC"/>
    <s v="40669342"/>
    <s v="CCAHUANA"/>
    <s v="AYMACHOQUE"/>
    <s v="HUGO ISAAC"/>
    <s v="MASCULINO"/>
    <s v="08/07/1978"/>
    <s v="PERÚ"/>
    <s v="CUSCO"/>
    <s v="CANCHIS"/>
    <s v="SAN PEDRO"/>
    <s v="SENADOR"/>
    <m/>
    <s v="MADRE DE DIOS"/>
    <m/>
    <s v="https://mpesije.jne.gob.pe/apidocs/ffc812a5-4689-4912-831a-cb0ab734f078.jpg"/>
    <s v="https://mpesije.jne.gob.pe/apidocs/bbc0ceed-8cb9-4859-b242-24ff0547c996.pdf"/>
    <s v="JUNTOS POR EL PERU - 40669342.pdf"/>
    <n v="47"/>
    <s v="40-49"/>
    <s v="PERÚ"/>
    <x v="0"/>
    <s v="CUSCO"/>
    <s v="MADRE DE DIOS"/>
  </r>
  <r>
    <x v="2"/>
    <s v="04647085"/>
    <s v="CUTIPA CCAMA, VICTOR RAUL"/>
    <s v="04647085"/>
    <s v="CUTIPA"/>
    <s v="CCAMA"/>
    <s v="VICTOR RAUL"/>
    <s v="MASCULINO"/>
    <s v="14/09/1972"/>
    <s v="PERÚ"/>
    <s v="PUNO"/>
    <s v="PUNO"/>
    <s v="ACORA"/>
    <s v="SENADOR"/>
    <m/>
    <s v="MOQUEGUA"/>
    <m/>
    <s v="https://mpesije.jne.gob.pe/apidocs/8a462ad7-557a-40c5-80af-4f87c81544ea.jpg"/>
    <s v="https://mpesije.jne.gob.pe/apidocs/df837d7a-d815-4f7a-b9f2-39edb294f267.pdf"/>
    <s v="JUNTOS POR EL PERU - 04647085.pdf"/>
    <n v="53"/>
    <s v="50-59"/>
    <s v="PERÚ"/>
    <x v="0"/>
    <s v="PUNO"/>
    <s v="MOQUEGUA"/>
  </r>
  <r>
    <x v="2"/>
    <s v="21453924"/>
    <s v="MARAVI OLARTE, IBER ANTENOR"/>
    <s v="21453924"/>
    <s v="MARAVI"/>
    <s v="OLARTE"/>
    <s v="IBER ANTENOR"/>
    <s v="MASCULINO"/>
    <s v="15/05/1961"/>
    <s v="PERÚ"/>
    <s v="AYACUCHO"/>
    <s v="HUAMANGA"/>
    <s v="AYACUCHO"/>
    <s v="SENADOR"/>
    <m/>
    <s v="ÚNICO NACIONAL"/>
    <m/>
    <s v="https://mpesije.jne.gob.pe/apidocs/9ff4f8d0-cff1-429b-b3b9-a2c9baf178cf.jpg"/>
    <s v="https://mpesije.jne.gob.pe/apidocs/4080756a-aa47-451c-9ae6-ea726f4dbf37.pdf"/>
    <s v="JUNTOS POR EL PERU - 21453924.pdf"/>
    <n v="65"/>
    <s v="60+"/>
    <s v="PERÚ"/>
    <x v="0"/>
    <s v="AYACUCHO"/>
    <s v="ÚNICO NACIONAL"/>
  </r>
  <r>
    <x v="2"/>
    <s v="10252335"/>
    <s v="MORALES RAMIREZ, EDYSON HUMBERTO"/>
    <s v="10252335"/>
    <s v="MORALES"/>
    <s v="RAMIREZ"/>
    <s v="EDYSON HUMBERTO"/>
    <s v="MASCULINO"/>
    <s v="17/04/1976"/>
    <s v="PERÚ"/>
    <s v="HUANCAVELICA"/>
    <s v="ANGARAES"/>
    <s v="CHINCHO"/>
    <s v="SENADOR"/>
    <m/>
    <s v="AYACUCHO"/>
    <m/>
    <s v="https://mpesije.jne.gob.pe/apidocs/58170e97-f6a2-4003-a111-f1ce55f0715a.jpg"/>
    <s v="https://mpesije.jne.gob.pe/apidocs/0d293f37-70ce-4a2f-a49a-34411cdf8110.pdf"/>
    <s v="JUNTOS POR EL PERU - 10252335.pdf"/>
    <n v="50"/>
    <s v="50-59"/>
    <s v="PERÚ"/>
    <x v="0"/>
    <s v="HUANCAVELICA"/>
    <s v="AYACUCHO"/>
  </r>
  <r>
    <x v="2"/>
    <s v="40938678"/>
    <s v="OSORIO PALPAN, PERCY HERBERT"/>
    <s v="40938678"/>
    <s v="OSORIO"/>
    <s v="PALPAN"/>
    <s v="PERCY HERBERT"/>
    <s v="MASCULINO"/>
    <s v="14/03/1979"/>
    <s v="PERÚ"/>
    <s v="PASCO"/>
    <s v="OXAPAMPA"/>
    <s v="OXAPAMPA"/>
    <s v="SENADOR"/>
    <m/>
    <s v="PASCO"/>
    <m/>
    <s v="https://mpesije.jne.gob.pe/apidocs/5feb176c-f41c-425c-b42c-70564c87a8ba.jpg"/>
    <s v="https://mpesije.jne.gob.pe/apidocs/1fcffca7-a8b1-4bd3-b9e8-46649f81d4c4.pdf"/>
    <s v="JUNTOS POR EL PERU - 40938678.pdf"/>
    <n v="47"/>
    <s v="40-49"/>
    <s v="PERÚ"/>
    <x v="0"/>
    <s v="PASCO"/>
    <s v="PASCO"/>
  </r>
  <r>
    <x v="2"/>
    <s v="29632775"/>
    <s v="QUITO SARMIENTO, BERNARDO JAIME"/>
    <s v="29632775"/>
    <s v="QUITO"/>
    <s v="SARMIENTO"/>
    <s v="BERNARDO JAIME"/>
    <s v="MASCULINO"/>
    <s v="29/03/1975"/>
    <s v="PERÚ"/>
    <s v="AREQUIPA"/>
    <s v="AREQUIPA"/>
    <s v="AREQUIPA"/>
    <s v="SENADOR"/>
    <m/>
    <s v="ÚNICO NACIONAL"/>
    <m/>
    <s v="https://mpesije.jne.gob.pe/apidocs/dc4ba573-e19b-4a60-8485-52ebcd3d6d3a.jpg"/>
    <s v="https://mpesije.jne.gob.pe/apidocs/3bc32fe0-aeb8-41d2-b677-8c6230bca2e6.pdf"/>
    <s v="JUNTOS POR EL PERU - 29632775.pdf"/>
    <n v="51"/>
    <s v="50-59"/>
    <s v="PERÚ"/>
    <x v="0"/>
    <s v="AREQUIPA"/>
    <s v="ÚNICO NACIONAL"/>
  </r>
  <r>
    <x v="2"/>
    <s v="42750152"/>
    <s v="ROBLES ARAUJO, SILVANA EMPERATRIZ"/>
    <s v="42750152"/>
    <s v="ROBLES"/>
    <s v="ARAUJO"/>
    <s v="SILVANA EMPERATRIZ"/>
    <s v="FEMENINO"/>
    <s v="06/11/1984"/>
    <s v="PERÚ"/>
    <s v="JUNIN"/>
    <s v="CHANCHAMAYO"/>
    <s v="CHANCHAMAYO"/>
    <s v="SENADOR"/>
    <m/>
    <s v="ÚNICO NACIONAL"/>
    <m/>
    <s v="https://mpesije.jne.gob.pe/apidocs/3339fe0c-6911-4144-85df-b4617bfb7ebe.jpg"/>
    <s v="https://mpesije.jne.gob.pe/apidocs/24e247a9-87ab-45a2-95f0-f39dca282f88.pdf"/>
    <s v="JUNTOS POR EL PERU - 42750152.pdf"/>
    <n v="41"/>
    <s v="40-49"/>
    <s v="PERÚ"/>
    <x v="1"/>
    <s v="JUNIN"/>
    <s v="ÚNICO NACIONAL"/>
  </r>
  <r>
    <x v="2"/>
    <s v="23906812"/>
    <s v="VERANO SARAVIA, WILFREDO"/>
    <s v="23906812"/>
    <s v="VERANO"/>
    <s v="SARAVIA"/>
    <s v="WILFREDO"/>
    <s v="MASCULINO"/>
    <s v="27/02/1963"/>
    <s v="PERÚ"/>
    <s v="CUSCO"/>
    <s v="CUSCO"/>
    <s v="CUSCO"/>
    <s v="SENADOR"/>
    <m/>
    <s v="CUSCO"/>
    <m/>
    <s v="https://mpesije.jne.gob.pe/apidocs/f9434b58-54bc-4456-9354-653e00d90003.jpg"/>
    <s v="https://mpesije.jne.gob.pe/apidocs/26d97157-c8a8-4023-847a-5609b5409b00.pdf"/>
    <s v="JUNTOS POR EL PERU - 23906812.pdf"/>
    <n v="63"/>
    <s v="60+"/>
    <s v="PERÚ"/>
    <x v="0"/>
    <s v="CUSCO"/>
    <s v="CUSCO"/>
  </r>
  <r>
    <x v="3"/>
    <s v="07651031"/>
    <s v="ASTUCURI LAURA, ROGER MIGUEL"/>
    <s v="07651031"/>
    <s v="ASTUCURI"/>
    <s v="LAURA"/>
    <s v="ROGER MIGUEL"/>
    <s v="MASCULINO"/>
    <s v="03/09/1960"/>
    <s v="PERÚ"/>
    <s v="LIMA"/>
    <s v="LIMA"/>
    <s v="LURIGANCHO"/>
    <s v="SENADOR"/>
    <m/>
    <s v="ÚNICO NACIONAL"/>
    <m/>
    <s v="https://mpesije.jne.gob.pe/apidocs/ca28ff0a-b929-4dae-87b6-d49dc63f75ac.jpg"/>
    <s v="https://mpesije.jne.gob.pe/apidocs/1ae39a6e-ce49-4e8d-9354-e609b53c2d20.pdf"/>
    <s v="PARTIDO CIVICO OBRAS - 07651031.pdf"/>
    <n v="65"/>
    <s v="60+"/>
    <s v="PERÚ"/>
    <x v="0"/>
    <s v="LIMA"/>
    <s v="ÚNICO NACIONAL"/>
  </r>
  <r>
    <x v="3"/>
    <s v="10063223"/>
    <s v="BARRAGAN COLOMA, DANIEL HUGO"/>
    <s v="10063223"/>
    <s v="BARRAGAN"/>
    <s v="COLOMA"/>
    <s v="DANIEL HUGO"/>
    <s v="MASCULINO"/>
    <s v="21/08/1961"/>
    <s v="PERÚ"/>
    <s v="LIMA"/>
    <s v="LIMA"/>
    <s v="LIMA"/>
    <s v="PRIMER VICEPRESIDENTE DE LA REPÚBLICA"/>
    <s v="SENADOR"/>
    <s v="ÚNICO NACIONAL"/>
    <m/>
    <s v="https://mpesije.jne.gob.pe/apidocs/15595890-de24-4f14-b4f6-bd9b5e10372a.jpg"/>
    <s v="https://mpesije.jne.gob.pe/apidocs/6a216000-4a97-4d48-94f0-5ac8d5186e12.pdf"/>
    <s v="PARTIDO CIVICO OBRAS - 10063223.pdf"/>
    <n v="64"/>
    <s v="60+"/>
    <s v="PERÚ"/>
    <x v="0"/>
    <s v="LIMA"/>
    <s v="ÚNICO NACIONAL"/>
  </r>
  <r>
    <x v="3"/>
    <s v="07250032"/>
    <s v="FLORES CORDOVA, AGRIPINA MARIA DEL PILAR"/>
    <s v="07250032"/>
    <s v="FLORES"/>
    <s v="CORDOVA"/>
    <s v="AGRIPINA MARIA DEL PILAR"/>
    <s v="FEMENINO"/>
    <s v="23/06/1950"/>
    <s v="PERÚ"/>
    <s v="LIMA"/>
    <s v="LIMA"/>
    <s v="MAGDALENA DEL MAR"/>
    <s v="SENADOR"/>
    <m/>
    <s v="ÚNICO NACIONAL"/>
    <m/>
    <s v="https://mpesije.jne.gob.pe/apidocs/1c31e830-418b-4987-adc6-47f3007dd2bb.jpg"/>
    <s v="https://mpesije.jne.gob.pe/apidocs/e75ecce3-6eb6-4315-b4a5-a3755c2dce0c.pdf"/>
    <s v="PARTIDO CIVICO OBRAS - 07250032.pdf"/>
    <n v="75"/>
    <s v="60+"/>
    <s v="PERÚ"/>
    <x v="1"/>
    <s v="LIMA"/>
    <s v="ÚNICO NACIONAL"/>
  </r>
  <r>
    <x v="3"/>
    <s v="07412350"/>
    <s v="GAGO RODRIGUEZ, WALTER FRANCISCO"/>
    <s v="07412350"/>
    <s v="GAGO"/>
    <s v="RODRIGUEZ"/>
    <s v="WALTER FRANCISCO"/>
    <s v="MASCULINO"/>
    <s v="13/07/1961"/>
    <s v="PERÚ"/>
    <s v="LIMA"/>
    <s v="CAÑETE"/>
    <s v="SAN VICENTE DE CAÑETE"/>
    <s v="SENADOR"/>
    <m/>
    <s v="ÚNICO NACIONAL"/>
    <m/>
    <s v="https://mpesije.jne.gob.pe/apidocs/7d624b9c-c411-46c2-9368-5f1280b8646b.jpg"/>
    <s v="https://mpesije.jne.gob.pe/apidocs/75515f26-f0c4-4a79-9c09-d93ed7aae1bd.pdf"/>
    <s v="PARTIDO CIVICO OBRAS - 07412350.pdf"/>
    <n v="64"/>
    <s v="60+"/>
    <s v="PERÚ"/>
    <x v="0"/>
    <s v="LIMA"/>
    <s v="ÚNICO NACIONAL"/>
  </r>
  <r>
    <x v="3"/>
    <s v="00422672"/>
    <s v="TICONA COHAILA, JUANA GUISELLA"/>
    <s v="00422672"/>
    <s v="TICONA"/>
    <s v="COHAILA"/>
    <s v="JUANA GUISELLA"/>
    <s v="FEMENINO"/>
    <s v="30/05/1963"/>
    <s v="PERÚ"/>
    <s v="TACNA"/>
    <s v="TACNA"/>
    <s v="TACNA"/>
    <s v="SENADOR"/>
    <m/>
    <s v="TACNA"/>
    <m/>
    <s v="https://mpesije.jne.gob.pe/apidocs/35cb22aa-fee5-4341-b50c-2eaac0ddbb13.jpg"/>
    <s v="https://mpesije.jne.gob.pe/apidocs/a3916658-d255-4bd2-b224-1059d32c8bbf.pdf"/>
    <s v="PARTIDO CIVICO OBRAS - 00422672.pdf"/>
    <n v="63"/>
    <s v="60+"/>
    <s v="PERÚ"/>
    <x v="1"/>
    <s v="TACNA"/>
    <s v="TACNA"/>
  </r>
  <r>
    <x v="4"/>
    <s v="06519219"/>
    <s v="BONIFAZ CARMONA, NORA"/>
    <s v="06519219"/>
    <s v="BONIFAZ"/>
    <s v="CARMONA"/>
    <s v="NORA"/>
    <s v="FEMENINO"/>
    <s v="08/06/1954"/>
    <s v="PERÚ"/>
    <s v="LIMA"/>
    <s v="LIMA"/>
    <s v="LIMA"/>
    <s v="SENADOR"/>
    <m/>
    <s v="LIMA METROPOLITANA"/>
    <m/>
    <s v="https://mpesije.jne.gob.pe/apidocs/f8a01e27-807f-4d43-a555-48f03cfe5baf.jpg"/>
    <s v="https://mpesije.jne.gob.pe/apidocs/d092ca57-99b7-480c-bab3-4b7d3b8114ba.pdf"/>
    <s v="PARTIDO DEL BUEN GOBIERNO - 06519219.pdf"/>
    <n v="72"/>
    <s v="60+"/>
    <s v="PERÚ"/>
    <x v="1"/>
    <s v="LIMA"/>
    <s v="LIMA METROPOLITANA"/>
  </r>
  <r>
    <x v="4"/>
    <s v="43360309"/>
    <s v="CABALLERO LEON, CARLOS DAVID"/>
    <s v="43360309"/>
    <s v="CABALLERO"/>
    <s v="LEON"/>
    <s v="CARLOS DAVID"/>
    <s v="MASCULINO"/>
    <s v="03/05/1963"/>
    <s v="PERÚ"/>
    <s v="LIMA"/>
    <s v="LIMA"/>
    <s v="LIMA"/>
    <s v="SEGUNDO VICEPRESIDENTE DE LA REPÚBLICA"/>
    <s v="SENADOR"/>
    <s v="ÚNICO NACIONAL"/>
    <m/>
    <s v="https://mpesije.jne.gob.pe/apidocs/22e7b027-0df4-461c-8fd9-1bc297a95caf.jpg"/>
    <s v="https://mpesije.jne.gob.pe/apidocs/b7946182-ad32-409c-bb75-9ea7498fa803.pdf"/>
    <s v="PARTIDO DEL BUEN GOBIERNO - 43360309.pdf"/>
    <n v="63"/>
    <s v="60+"/>
    <s v="PERÚ"/>
    <x v="0"/>
    <s v="LIMA"/>
    <s v="ÚNICO NACIONAL"/>
  </r>
  <r>
    <x v="4"/>
    <s v="07793210"/>
    <s v="FIGALLO RIVADENEYRA, FLAVIO FELIPE"/>
    <s v="07793210"/>
    <s v="FIGALLO"/>
    <s v="RIVADENEYRA"/>
    <s v="FLAVIO FELIPE"/>
    <s v="MASCULINO"/>
    <s v="24/12/1953"/>
    <s v="PERÚ"/>
    <s v="LIMA"/>
    <s v="LIMA"/>
    <s v="MIRAFLORES"/>
    <s v="SENADOR"/>
    <m/>
    <s v="ÚNICO NACIONAL"/>
    <m/>
    <s v="https://mpesije.jne.gob.pe/apidocs/3e078903-65e7-4fe8-9c87-89be503223a7.jpg"/>
    <s v="https://mpesije.jne.gob.pe/apidocs/bfbc620a-52a4-4ac5-8182-621d447b7fba.pdf"/>
    <s v="PARTIDO DEL BUEN GOBIERNO - 07793210.pdf"/>
    <n v="72"/>
    <s v="60+"/>
    <s v="PERÚ"/>
    <x v="0"/>
    <s v="LIMA"/>
    <s v="ÚNICO NACIONAL"/>
  </r>
  <r>
    <x v="4"/>
    <s v="30762511"/>
    <s v="FLORES SUAREZ, JUVER NILSON"/>
    <s v="30762511"/>
    <s v="FLORES"/>
    <s v="SUAREZ"/>
    <s v="JUVER NILSON"/>
    <s v="MASCULINO"/>
    <s v="05/04/1973"/>
    <s v="PERÚ"/>
    <s v="AREQUIPA"/>
    <s v="CAMANA"/>
    <s v="CAMANA"/>
    <s v="SENADOR"/>
    <m/>
    <s v="AREQUIPA"/>
    <m/>
    <s v="https://mpesije.jne.gob.pe/apidocs/9d17d4fc-7d1c-4e45-96ab-4361c6fe286a.jpg"/>
    <s v="https://mpesije.jne.gob.pe/apidocs/4c33feea-65d4-4394-9edb-000badafb43b.pdf"/>
    <s v="PARTIDO DEL BUEN GOBIERNO - 30762511.pdf"/>
    <n v="53"/>
    <s v="50-59"/>
    <s v="PERÚ"/>
    <x v="0"/>
    <s v="AREQUIPA"/>
    <s v="AREQUIPA"/>
  </r>
  <r>
    <x v="4"/>
    <s v="07619185"/>
    <s v="GAVIDIA RODRIGUEZ, JORGE OCTAVIO"/>
    <s v="07619185"/>
    <s v="GAVIDIA"/>
    <s v="RODRIGUEZ"/>
    <s v="JORGE OCTAVIO"/>
    <s v="MASCULINO"/>
    <s v="16/06/1968"/>
    <s v="PERÚ"/>
    <s v="LIMA"/>
    <s v="LIMA"/>
    <s v="MIRAFLORES"/>
    <s v="SENADOR"/>
    <m/>
    <s v="ÚNICO NACIONAL"/>
    <s v="Mayormente resido en: Bartolomé de las Casas 296, Santa Patricia, La Molina, Lima (Alquilado)"/>
    <s v="https://mpesije.jne.gob.pe/apidocs/7348e9ca-1d86-470e-af99-1be833a166d3.jpg"/>
    <s v="https://mpesije.jne.gob.pe/apidocs/38c9ab76-8a7b-4b09-8251-712162294305.pdf"/>
    <s v="PARTIDO DEL BUEN GOBIERNO - 07619185.pdf"/>
    <n v="57"/>
    <s v="50-59"/>
    <s v="PERÚ"/>
    <x v="0"/>
    <s v="LIMA"/>
    <s v="ÚNICO NACIONAL"/>
  </r>
  <r>
    <x v="4"/>
    <s v="07231335"/>
    <s v="ITURREGUI BYRNE, PATRICIA MILAGROS"/>
    <s v="07231335"/>
    <s v="ITURREGUI"/>
    <s v="BYRNE"/>
    <s v="PATRICIA MILAGROS"/>
    <s v="FEMENINO"/>
    <s v="18/05/1953"/>
    <s v="PERÚ"/>
    <s v="LIMA"/>
    <s v="LIMA"/>
    <s v="LIMA"/>
    <s v="SENADOR"/>
    <m/>
    <s v="ÚNICO NACIONAL"/>
    <m/>
    <s v="https://mpesije.jne.gob.pe/apidocs/1596b93e-f1f1-44e5-a76c-386c100a888d.jpg"/>
    <s v="https://mpesije.jne.gob.pe/apidocs/70880c4c-58a3-4fcf-81e8-c7de76fa1446.pdf"/>
    <s v="PARTIDO DEL BUEN GOBIERNO - 07231335.pdf"/>
    <n v="73"/>
    <s v="60+"/>
    <s v="PERÚ"/>
    <x v="1"/>
    <s v="LIMA"/>
    <s v="ÚNICO NACIONAL"/>
  </r>
  <r>
    <x v="4"/>
    <s v="06876967"/>
    <s v="MATUTE CHARUN, SUSANA FLOR DE MARIA"/>
    <s v="06876967"/>
    <s v="MATUTE"/>
    <s v="CHARUN"/>
    <s v="SUSANA FLOR DE MARIA"/>
    <s v="FEMENINO"/>
    <s v="12/06/1965"/>
    <s v="PERÚ"/>
    <s v="LIMA"/>
    <s v="LIMA"/>
    <s v="PUEBLO LIBRE"/>
    <s v="PRIMER VICEPRESIDENTE DE LA REPÚBLICA"/>
    <s v="SENADOR"/>
    <s v="ÚNICO NACIONAL"/>
    <m/>
    <s v="https://mpesije.jne.gob.pe/apidocs/63c487f6-0e92-45ec-8d58-5fed3a35e368.jpg"/>
    <s v="https://mpesije.jne.gob.pe/apidocs/650515c4-438a-47e5-8f0f-1494a7716244.pdf"/>
    <s v="PARTIDO DEL BUEN GOBIERNO - 06876967.pdf"/>
    <n v="61"/>
    <s v="60+"/>
    <s v="PERÚ"/>
    <x v="1"/>
    <s v="LIMA"/>
    <s v="ÚNICO NACIONAL"/>
  </r>
  <r>
    <x v="5"/>
    <s v="08235876"/>
    <s v="ALCORTA SUERO, MARIA LOURDES PIA LUISA"/>
    <s v="08235876"/>
    <s v="ALCORTA"/>
    <s v="SUERO"/>
    <s v="MARIA LOURDES PIA LUISA"/>
    <s v="FEMENINO"/>
    <s v="21/06/1951"/>
    <s v="PERÚ"/>
    <s v="LIMA"/>
    <s v="LIMA"/>
    <s v="MIRAFLORES"/>
    <s v="SENADOR"/>
    <m/>
    <s v="ÚNICO NACIONAL"/>
    <m/>
    <s v="https://mpesije.jne.gob.pe/apidocs/0a50619c-a4b3-4580-bdee-146c75827d2c.jpg"/>
    <s v="https://mpesije.jne.gob.pe/apidocs/440ebb09-edfe-4ca7-9d2c-8659c6aff6f5.pdf"/>
    <s v="RENOVACION POPULAR - 08235876.pdf"/>
    <n v="74"/>
    <s v="60+"/>
    <s v="PERÚ"/>
    <x v="1"/>
    <s v="LIMA"/>
    <s v="ÚNICO NACIONAL"/>
  </r>
  <r>
    <x v="5"/>
    <s v="25799622"/>
    <s v="AMPUERO MEZA, KATHERINE MILAGROS"/>
    <s v="25799622"/>
    <s v="AMPUERO"/>
    <s v="MEZA"/>
    <s v="KATHERINE MILAGROS"/>
    <s v="FEMENINO"/>
    <s v="05/11/1975"/>
    <s v="PERÚ"/>
    <s v="AMAZONAS"/>
    <s v="CHACHAPOYAS"/>
    <s v="CHACHAPOYAS"/>
    <s v="SENADOR"/>
    <m/>
    <s v="ÚNICO NACIONAL"/>
    <m/>
    <s v="https://mpesije.jne.gob.pe/apidocs/6574b5ec-9453-4117-8f95-80cf0bcb4371.jpg"/>
    <s v="https://mpesije.jne.gob.pe/apidocs/f97f7d87-0cf7-4366-a4e3-c885d8aa1977.pdf"/>
    <s v="RENOVACION POPULAR - 25799622.pdf"/>
    <n v="50"/>
    <s v="50-59"/>
    <s v="PERÚ"/>
    <x v="1"/>
    <s v="AMAZONAS"/>
    <s v="ÚNICO NACIONAL"/>
  </r>
  <r>
    <x v="5"/>
    <s v="43285320"/>
    <s v="CALISTO GIAMPIETRI, FRANCISCO JOSE"/>
    <s v="43285320"/>
    <s v="CALISTO"/>
    <s v="GIAMPIETRI"/>
    <s v="FRANCISCO JOSE"/>
    <s v="MASCULINO"/>
    <s v="28/02/1961"/>
    <s v="PERÚ"/>
    <s v="CALLAO"/>
    <s v="CALLAO"/>
    <s v="BELLAVISTA"/>
    <s v="SENADOR"/>
    <m/>
    <s v="LIMA METROPOLITANA"/>
    <m/>
    <s v="https://mpesije.jne.gob.pe/apidocs/552d520b-f83d-4e86-86c4-f55840c252be.jpg"/>
    <s v="https://mpesije.jne.gob.pe/apidocs/321d680e-20b8-4049-94a9-a0a00b3fde03.pdf"/>
    <s v="RENOVACION POPULAR - 43285320.pdf"/>
    <n v="65"/>
    <s v="60+"/>
    <s v="PERÚ"/>
    <x v="0"/>
    <s v="CALLAO"/>
    <s v="LIMA METROPOLITANA"/>
  </r>
  <r>
    <x v="5"/>
    <s v="07852432"/>
    <s v="JAUREGUI MARTINEZ DE AGUAYO, MARIA DE LOS MILAGROS JACKELINE"/>
    <s v="07852432"/>
    <s v="JAUREGUI"/>
    <s v="MARTINEZ DE AGUAYO"/>
    <s v="MARIA DE LOS MILAGROS JACKELINE"/>
    <s v="FEMENINO"/>
    <s v="16/06/1963"/>
    <s v="PERÚ"/>
    <s v="JUNIN"/>
    <s v="HUANCAYO"/>
    <s v="HUANCAYO"/>
    <s v="SENADOR"/>
    <m/>
    <s v="LIMA METROPOLITANA"/>
    <m/>
    <s v="https://mpesije.jne.gob.pe/apidocs/b0d9cd02-a849-4579-8091-2c6903eec61a.jpg"/>
    <s v="https://mpesije.jne.gob.pe/apidocs/ae9a2ed0-e060-4adc-8ea5-81473a1d59a1.pdf"/>
    <s v="RENOVACION POPULAR - 07852432.pdf"/>
    <n v="62"/>
    <s v="60+"/>
    <s v="PERÚ"/>
    <x v="1"/>
    <s v="JUNIN"/>
    <s v="LIMA METROPOLITANA"/>
  </r>
  <r>
    <x v="5"/>
    <s v="07845838"/>
    <s v="LÓPEZ ALIAGA CAZORLA, RAFAEL BERNARDO"/>
    <s v="07845838"/>
    <s v="LÓPEZ ALIAGA"/>
    <s v="CAZORLA"/>
    <s v="RAFAEL BERNARDO"/>
    <s v="MASCULINO"/>
    <s v="11/02/1961"/>
    <s v="PERÚ"/>
    <s v="LIMA"/>
    <s v="LIMA"/>
    <s v="LIMA"/>
    <s v="PRESIDENTE DE LA REPÚBLICA"/>
    <s v="SENADOR"/>
    <s v="ÚNICO NACIONAL"/>
    <m/>
    <s v="https://mpesije.jne.gob.pe/apidocs/b2e00ae2-1e50-4ad3-a103-71fc7e4e8255.jpg"/>
    <s v="https://mpesije.jne.gob.pe/apidocs/3d7498fe-7a54-4f7d-882e-c5cdfd2ba26b.pdf"/>
    <s v="RENOVACION POPULAR - 07845838.pdf"/>
    <n v="65"/>
    <s v="60+"/>
    <s v="PERÚ"/>
    <x v="0"/>
    <s v="LIMA"/>
    <s v="ÚNICO NACIONAL"/>
  </r>
  <r>
    <x v="5"/>
    <s v="01539305"/>
    <s v="MANCHA PINEDA, ESTANISLAO EDGAR"/>
    <s v="01539305"/>
    <s v="MANCHA"/>
    <s v="PINEDA"/>
    <s v="ESTANISLAO EDGAR"/>
    <s v="MASCULINO"/>
    <s v="19/11/1973"/>
    <s v="PERÚ"/>
    <s v="PUNO"/>
    <s v="AZANGARO"/>
    <s v="SAN ANTON"/>
    <s v="SENADOR"/>
    <m/>
    <s v="ÚNICO NACIONAL"/>
    <m/>
    <s v="https://mpesije.jne.gob.pe/apidocs/278ecb43-645b-460c-82f0-b310cbb72289.jpg"/>
    <s v="https://mpesije.jne.gob.pe/apidocs/cff4c882-00b3-4a6a-aca5-7bbc07ae3837.pdf"/>
    <s v="RENOVACION POPULAR - 01539305.pdf"/>
    <n v="52"/>
    <s v="50-59"/>
    <s v="PERÚ"/>
    <x v="0"/>
    <s v="PUNO"/>
    <s v="ÚNICO NACIONAL"/>
  </r>
  <r>
    <x v="5"/>
    <s v="45209282"/>
    <s v="MUÑANTE BARRIOS, ALEJANDRO"/>
    <s v="45209282"/>
    <s v="MUÑANTE"/>
    <s v="BARRIOS"/>
    <s v="ALEJANDRO"/>
    <s v="MASCULINO"/>
    <s v="02/03/1987"/>
    <s v="PERÚ"/>
    <s v="LORETO"/>
    <s v="MAYNAS"/>
    <s v="IQUITOS"/>
    <s v="SENADOR"/>
    <m/>
    <s v="ÚNICO NACIONAL"/>
    <s v="ES ACTUALMENTE CONGRESISTA."/>
    <s v="https://mpesije.jne.gob.pe/apidocs/bcf375ae-6a90-4f80-8ed3-37c2c43efbca.jpg"/>
    <s v="https://mpesije.jne.gob.pe/apidocs/60f97c6b-ac8f-414a-b4f9-e45f6f680f17.pdf"/>
    <s v="RENOVACION POPULAR - 45209282.pdf"/>
    <n v="39"/>
    <s v="30-39"/>
    <s v="PERÚ"/>
    <x v="0"/>
    <s v="LORETO"/>
    <s v="ÚNICO NACIONAL"/>
  </r>
  <r>
    <x v="5"/>
    <s v="06504611"/>
    <s v="VELASQUEZ GARCIA, MIGUEL ANGEL"/>
    <s v="06504611"/>
    <s v="VELASQUEZ"/>
    <s v="GARCIA"/>
    <s v="MIGUEL ANGEL"/>
    <s v="MASCULINO"/>
    <s v="05/01/1962"/>
    <s v="PERÚ"/>
    <s v="LIMA"/>
    <s v="LIMA"/>
    <s v="JESUS MARIA"/>
    <s v="SENADOR"/>
    <m/>
    <s v="PERUANOS RESIDENTES EN EL EXTRANJERO"/>
    <m/>
    <s v="https://mpesije.jne.gob.pe/apidocs/f526053a-32bd-4f15-b314-92c9603db466.jpg"/>
    <s v="https://mpesije.jne.gob.pe/apidocs/10a7d2e3-71b6-48fe-adf1-e974a7119e3f.pdf"/>
    <s v="RENOVACION POPULAR - 06504611.pdf"/>
    <n v="64"/>
    <s v="60+"/>
    <s v="PERÚ"/>
    <x v="0"/>
    <s v="LIMA"/>
    <s v="PERUANOS RESIDENTES EN EL EXTRANJER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 Table 2" cacheId="21" applyNumberFormats="0" applyBorderFormats="0" applyFontFormats="0" applyPatternFormats="0" applyAlignmentFormats="0" applyWidthHeightFormats="0" dataCaption="" updatedVersion="8" compact="0" compactData="0" multipleFieldFilters="0">
  <location ref="A1:D9" firstHeaderRow="1" firstDataRow="2" firstDataCol="1"/>
  <pivotFields count="26">
    <pivotField name="ORGANIZACION_POLITICA" axis="axisRow" compact="0" outline="0" multipleItemSelectionAllowed="1" showAll="0" sortType="ascending">
      <items count="8">
        <item x="0"/>
        <item x="1"/>
        <item x="2"/>
        <item x="3"/>
        <item x="4"/>
        <item x="5"/>
        <item m="1" x="6"/>
        <item t="default"/>
      </items>
    </pivotField>
    <pivotField name="DNI_CANDIDATO" dataField="1" compact="0" outline="0" multipleItemSelectionAllowed="1" showAll="0"/>
    <pivotField name="CANDIDATO" compact="0" outline="0" multipleItemSelectionAllowed="1" showAll="0"/>
    <pivotField name="DOCUMENTO_IDENTIDAD" compact="0" outline="0" multipleItemSelectionAllowed="1" showAll="0"/>
    <pivotField name="APELLIDO_PATERNO" compact="0" outline="0" multipleItemSelectionAllowed="1" showAll="0"/>
    <pivotField name="APELLIDO_MATERNO" compact="0" outline="0" multipleItemSelectionAllowed="1" showAll="0"/>
    <pivotField name="NOMBRES" compact="0" outline="0" multipleItemSelectionAllowed="1" showAll="0"/>
    <pivotField name="SEXO" compact="0" outline="0" multipleItemSelectionAllowed="1" showAll="0"/>
    <pivotField name="FECHA_NACIMIENTO" compact="0" outline="0" multipleItemSelectionAllowed="1" showAll="0"/>
    <pivotField name="PAIS_NACIMIENTO" compact="0" outline="0" multipleItemSelectionAllowed="1" showAll="0"/>
    <pivotField name="DEPARTAMENTO_NACIMIENTO" compact="0" outline="0" multipleItemSelectionAllowed="1" showAll="0"/>
    <pivotField name="PROVINCIA_NACIMIENTO" compact="0" outline="0" multipleItemSelectionAllowed="1" showAll="0"/>
    <pivotField name="DISTRITO_NACIMIENTO" compact="0" outline="0" multipleItemSelectionAllowed="1" showAll="0"/>
    <pivotField name="PRIMER_CARGO_ELECCION" compact="0" outline="0" multipleItemSelectionAllowed="1" showAll="0"/>
    <pivotField name="SEGUNDO_CARGO_ELECION" compact="0" outline="0" multipleItemSelectionAllowed="1" showAll="0"/>
    <pivotField name="DISTRITO_ELEC" compact="0" outline="0" multipleItemSelectionAllowed="1" showAll="0"/>
    <pivotField name="INFORMACION_COMPLEMENTARIA" compact="0" outline="0" multipleItemSelectionAllowed="1" showAll="0"/>
    <pivotField name="URL_FOTO" compact="0" outline="0" multipleItemSelectionAllowed="1" showAll="0"/>
    <pivotField name="TXRUTAVIRTUAL" compact="0" outline="0" multipleItemSelectionAllowed="1" showAll="0"/>
    <pivotField name="TXNOMBREDOCUMENTO" compact="0" outline="0" multipleItemSelectionAllowed="1" showAll="0"/>
    <pivotField name="EDAD" compact="0" outline="0" multipleItemSelectionAllowed="1" showAll="0"/>
    <pivotField name="RANGO_EDAD" compact="0" outline="0" multipleItemSelectionAllowed="1" showAll="0"/>
    <pivotField name="PAÍS_LIMPIO" compact="0" outline="0" multipleItemSelectionAllowed="1" showAll="0"/>
    <pivotField name="SEXO_LIMPIO" axis="axisCol" compact="0" outline="0" multipleItemSelectionAllowed="1" showAll="0" sortType="ascending">
      <items count="5">
        <item m="1" x="2"/>
        <item x="1"/>
        <item x="0"/>
        <item m="1" x="3"/>
        <item t="default"/>
      </items>
    </pivotField>
    <pivotField name="DEP_NAC_LIMPIO" compact="0" outline="0" multipleItemSelectionAllowed="1" showAll="0"/>
    <pivotField name="DISTRITO_ELEC_LIMPIO" compact="0" outline="0" multipleItemSelectionAllowed="1" showAll="0"/>
  </pivotFields>
  <rowFields count="1">
    <field x="0"/>
  </rowFields>
  <rowItems count="7">
    <i>
      <x/>
    </i>
    <i>
      <x v="1"/>
    </i>
    <i>
      <x v="2"/>
    </i>
    <i>
      <x v="3"/>
    </i>
    <i>
      <x v="4"/>
    </i>
    <i>
      <x v="5"/>
    </i>
    <i t="grand">
      <x/>
    </i>
  </rowItems>
  <colFields count="1">
    <field x="23"/>
  </colFields>
  <colItems count="3">
    <i>
      <x v="1"/>
    </i>
    <i>
      <x v="2"/>
    </i>
    <i t="grand">
      <x/>
    </i>
  </colItems>
  <dataFields count="1">
    <dataField name="COUNTA of DNI_CANDIDATO"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 Table 2 2" cacheId="16" applyNumberFormats="0" applyBorderFormats="0" applyFontFormats="0" applyPatternFormats="0" applyAlignmentFormats="0" applyWidthHeightFormats="0" dataCaption="" updatedVersion="8" compact="0" compactData="0" multipleFieldFilters="0">
  <location ref="A12:D21" firstHeaderRow="1" firstDataRow="2" firstDataCol="1"/>
  <pivotFields count="26">
    <pivotField name="ORGANIZACION_POLITICA" axis="axisRow" compact="0" outline="0" multipleItemSelectionAllowed="1" showAll="0" sortType="ascending">
      <items count="8">
        <item x="0"/>
        <item x="1"/>
        <item x="2"/>
        <item x="3"/>
        <item x="4"/>
        <item x="5"/>
        <item x="6"/>
        <item t="default"/>
      </items>
    </pivotField>
    <pivotField name="DNI_CANDIDATO" compact="0" outline="0" multipleItemSelectionAllowed="1" showAll="0"/>
    <pivotField name="CANDIDATO" compact="0" outline="0" multipleItemSelectionAllowed="1" showAll="0"/>
    <pivotField name="DOCUMENTO_IDENTIDAD" compact="0" outline="0" multipleItemSelectionAllowed="1" showAll="0"/>
    <pivotField name="APELLIDO_PATERNO" compact="0" outline="0" multipleItemSelectionAllowed="1" showAll="0"/>
    <pivotField name="APELLIDO_MATERNO" compact="0" outline="0" multipleItemSelectionAllowed="1" showAll="0"/>
    <pivotField name="NOMBRES" compact="0" outline="0" multipleItemSelectionAllowed="1" showAll="0"/>
    <pivotField name="SEXO" compact="0" outline="0" multipleItemSelectionAllowed="1" showAll="0"/>
    <pivotField name="FECHA_NACIMIENTO" compact="0" outline="0" multipleItemSelectionAllowed="1" showAll="0"/>
    <pivotField name="PAIS_NACIMIENTO" compact="0" outline="0" multipleItemSelectionAllowed="1" showAll="0"/>
    <pivotField name="DEPARTAMENTO_NACIMIENTO" compact="0" outline="0" multipleItemSelectionAllowed="1" showAll="0"/>
    <pivotField name="PROVINCIA_NACIMIENTO" compact="0" outline="0" multipleItemSelectionAllowed="1" showAll="0"/>
    <pivotField name="DISTRITO_NACIMIENTO" compact="0" outline="0" multipleItemSelectionAllowed="1" showAll="0"/>
    <pivotField name="PRIMER_CARGO_ELECCION" compact="0" outline="0" multipleItemSelectionAllowed="1" showAll="0"/>
    <pivotField name="SEGUNDO_CARGO_ELECION" compact="0" outline="0" multipleItemSelectionAllowed="1" showAll="0"/>
    <pivotField name="DISTRITO_ELEC" compact="0" outline="0" multipleItemSelectionAllowed="1" showAll="0"/>
    <pivotField name="INFORMACION_COMPLEMENTARIA" compact="0" outline="0" multipleItemSelectionAllowed="1" showAll="0"/>
    <pivotField name="URL_FOTO" compact="0" outline="0" multipleItemSelectionAllowed="1" showAll="0"/>
    <pivotField name="TXRUTAVIRTUAL" compact="0" outline="0" multipleItemSelectionAllowed="1" showAll="0"/>
    <pivotField name="TXNOMBREDOCUMENTO" compact="0" outline="0" multipleItemSelectionAllowed="1" showAll="0"/>
    <pivotField name="EDAD" dataField="1" compact="0" outline="0" multipleItemSelectionAllowed="1" showAll="0"/>
    <pivotField name="RANGO_EDAD" compact="0" outline="0" multipleItemSelectionAllowed="1" showAll="0"/>
    <pivotField name="PAÍS_LIMPIO" compact="0" outline="0" multipleItemSelectionAllowed="1" showAll="0"/>
    <pivotField name="SEXO_LIMPIO" compact="0" outline="0" multipleItemSelectionAllowed="1" showAll="0"/>
    <pivotField name="DEP_NAC_LIMPIO" compact="0" outline="0" multipleItemSelectionAllowed="1" showAll="0"/>
    <pivotField name="DISTRITO_ELEC_LIMPIO" compact="0" outline="0" multipleItemSelectionAllowed="1" showAll="0"/>
  </pivotFields>
  <rowFields count="1">
    <field x="0"/>
  </rowFields>
  <rowItems count="8">
    <i>
      <x/>
    </i>
    <i>
      <x v="1"/>
    </i>
    <i>
      <x v="2"/>
    </i>
    <i>
      <x v="3"/>
    </i>
    <i>
      <x v="4"/>
    </i>
    <i>
      <x v="5"/>
    </i>
    <i>
      <x v="6"/>
    </i>
    <i t="grand">
      <x/>
    </i>
  </rowItems>
  <colFields count="1">
    <field x="-2"/>
  </colFields>
  <colItems count="3">
    <i>
      <x/>
    </i>
    <i i="1">
      <x v="1"/>
    </i>
    <i i="2">
      <x v="2"/>
    </i>
  </colItems>
  <dataFields count="3">
    <dataField name="AVERAGE of EDAD" fld="20" subtotal="average" baseField="0"/>
    <dataField name="MAX of EDAD" fld="20" subtotal="max" baseField="0"/>
    <dataField name="MIN of EDAD" fld="20" subtotal="min"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D66" sqref="D66"/>
    </sheetView>
  </sheetViews>
  <sheetFormatPr baseColWidth="10" defaultColWidth="14.5" defaultRowHeight="15" customHeight="1" x14ac:dyDescent="0.2"/>
  <cols>
    <col min="1" max="20" width="8.6640625" customWidth="1"/>
    <col min="21" max="21" width="34.5" customWidth="1"/>
    <col min="22" max="27" width="8.6640625"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3" t="s">
        <v>22</v>
      </c>
      <c r="X1" s="3" t="s">
        <v>23</v>
      </c>
      <c r="Y1" s="3" t="s">
        <v>24</v>
      </c>
      <c r="Z1" s="3" t="s">
        <v>25</v>
      </c>
      <c r="AA1" s="4"/>
    </row>
    <row r="2" spans="1:27" x14ac:dyDescent="0.2">
      <c r="A2" s="5" t="s">
        <v>26</v>
      </c>
      <c r="B2" s="5" t="s">
        <v>27</v>
      </c>
      <c r="C2" s="5" t="s">
        <v>28</v>
      </c>
      <c r="D2" s="5" t="s">
        <v>27</v>
      </c>
      <c r="E2" s="5" t="s">
        <v>29</v>
      </c>
      <c r="F2" s="5" t="s">
        <v>30</v>
      </c>
      <c r="G2" s="5" t="s">
        <v>31</v>
      </c>
      <c r="H2" s="5" t="s">
        <v>32</v>
      </c>
      <c r="I2" s="5" t="s">
        <v>33</v>
      </c>
      <c r="J2" s="5" t="s">
        <v>34</v>
      </c>
      <c r="K2" s="5" t="s">
        <v>35</v>
      </c>
      <c r="L2" s="5" t="s">
        <v>35</v>
      </c>
      <c r="M2" s="5" t="s">
        <v>35</v>
      </c>
      <c r="N2" s="5" t="s">
        <v>36</v>
      </c>
      <c r="P2" s="5" t="s">
        <v>37</v>
      </c>
      <c r="R2" s="5" t="s">
        <v>38</v>
      </c>
      <c r="S2" s="5" t="s">
        <v>39</v>
      </c>
      <c r="T2" s="5" t="str">
        <f t="shared" ref="T2:T33" si="0">CONCATENATE(A2," - ",B2,".pdf")</f>
        <v>AHORA NACION - AN - 07755878.pdf</v>
      </c>
      <c r="U2" s="6">
        <f t="shared" ref="U2:U33" ca="1" si="1">IF(I2="","",DATEDIF(DATE(VALUE(RIGHT(I2,4)),VALUE(MID(I2,4,2)),VALUE(LEFT(I2,2))),TODAY(),"Y"))</f>
        <v>69</v>
      </c>
      <c r="V2" s="6" t="str">
        <f t="shared" ref="V2:V33" ca="1" si="2">IF(U2="","",IF(U2&lt;30,"18-29",IF(U2&lt;40,"30-39",IF(U2&lt;50,"40-49",IF(U2&lt;60,"50-59","60+")))))</f>
        <v>60+</v>
      </c>
      <c r="W2" s="6" t="str">
        <f t="shared" ref="W2:W33" si="3">IF(UPPER(TRIM(J2))="PERU","PERÚ",UPPER(TRIM(J2)))</f>
        <v>PERÚ</v>
      </c>
      <c r="X2" s="6" t="str">
        <f t="shared" ref="X2:X33" si="4">UPPER(TRIM(H2))</f>
        <v>MASCULINO</v>
      </c>
      <c r="Y2" s="6" t="str">
        <f t="shared" ref="Y2:Y33" si="5">UPPER(TRIM(K2))</f>
        <v>AREQUIPA</v>
      </c>
      <c r="Z2" s="6" t="str">
        <f t="shared" ref="Z2:Z33" si="6">UPPER(TRIM(P2))</f>
        <v>ÚNICO NACIONAL</v>
      </c>
      <c r="AA2" s="6"/>
    </row>
    <row r="3" spans="1:27" x14ac:dyDescent="0.2">
      <c r="A3" s="5" t="s">
        <v>26</v>
      </c>
      <c r="B3" s="5" t="s">
        <v>40</v>
      </c>
      <c r="C3" s="5" t="s">
        <v>41</v>
      </c>
      <c r="D3" s="5" t="s">
        <v>40</v>
      </c>
      <c r="E3" s="5" t="s">
        <v>42</v>
      </c>
      <c r="F3" s="5" t="s">
        <v>43</v>
      </c>
      <c r="G3" s="5" t="s">
        <v>44</v>
      </c>
      <c r="H3" s="5" t="s">
        <v>32</v>
      </c>
      <c r="I3" s="5" t="s">
        <v>45</v>
      </c>
      <c r="J3" s="5" t="s">
        <v>34</v>
      </c>
      <c r="K3" s="5" t="s">
        <v>46</v>
      </c>
      <c r="L3" s="5" t="s">
        <v>46</v>
      </c>
      <c r="M3" s="5" t="s">
        <v>46</v>
      </c>
      <c r="N3" s="5" t="s">
        <v>47</v>
      </c>
      <c r="O3" s="5" t="s">
        <v>36</v>
      </c>
      <c r="P3" s="5" t="s">
        <v>37</v>
      </c>
      <c r="R3" s="5" t="s">
        <v>48</v>
      </c>
      <c r="S3" s="5" t="s">
        <v>49</v>
      </c>
      <c r="T3" s="5" t="str">
        <f t="shared" si="0"/>
        <v>AHORA NACION - AN - 25331980.pdf</v>
      </c>
      <c r="U3" s="6">
        <f t="shared" ca="1" si="1"/>
        <v>75</v>
      </c>
      <c r="V3" s="6" t="str">
        <f t="shared" ca="1" si="2"/>
        <v>60+</v>
      </c>
      <c r="W3" s="6" t="str">
        <f t="shared" si="3"/>
        <v>PERÚ</v>
      </c>
      <c r="X3" s="6" t="str">
        <f t="shared" si="4"/>
        <v>MASCULINO</v>
      </c>
      <c r="Y3" s="6" t="str">
        <f t="shared" si="5"/>
        <v>LIMA</v>
      </c>
      <c r="Z3" s="6" t="str">
        <f t="shared" si="6"/>
        <v>ÚNICO NACIONAL</v>
      </c>
      <c r="AA3" s="6"/>
    </row>
    <row r="4" spans="1:27" x14ac:dyDescent="0.2">
      <c r="A4" s="5" t="s">
        <v>26</v>
      </c>
      <c r="B4" s="5" t="s">
        <v>50</v>
      </c>
      <c r="C4" s="5" t="s">
        <v>51</v>
      </c>
      <c r="D4" s="5" t="s">
        <v>50</v>
      </c>
      <c r="E4" s="5" t="s">
        <v>52</v>
      </c>
      <c r="F4" s="5" t="s">
        <v>53</v>
      </c>
      <c r="G4" s="5" t="s">
        <v>54</v>
      </c>
      <c r="H4" s="5" t="s">
        <v>55</v>
      </c>
      <c r="I4" s="5" t="s">
        <v>56</v>
      </c>
      <c r="J4" s="5" t="s">
        <v>34</v>
      </c>
      <c r="K4" s="5" t="s">
        <v>57</v>
      </c>
      <c r="L4" s="5" t="s">
        <v>57</v>
      </c>
      <c r="M4" s="5" t="s">
        <v>58</v>
      </c>
      <c r="N4" s="5" t="s">
        <v>36</v>
      </c>
      <c r="P4" s="5" t="s">
        <v>37</v>
      </c>
      <c r="R4" s="5" t="s">
        <v>59</v>
      </c>
      <c r="S4" s="5" t="s">
        <v>60</v>
      </c>
      <c r="T4" s="5" t="str">
        <f t="shared" si="0"/>
        <v>AHORA NACION - AN - 40204874.pdf</v>
      </c>
      <c r="U4" s="6">
        <f t="shared" ca="1" si="1"/>
        <v>46</v>
      </c>
      <c r="V4" s="6" t="str">
        <f t="shared" ca="1" si="2"/>
        <v>40-49</v>
      </c>
      <c r="W4" s="6" t="str">
        <f t="shared" si="3"/>
        <v>PERÚ</v>
      </c>
      <c r="X4" s="6" t="str">
        <f t="shared" si="4"/>
        <v>FEMENINO</v>
      </c>
      <c r="Y4" s="6" t="str">
        <f t="shared" si="5"/>
        <v>CUSCO</v>
      </c>
      <c r="Z4" s="6" t="str">
        <f t="shared" si="6"/>
        <v>ÚNICO NACIONAL</v>
      </c>
      <c r="AA4" s="6"/>
    </row>
    <row r="5" spans="1:27" x14ac:dyDescent="0.2">
      <c r="A5" s="5" t="s">
        <v>26</v>
      </c>
      <c r="B5" s="5" t="s">
        <v>61</v>
      </c>
      <c r="C5" s="5" t="s">
        <v>62</v>
      </c>
      <c r="D5" s="5" t="s">
        <v>61</v>
      </c>
      <c r="E5" s="5" t="s">
        <v>63</v>
      </c>
      <c r="F5" s="5" t="s">
        <v>64</v>
      </c>
      <c r="G5" s="5" t="s">
        <v>65</v>
      </c>
      <c r="H5" s="5" t="s">
        <v>55</v>
      </c>
      <c r="I5" s="5" t="s">
        <v>66</v>
      </c>
      <c r="J5" s="5" t="s">
        <v>34</v>
      </c>
      <c r="K5" s="5" t="s">
        <v>67</v>
      </c>
      <c r="L5" s="5" t="s">
        <v>67</v>
      </c>
      <c r="M5" s="5" t="s">
        <v>67</v>
      </c>
      <c r="N5" s="5" t="s">
        <v>36</v>
      </c>
      <c r="P5" s="5" t="s">
        <v>37</v>
      </c>
      <c r="R5" s="5" t="s">
        <v>68</v>
      </c>
      <c r="S5" s="5" t="s">
        <v>69</v>
      </c>
      <c r="T5" s="5" t="str">
        <f t="shared" si="0"/>
        <v>AHORA NACION - AN - 26705695.pdf</v>
      </c>
      <c r="U5" s="6">
        <f t="shared" ca="1" si="1"/>
        <v>51</v>
      </c>
      <c r="V5" s="6" t="str">
        <f t="shared" ca="1" si="2"/>
        <v>50-59</v>
      </c>
      <c r="W5" s="6" t="str">
        <f t="shared" si="3"/>
        <v>PERÚ</v>
      </c>
      <c r="X5" s="6" t="str">
        <f t="shared" si="4"/>
        <v>FEMENINO</v>
      </c>
      <c r="Y5" s="6" t="str">
        <f t="shared" si="5"/>
        <v>CAJAMARCA</v>
      </c>
      <c r="Z5" s="6" t="str">
        <f t="shared" si="6"/>
        <v>ÚNICO NACIONAL</v>
      </c>
      <c r="AA5" s="6"/>
    </row>
    <row r="6" spans="1:27" x14ac:dyDescent="0.2">
      <c r="A6" s="5" t="s">
        <v>70</v>
      </c>
      <c r="B6" s="5" t="s">
        <v>71</v>
      </c>
      <c r="C6" s="5" t="s">
        <v>72</v>
      </c>
      <c r="D6" s="5" t="s">
        <v>71</v>
      </c>
      <c r="E6" s="5" t="s">
        <v>73</v>
      </c>
      <c r="F6" s="5" t="s">
        <v>74</v>
      </c>
      <c r="G6" s="5" t="s">
        <v>75</v>
      </c>
      <c r="H6" s="5" t="s">
        <v>32</v>
      </c>
      <c r="I6" s="5" t="s">
        <v>76</v>
      </c>
      <c r="J6" s="5" t="s">
        <v>34</v>
      </c>
      <c r="K6" s="5" t="s">
        <v>77</v>
      </c>
      <c r="L6" s="5" t="s">
        <v>78</v>
      </c>
      <c r="M6" s="5" t="s">
        <v>78</v>
      </c>
      <c r="N6" s="5" t="s">
        <v>36</v>
      </c>
      <c r="P6" s="5" t="s">
        <v>79</v>
      </c>
      <c r="R6" s="5" t="s">
        <v>80</v>
      </c>
      <c r="S6" s="5" t="s">
        <v>81</v>
      </c>
      <c r="T6" s="5" t="str">
        <f t="shared" si="0"/>
        <v>FUERZA POPULAR - 08236035.pdf</v>
      </c>
      <c r="U6" s="6">
        <f t="shared" ca="1" si="1"/>
        <v>76</v>
      </c>
      <c r="V6" s="6" t="str">
        <f t="shared" ca="1" si="2"/>
        <v>60+</v>
      </c>
      <c r="W6" s="6" t="str">
        <f t="shared" si="3"/>
        <v>PERÚ</v>
      </c>
      <c r="X6" s="6" t="str">
        <f t="shared" si="4"/>
        <v>MASCULINO</v>
      </c>
      <c r="Y6" s="6" t="str">
        <f t="shared" si="5"/>
        <v>LA LIBERTAD</v>
      </c>
      <c r="Z6" s="6" t="str">
        <f t="shared" si="6"/>
        <v>LAMBAYEQUE</v>
      </c>
      <c r="AA6" s="6"/>
    </row>
    <row r="7" spans="1:27" x14ac:dyDescent="0.2">
      <c r="A7" s="5" t="s">
        <v>70</v>
      </c>
      <c r="B7" s="5" t="s">
        <v>82</v>
      </c>
      <c r="C7" s="5" t="s">
        <v>83</v>
      </c>
      <c r="D7" s="5" t="s">
        <v>82</v>
      </c>
      <c r="E7" s="5" t="s">
        <v>84</v>
      </c>
      <c r="F7" s="5" t="s">
        <v>85</v>
      </c>
      <c r="G7" s="5" t="s">
        <v>86</v>
      </c>
      <c r="H7" s="5" t="s">
        <v>32</v>
      </c>
      <c r="I7" s="5" t="s">
        <v>87</v>
      </c>
      <c r="J7" s="5" t="s">
        <v>34</v>
      </c>
      <c r="K7" s="5" t="s">
        <v>88</v>
      </c>
      <c r="L7" s="5" t="s">
        <v>89</v>
      </c>
      <c r="M7" s="5" t="s">
        <v>90</v>
      </c>
      <c r="N7" s="5" t="s">
        <v>36</v>
      </c>
      <c r="P7" s="5" t="s">
        <v>88</v>
      </c>
      <c r="R7" s="5" t="s">
        <v>91</v>
      </c>
      <c r="S7" s="5" t="s">
        <v>92</v>
      </c>
      <c r="T7" s="5" t="str">
        <f t="shared" si="0"/>
        <v>FUERZA POPULAR - 06717199.pdf</v>
      </c>
      <c r="U7" s="6">
        <f t="shared" ca="1" si="1"/>
        <v>66</v>
      </c>
      <c r="V7" s="6" t="str">
        <f t="shared" ca="1" si="2"/>
        <v>60+</v>
      </c>
      <c r="W7" s="6" t="str">
        <f t="shared" si="3"/>
        <v>PERÚ</v>
      </c>
      <c r="X7" s="6" t="str">
        <f t="shared" si="4"/>
        <v>MASCULINO</v>
      </c>
      <c r="Y7" s="6" t="str">
        <f t="shared" si="5"/>
        <v>AMAZONAS</v>
      </c>
      <c r="Z7" s="6" t="str">
        <f t="shared" si="6"/>
        <v>AMAZONAS</v>
      </c>
      <c r="AA7" s="6"/>
    </row>
    <row r="8" spans="1:27" x14ac:dyDescent="0.2">
      <c r="A8" s="5" t="s">
        <v>70</v>
      </c>
      <c r="B8" s="5" t="s">
        <v>93</v>
      </c>
      <c r="C8" s="5" t="s">
        <v>94</v>
      </c>
      <c r="D8" s="5" t="s">
        <v>93</v>
      </c>
      <c r="E8" s="5" t="s">
        <v>95</v>
      </c>
      <c r="F8" s="5" t="s">
        <v>96</v>
      </c>
      <c r="G8" s="5" t="s">
        <v>97</v>
      </c>
      <c r="H8" s="5" t="s">
        <v>32</v>
      </c>
      <c r="I8" s="5" t="s">
        <v>98</v>
      </c>
      <c r="J8" s="5" t="s">
        <v>34</v>
      </c>
      <c r="K8" s="5" t="s">
        <v>46</v>
      </c>
      <c r="L8" s="5" t="s">
        <v>46</v>
      </c>
      <c r="M8" s="5" t="s">
        <v>99</v>
      </c>
      <c r="N8" s="5" t="s">
        <v>36</v>
      </c>
      <c r="P8" s="5" t="s">
        <v>37</v>
      </c>
      <c r="R8" s="5" t="s">
        <v>100</v>
      </c>
      <c r="S8" s="5" t="s">
        <v>101</v>
      </c>
      <c r="T8" s="5" t="str">
        <f t="shared" si="0"/>
        <v>FUERZA POPULAR - 10307948.pdf</v>
      </c>
      <c r="U8" s="6">
        <f t="shared" ca="1" si="1"/>
        <v>65</v>
      </c>
      <c r="V8" s="6" t="str">
        <f t="shared" ca="1" si="2"/>
        <v>60+</v>
      </c>
      <c r="W8" s="6" t="str">
        <f t="shared" si="3"/>
        <v>PERÚ</v>
      </c>
      <c r="X8" s="6" t="str">
        <f t="shared" si="4"/>
        <v>MASCULINO</v>
      </c>
      <c r="Y8" s="6" t="str">
        <f t="shared" si="5"/>
        <v>LIMA</v>
      </c>
      <c r="Z8" s="6" t="str">
        <f t="shared" si="6"/>
        <v>ÚNICO NACIONAL</v>
      </c>
      <c r="AA8" s="6"/>
    </row>
    <row r="9" spans="1:27" x14ac:dyDescent="0.2">
      <c r="A9" s="5" t="s">
        <v>70</v>
      </c>
      <c r="B9" s="5" t="s">
        <v>102</v>
      </c>
      <c r="C9" s="5" t="s">
        <v>103</v>
      </c>
      <c r="D9" s="5" t="s">
        <v>102</v>
      </c>
      <c r="E9" s="5" t="s">
        <v>104</v>
      </c>
      <c r="F9" s="5" t="s">
        <v>78</v>
      </c>
      <c r="G9" s="5" t="s">
        <v>105</v>
      </c>
      <c r="H9" s="5" t="s">
        <v>55</v>
      </c>
      <c r="I9" s="5" t="s">
        <v>106</v>
      </c>
      <c r="J9" s="5" t="s">
        <v>34</v>
      </c>
      <c r="K9" s="5" t="s">
        <v>107</v>
      </c>
      <c r="L9" s="5" t="s">
        <v>108</v>
      </c>
      <c r="M9" s="5" t="s">
        <v>109</v>
      </c>
      <c r="N9" s="5" t="s">
        <v>36</v>
      </c>
      <c r="P9" s="5" t="s">
        <v>107</v>
      </c>
      <c r="R9" s="5" t="s">
        <v>110</v>
      </c>
      <c r="S9" s="5" t="s">
        <v>111</v>
      </c>
      <c r="T9" s="5" t="str">
        <f t="shared" si="0"/>
        <v>FUERZA POPULAR - 32971154.pdf</v>
      </c>
      <c r="U9" s="6">
        <f t="shared" ca="1" si="1"/>
        <v>50</v>
      </c>
      <c r="V9" s="6" t="str">
        <f t="shared" ca="1" si="2"/>
        <v>50-59</v>
      </c>
      <c r="W9" s="6" t="str">
        <f t="shared" si="3"/>
        <v>PERÚ</v>
      </c>
      <c r="X9" s="6" t="str">
        <f t="shared" si="4"/>
        <v>FEMENINO</v>
      </c>
      <c r="Y9" s="6" t="str">
        <f t="shared" si="5"/>
        <v>ANCASH</v>
      </c>
      <c r="Z9" s="6" t="str">
        <f t="shared" si="6"/>
        <v>ANCASH</v>
      </c>
      <c r="AA9" s="6"/>
    </row>
    <row r="10" spans="1:27" x14ac:dyDescent="0.2">
      <c r="A10" s="5" t="s">
        <v>70</v>
      </c>
      <c r="B10" s="5" t="s">
        <v>112</v>
      </c>
      <c r="C10" s="5" t="s">
        <v>113</v>
      </c>
      <c r="D10" s="5" t="s">
        <v>112</v>
      </c>
      <c r="E10" s="5" t="s">
        <v>114</v>
      </c>
      <c r="F10" s="5" t="s">
        <v>115</v>
      </c>
      <c r="G10" s="5" t="s">
        <v>116</v>
      </c>
      <c r="H10" s="5" t="s">
        <v>55</v>
      </c>
      <c r="I10" s="5" t="s">
        <v>117</v>
      </c>
      <c r="J10" s="5" t="s">
        <v>34</v>
      </c>
      <c r="K10" s="5" t="s">
        <v>118</v>
      </c>
      <c r="L10" s="5" t="s">
        <v>118</v>
      </c>
      <c r="M10" s="5" t="s">
        <v>119</v>
      </c>
      <c r="N10" s="5" t="s">
        <v>36</v>
      </c>
      <c r="P10" s="5" t="s">
        <v>37</v>
      </c>
      <c r="Q10" s="5" t="s">
        <v>120</v>
      </c>
      <c r="R10" s="5" t="s">
        <v>121</v>
      </c>
      <c r="S10" s="5" t="s">
        <v>122</v>
      </c>
      <c r="T10" s="5" t="str">
        <f t="shared" si="0"/>
        <v>FUERZA POPULAR - 07960843.pdf</v>
      </c>
      <c r="U10" s="6">
        <f t="shared" ca="1" si="1"/>
        <v>73</v>
      </c>
      <c r="V10" s="6" t="str">
        <f t="shared" ca="1" si="2"/>
        <v>60+</v>
      </c>
      <c r="W10" s="6" t="str">
        <f t="shared" si="3"/>
        <v>PERÚ</v>
      </c>
      <c r="X10" s="6" t="str">
        <f t="shared" si="4"/>
        <v>FEMENINO</v>
      </c>
      <c r="Y10" s="6" t="str">
        <f t="shared" si="5"/>
        <v>CALLAO</v>
      </c>
      <c r="Z10" s="6" t="str">
        <f t="shared" si="6"/>
        <v>ÚNICO NACIONAL</v>
      </c>
      <c r="AA10" s="6"/>
    </row>
    <row r="11" spans="1:27" x14ac:dyDescent="0.2">
      <c r="A11" s="5" t="s">
        <v>70</v>
      </c>
      <c r="B11" s="5" t="s">
        <v>123</v>
      </c>
      <c r="C11" s="5" t="s">
        <v>124</v>
      </c>
      <c r="D11" s="5" t="s">
        <v>123</v>
      </c>
      <c r="E11" s="5" t="s">
        <v>125</v>
      </c>
      <c r="F11" s="5" t="s">
        <v>126</v>
      </c>
      <c r="G11" s="5" t="s">
        <v>127</v>
      </c>
      <c r="H11" s="5" t="s">
        <v>32</v>
      </c>
      <c r="I11" s="5" t="s">
        <v>128</v>
      </c>
      <c r="J11" s="5" t="s">
        <v>34</v>
      </c>
      <c r="K11" s="5" t="s">
        <v>129</v>
      </c>
      <c r="L11" s="5" t="s">
        <v>130</v>
      </c>
      <c r="M11" s="5" t="s">
        <v>131</v>
      </c>
      <c r="N11" s="5" t="s">
        <v>36</v>
      </c>
      <c r="P11" s="5" t="s">
        <v>129</v>
      </c>
      <c r="R11" s="5" t="s">
        <v>132</v>
      </c>
      <c r="S11" s="5" t="s">
        <v>133</v>
      </c>
      <c r="T11" s="5" t="str">
        <f t="shared" si="0"/>
        <v>FUERZA POPULAR - 05227631.pdf</v>
      </c>
      <c r="U11" s="6">
        <f t="shared" ca="1" si="1"/>
        <v>64</v>
      </c>
      <c r="V11" s="6" t="str">
        <f t="shared" ca="1" si="2"/>
        <v>60+</v>
      </c>
      <c r="W11" s="6" t="str">
        <f t="shared" si="3"/>
        <v>PERÚ</v>
      </c>
      <c r="X11" s="6" t="str">
        <f t="shared" si="4"/>
        <v>MASCULINO</v>
      </c>
      <c r="Y11" s="6" t="str">
        <f t="shared" si="5"/>
        <v>LORETO</v>
      </c>
      <c r="Z11" s="6" t="str">
        <f t="shared" si="6"/>
        <v>LORETO</v>
      </c>
      <c r="AA11" s="6"/>
    </row>
    <row r="12" spans="1:27" x14ac:dyDescent="0.2">
      <c r="A12" s="5" t="s">
        <v>70</v>
      </c>
      <c r="B12" s="5" t="s">
        <v>134</v>
      </c>
      <c r="C12" s="5" t="s">
        <v>135</v>
      </c>
      <c r="D12" s="5" t="s">
        <v>134</v>
      </c>
      <c r="E12" s="5" t="s">
        <v>136</v>
      </c>
      <c r="F12" s="5" t="s">
        <v>137</v>
      </c>
      <c r="G12" s="5" t="s">
        <v>138</v>
      </c>
      <c r="H12" s="5" t="s">
        <v>32</v>
      </c>
      <c r="I12" s="5" t="s">
        <v>139</v>
      </c>
      <c r="J12" s="5" t="s">
        <v>34</v>
      </c>
      <c r="K12" s="5" t="s">
        <v>77</v>
      </c>
      <c r="L12" s="5" t="s">
        <v>140</v>
      </c>
      <c r="M12" s="5" t="s">
        <v>141</v>
      </c>
      <c r="N12" s="5" t="s">
        <v>36</v>
      </c>
      <c r="P12" s="5" t="s">
        <v>77</v>
      </c>
      <c r="R12" s="5" t="s">
        <v>142</v>
      </c>
      <c r="S12" s="5" t="s">
        <v>143</v>
      </c>
      <c r="T12" s="5" t="str">
        <f t="shared" si="0"/>
        <v>FUERZA POPULAR - 17896798.pdf</v>
      </c>
      <c r="U12" s="6">
        <f t="shared" ca="1" si="1"/>
        <v>68</v>
      </c>
      <c r="V12" s="6" t="str">
        <f t="shared" ca="1" si="2"/>
        <v>60+</v>
      </c>
      <c r="W12" s="6" t="str">
        <f t="shared" si="3"/>
        <v>PERÚ</v>
      </c>
      <c r="X12" s="6" t="str">
        <f t="shared" si="4"/>
        <v>MASCULINO</v>
      </c>
      <c r="Y12" s="6" t="str">
        <f t="shared" si="5"/>
        <v>LA LIBERTAD</v>
      </c>
      <c r="Z12" s="6" t="str">
        <f t="shared" si="6"/>
        <v>LA LIBERTAD</v>
      </c>
      <c r="AA12" s="6"/>
    </row>
    <row r="13" spans="1:27" x14ac:dyDescent="0.2">
      <c r="A13" s="5" t="s">
        <v>70</v>
      </c>
      <c r="B13" s="5" t="s">
        <v>144</v>
      </c>
      <c r="C13" s="5" t="s">
        <v>145</v>
      </c>
      <c r="D13" s="5" t="s">
        <v>144</v>
      </c>
      <c r="E13" s="5" t="s">
        <v>146</v>
      </c>
      <c r="F13" s="5" t="s">
        <v>147</v>
      </c>
      <c r="G13" s="5" t="s">
        <v>148</v>
      </c>
      <c r="H13" s="5" t="s">
        <v>32</v>
      </c>
      <c r="I13" s="5" t="s">
        <v>149</v>
      </c>
      <c r="J13" s="5" t="s">
        <v>34</v>
      </c>
      <c r="K13" s="5" t="s">
        <v>150</v>
      </c>
      <c r="L13" s="5" t="s">
        <v>151</v>
      </c>
      <c r="M13" s="5" t="s">
        <v>151</v>
      </c>
      <c r="N13" s="5" t="s">
        <v>36</v>
      </c>
      <c r="P13" s="5" t="s">
        <v>150</v>
      </c>
      <c r="R13" s="5" t="s">
        <v>152</v>
      </c>
      <c r="S13" s="5" t="s">
        <v>153</v>
      </c>
      <c r="T13" s="5" t="str">
        <f t="shared" si="0"/>
        <v>FUERZA POPULAR - 19994639.pdf</v>
      </c>
      <c r="U13" s="6">
        <f t="shared" ca="1" si="1"/>
        <v>70</v>
      </c>
      <c r="V13" s="6" t="str">
        <f t="shared" ca="1" si="2"/>
        <v>60+</v>
      </c>
      <c r="W13" s="6" t="str">
        <f t="shared" si="3"/>
        <v>PERÚ</v>
      </c>
      <c r="X13" s="6" t="str">
        <f t="shared" si="4"/>
        <v>MASCULINO</v>
      </c>
      <c r="Y13" s="6" t="str">
        <f t="shared" si="5"/>
        <v>JUNIN</v>
      </c>
      <c r="Z13" s="6" t="str">
        <f t="shared" si="6"/>
        <v>JUNIN</v>
      </c>
      <c r="AA13" s="6"/>
    </row>
    <row r="14" spans="1:27" x14ac:dyDescent="0.2">
      <c r="A14" s="5" t="s">
        <v>70</v>
      </c>
      <c r="B14" s="5" t="s">
        <v>154</v>
      </c>
      <c r="C14" s="5" t="s">
        <v>155</v>
      </c>
      <c r="D14" s="5" t="s">
        <v>154</v>
      </c>
      <c r="E14" s="5" t="s">
        <v>156</v>
      </c>
      <c r="F14" s="5" t="s">
        <v>157</v>
      </c>
      <c r="G14" s="5" t="s">
        <v>158</v>
      </c>
      <c r="H14" s="5" t="s">
        <v>55</v>
      </c>
      <c r="I14" s="5" t="s">
        <v>159</v>
      </c>
      <c r="J14" s="5" t="s">
        <v>34</v>
      </c>
      <c r="K14" s="5" t="s">
        <v>160</v>
      </c>
      <c r="L14" s="5" t="s">
        <v>161</v>
      </c>
      <c r="M14" s="5" t="s">
        <v>162</v>
      </c>
      <c r="N14" s="5" t="s">
        <v>36</v>
      </c>
      <c r="P14" s="5" t="s">
        <v>37</v>
      </c>
      <c r="R14" s="5" t="s">
        <v>163</v>
      </c>
      <c r="S14" s="5" t="s">
        <v>164</v>
      </c>
      <c r="T14" s="5" t="str">
        <f t="shared" si="0"/>
        <v>FUERZA POPULAR - 07831436.pdf</v>
      </c>
      <c r="U14" s="6">
        <f t="shared" ca="1" si="1"/>
        <v>65</v>
      </c>
      <c r="V14" s="6" t="str">
        <f t="shared" ca="1" si="2"/>
        <v>60+</v>
      </c>
      <c r="W14" s="6" t="str">
        <f t="shared" si="3"/>
        <v>PERÚ</v>
      </c>
      <c r="X14" s="6" t="str">
        <f t="shared" si="4"/>
        <v>FEMENINO</v>
      </c>
      <c r="Y14" s="6" t="str">
        <f t="shared" si="5"/>
        <v>ICA</v>
      </c>
      <c r="Z14" s="6" t="str">
        <f t="shared" si="6"/>
        <v>ÚNICO NACIONAL</v>
      </c>
      <c r="AA14" s="6"/>
    </row>
    <row r="15" spans="1:27" x14ac:dyDescent="0.2">
      <c r="A15" s="5" t="s">
        <v>70</v>
      </c>
      <c r="B15" s="5" t="s">
        <v>165</v>
      </c>
      <c r="C15" s="5" t="s">
        <v>166</v>
      </c>
      <c r="D15" s="5" t="s">
        <v>165</v>
      </c>
      <c r="E15" s="5" t="s">
        <v>167</v>
      </c>
      <c r="F15" s="5" t="s">
        <v>168</v>
      </c>
      <c r="G15" s="5" t="s">
        <v>169</v>
      </c>
      <c r="H15" s="5" t="s">
        <v>32</v>
      </c>
      <c r="I15" s="5" t="s">
        <v>170</v>
      </c>
      <c r="J15" s="5" t="s">
        <v>34</v>
      </c>
      <c r="K15" s="5" t="s">
        <v>35</v>
      </c>
      <c r="L15" s="5" t="s">
        <v>171</v>
      </c>
      <c r="M15" s="5" t="s">
        <v>172</v>
      </c>
      <c r="N15" s="5" t="s">
        <v>36</v>
      </c>
      <c r="P15" s="5" t="s">
        <v>173</v>
      </c>
      <c r="R15" s="5" t="s">
        <v>174</v>
      </c>
      <c r="S15" s="5" t="s">
        <v>175</v>
      </c>
      <c r="T15" s="5" t="str">
        <f t="shared" si="0"/>
        <v>FUERZA POPULAR - 09884301.pdf</v>
      </c>
      <c r="U15" s="6">
        <f t="shared" ca="1" si="1"/>
        <v>69</v>
      </c>
      <c r="V15" s="6" t="str">
        <f t="shared" ca="1" si="2"/>
        <v>60+</v>
      </c>
      <c r="W15" s="6" t="str">
        <f t="shared" si="3"/>
        <v>PERÚ</v>
      </c>
      <c r="X15" s="6" t="str">
        <f t="shared" si="4"/>
        <v>MASCULINO</v>
      </c>
      <c r="Y15" s="6" t="str">
        <f t="shared" si="5"/>
        <v>AREQUIPA</v>
      </c>
      <c r="Z15" s="6" t="str">
        <f t="shared" si="6"/>
        <v>LIMA PROVINCIAS</v>
      </c>
      <c r="AA15" s="6"/>
    </row>
    <row r="16" spans="1:27" x14ac:dyDescent="0.2">
      <c r="A16" s="5" t="s">
        <v>70</v>
      </c>
      <c r="B16" s="5" t="s">
        <v>176</v>
      </c>
      <c r="C16" s="5" t="s">
        <v>177</v>
      </c>
      <c r="D16" s="5" t="s">
        <v>176</v>
      </c>
      <c r="E16" s="5" t="s">
        <v>178</v>
      </c>
      <c r="F16" s="5" t="s">
        <v>179</v>
      </c>
      <c r="G16" s="5" t="s">
        <v>180</v>
      </c>
      <c r="H16" s="5" t="s">
        <v>32</v>
      </c>
      <c r="I16" s="5" t="s">
        <v>181</v>
      </c>
      <c r="J16" s="5" t="s">
        <v>34</v>
      </c>
      <c r="K16" s="5" t="s">
        <v>129</v>
      </c>
      <c r="L16" s="5" t="s">
        <v>130</v>
      </c>
      <c r="M16" s="5" t="s">
        <v>131</v>
      </c>
      <c r="N16" s="5" t="s">
        <v>36</v>
      </c>
      <c r="P16" s="5" t="s">
        <v>37</v>
      </c>
      <c r="R16" s="5" t="s">
        <v>182</v>
      </c>
      <c r="S16" s="5" t="s">
        <v>183</v>
      </c>
      <c r="T16" s="5" t="str">
        <f t="shared" si="0"/>
        <v>FUERZA POPULAR - 08266314.pdf</v>
      </c>
      <c r="U16" s="6">
        <f t="shared" ca="1" si="1"/>
        <v>66</v>
      </c>
      <c r="V16" s="6" t="str">
        <f t="shared" ca="1" si="2"/>
        <v>60+</v>
      </c>
      <c r="W16" s="6" t="str">
        <f t="shared" si="3"/>
        <v>PERÚ</v>
      </c>
      <c r="X16" s="6" t="str">
        <f t="shared" si="4"/>
        <v>MASCULINO</v>
      </c>
      <c r="Y16" s="6" t="str">
        <f t="shared" si="5"/>
        <v>LORETO</v>
      </c>
      <c r="Z16" s="6" t="str">
        <f t="shared" si="6"/>
        <v>ÚNICO NACIONAL</v>
      </c>
      <c r="AA16" s="6"/>
    </row>
    <row r="17" spans="1:27" x14ac:dyDescent="0.2">
      <c r="A17" s="5" t="s">
        <v>70</v>
      </c>
      <c r="B17" s="5" t="s">
        <v>184</v>
      </c>
      <c r="C17" s="5" t="s">
        <v>185</v>
      </c>
      <c r="D17" s="5" t="s">
        <v>184</v>
      </c>
      <c r="E17" s="5" t="s">
        <v>186</v>
      </c>
      <c r="F17" s="5" t="s">
        <v>187</v>
      </c>
      <c r="G17" s="5" t="s">
        <v>188</v>
      </c>
      <c r="H17" s="5" t="s">
        <v>32</v>
      </c>
      <c r="I17" s="5" t="s">
        <v>189</v>
      </c>
      <c r="J17" s="5" t="s">
        <v>34</v>
      </c>
      <c r="K17" s="5" t="s">
        <v>46</v>
      </c>
      <c r="L17" s="5" t="s">
        <v>46</v>
      </c>
      <c r="M17" s="5" t="s">
        <v>46</v>
      </c>
      <c r="N17" s="5" t="s">
        <v>36</v>
      </c>
      <c r="P17" s="5" t="s">
        <v>190</v>
      </c>
      <c r="R17" s="5" t="s">
        <v>191</v>
      </c>
      <c r="S17" s="5" t="s">
        <v>192</v>
      </c>
      <c r="T17" s="5" t="str">
        <f t="shared" si="0"/>
        <v>FUERZA POPULAR - 22974228.pdf</v>
      </c>
      <c r="U17" s="6">
        <f t="shared" ca="1" si="1"/>
        <v>73</v>
      </c>
      <c r="V17" s="6" t="str">
        <f t="shared" ca="1" si="2"/>
        <v>60+</v>
      </c>
      <c r="W17" s="6" t="str">
        <f t="shared" si="3"/>
        <v>PERÚ</v>
      </c>
      <c r="X17" s="6" t="str">
        <f t="shared" si="4"/>
        <v>MASCULINO</v>
      </c>
      <c r="Y17" s="6" t="str">
        <f t="shared" si="5"/>
        <v>LIMA</v>
      </c>
      <c r="Z17" s="6" t="str">
        <f t="shared" si="6"/>
        <v>LIMA METROPOLITANA</v>
      </c>
      <c r="AA17" s="6"/>
    </row>
    <row r="18" spans="1:27" x14ac:dyDescent="0.2">
      <c r="A18" s="5" t="s">
        <v>70</v>
      </c>
      <c r="B18" s="5" t="s">
        <v>193</v>
      </c>
      <c r="C18" s="5" t="s">
        <v>194</v>
      </c>
      <c r="D18" s="5" t="s">
        <v>193</v>
      </c>
      <c r="E18" s="5" t="s">
        <v>195</v>
      </c>
      <c r="F18" s="5" t="s">
        <v>29</v>
      </c>
      <c r="G18" s="5" t="s">
        <v>196</v>
      </c>
      <c r="H18" s="5" t="s">
        <v>55</v>
      </c>
      <c r="I18" s="5" t="s">
        <v>197</v>
      </c>
      <c r="J18" s="5" t="s">
        <v>34</v>
      </c>
      <c r="K18" s="5" t="s">
        <v>118</v>
      </c>
      <c r="L18" s="5" t="s">
        <v>118</v>
      </c>
      <c r="M18" s="5" t="s">
        <v>119</v>
      </c>
      <c r="N18" s="5" t="s">
        <v>36</v>
      </c>
      <c r="P18" s="5" t="s">
        <v>37</v>
      </c>
      <c r="R18" s="5" t="s">
        <v>198</v>
      </c>
      <c r="S18" s="5" t="s">
        <v>199</v>
      </c>
      <c r="T18" s="5" t="str">
        <f t="shared" si="0"/>
        <v>FUERZA POPULAR - 08911520.pdf</v>
      </c>
      <c r="U18" s="6">
        <f t="shared" ca="1" si="1"/>
        <v>61</v>
      </c>
      <c r="V18" s="6" t="str">
        <f t="shared" ca="1" si="2"/>
        <v>60+</v>
      </c>
      <c r="W18" s="6" t="str">
        <f t="shared" si="3"/>
        <v>PERÚ</v>
      </c>
      <c r="X18" s="6" t="str">
        <f t="shared" si="4"/>
        <v>FEMENINO</v>
      </c>
      <c r="Y18" s="6" t="str">
        <f t="shared" si="5"/>
        <v>CALLAO</v>
      </c>
      <c r="Z18" s="6" t="str">
        <f t="shared" si="6"/>
        <v>ÚNICO NACIONAL</v>
      </c>
      <c r="AA18" s="6"/>
    </row>
    <row r="19" spans="1:27" x14ac:dyDescent="0.2">
      <c r="A19" s="5" t="s">
        <v>70</v>
      </c>
      <c r="B19" s="5" t="s">
        <v>200</v>
      </c>
      <c r="C19" s="5" t="s">
        <v>201</v>
      </c>
      <c r="D19" s="5" t="s">
        <v>200</v>
      </c>
      <c r="E19" s="5" t="s">
        <v>202</v>
      </c>
      <c r="F19" s="5" t="s">
        <v>203</v>
      </c>
      <c r="G19" s="5" t="s">
        <v>204</v>
      </c>
      <c r="H19" s="5" t="s">
        <v>32</v>
      </c>
      <c r="I19" s="5" t="s">
        <v>205</v>
      </c>
      <c r="J19" s="5" t="s">
        <v>34</v>
      </c>
      <c r="K19" s="5" t="s">
        <v>206</v>
      </c>
      <c r="L19" s="5" t="s">
        <v>207</v>
      </c>
      <c r="M19" s="5" t="s">
        <v>208</v>
      </c>
      <c r="N19" s="5" t="s">
        <v>36</v>
      </c>
      <c r="P19" s="5" t="s">
        <v>206</v>
      </c>
      <c r="R19" s="5" t="s">
        <v>209</v>
      </c>
      <c r="S19" s="5" t="s">
        <v>210</v>
      </c>
      <c r="T19" s="5" t="str">
        <f t="shared" si="0"/>
        <v>FUERZA POPULAR - 17806760.pdf</v>
      </c>
      <c r="U19" s="6">
        <f t="shared" ca="1" si="1"/>
        <v>64</v>
      </c>
      <c r="V19" s="6" t="str">
        <f t="shared" ca="1" si="2"/>
        <v>60+</v>
      </c>
      <c r="W19" s="6" t="str">
        <f t="shared" si="3"/>
        <v>PERÚ</v>
      </c>
      <c r="X19" s="6" t="str">
        <f t="shared" si="4"/>
        <v>MASCULINO</v>
      </c>
      <c r="Y19" s="6" t="str">
        <f t="shared" si="5"/>
        <v>SAN MARTIN</v>
      </c>
      <c r="Z19" s="6" t="str">
        <f t="shared" si="6"/>
        <v>SAN MARTIN</v>
      </c>
      <c r="AA19" s="6"/>
    </row>
    <row r="20" spans="1:27" x14ac:dyDescent="0.2">
      <c r="A20" s="5" t="s">
        <v>70</v>
      </c>
      <c r="B20" s="5" t="s">
        <v>211</v>
      </c>
      <c r="C20" s="5" t="s">
        <v>212</v>
      </c>
      <c r="D20" s="5" t="s">
        <v>211</v>
      </c>
      <c r="E20" s="5" t="s">
        <v>213</v>
      </c>
      <c r="F20" s="5" t="s">
        <v>214</v>
      </c>
      <c r="G20" s="5" t="s">
        <v>215</v>
      </c>
      <c r="H20" s="5" t="s">
        <v>32</v>
      </c>
      <c r="I20" s="5" t="s">
        <v>216</v>
      </c>
      <c r="J20" s="5" t="s">
        <v>34</v>
      </c>
      <c r="K20" s="5" t="s">
        <v>46</v>
      </c>
      <c r="L20" s="5" t="s">
        <v>46</v>
      </c>
      <c r="M20" s="5" t="s">
        <v>217</v>
      </c>
      <c r="N20" s="5" t="s">
        <v>36</v>
      </c>
      <c r="P20" s="5" t="s">
        <v>118</v>
      </c>
      <c r="Q20" s="5" t="s">
        <v>218</v>
      </c>
      <c r="R20" s="5" t="s">
        <v>219</v>
      </c>
      <c r="S20" s="5" t="s">
        <v>220</v>
      </c>
      <c r="T20" s="5" t="str">
        <f t="shared" si="0"/>
        <v>FUERZA POPULAR - 08234063.pdf</v>
      </c>
      <c r="U20" s="6">
        <f t="shared" ca="1" si="1"/>
        <v>64</v>
      </c>
      <c r="V20" s="6" t="str">
        <f t="shared" ca="1" si="2"/>
        <v>60+</v>
      </c>
      <c r="W20" s="6" t="str">
        <f t="shared" si="3"/>
        <v>PERÚ</v>
      </c>
      <c r="X20" s="6" t="str">
        <f t="shared" si="4"/>
        <v>MASCULINO</v>
      </c>
      <c r="Y20" s="6" t="str">
        <f t="shared" si="5"/>
        <v>LIMA</v>
      </c>
      <c r="Z20" s="6" t="str">
        <f t="shared" si="6"/>
        <v>CALLAO</v>
      </c>
      <c r="AA20" s="6"/>
    </row>
    <row r="21" spans="1:27" ht="15.75" customHeight="1" x14ac:dyDescent="0.2">
      <c r="A21" s="5" t="s">
        <v>70</v>
      </c>
      <c r="B21" s="5" t="s">
        <v>221</v>
      </c>
      <c r="C21" s="5" t="s">
        <v>222</v>
      </c>
      <c r="D21" s="5" t="s">
        <v>221</v>
      </c>
      <c r="E21" s="5" t="s">
        <v>223</v>
      </c>
      <c r="F21" s="5" t="s">
        <v>224</v>
      </c>
      <c r="G21" s="5" t="s">
        <v>225</v>
      </c>
      <c r="H21" s="5" t="s">
        <v>32</v>
      </c>
      <c r="I21" s="5" t="s">
        <v>226</v>
      </c>
      <c r="J21" s="5" t="s">
        <v>34</v>
      </c>
      <c r="K21" s="5" t="s">
        <v>46</v>
      </c>
      <c r="L21" s="5" t="s">
        <v>46</v>
      </c>
      <c r="M21" s="5" t="s">
        <v>99</v>
      </c>
      <c r="N21" s="5" t="s">
        <v>36</v>
      </c>
      <c r="P21" s="5" t="s">
        <v>37</v>
      </c>
      <c r="R21" s="5" t="s">
        <v>227</v>
      </c>
      <c r="S21" s="5" t="s">
        <v>228</v>
      </c>
      <c r="T21" s="5" t="str">
        <f t="shared" si="0"/>
        <v>FUERZA POPULAR - 07704730.pdf</v>
      </c>
      <c r="U21" s="6">
        <f t="shared" ca="1" si="1"/>
        <v>79</v>
      </c>
      <c r="V21" s="6" t="str">
        <f t="shared" ca="1" si="2"/>
        <v>60+</v>
      </c>
      <c r="W21" s="6" t="str">
        <f t="shared" si="3"/>
        <v>PERÚ</v>
      </c>
      <c r="X21" s="6" t="str">
        <f t="shared" si="4"/>
        <v>MASCULINO</v>
      </c>
      <c r="Y21" s="6" t="str">
        <f t="shared" si="5"/>
        <v>LIMA</v>
      </c>
      <c r="Z21" s="6" t="str">
        <f t="shared" si="6"/>
        <v>ÚNICO NACIONAL</v>
      </c>
      <c r="AA21" s="6"/>
    </row>
    <row r="22" spans="1:27" ht="15.75" customHeight="1" x14ac:dyDescent="0.2">
      <c r="A22" s="5" t="s">
        <v>70</v>
      </c>
      <c r="B22" s="5" t="s">
        <v>229</v>
      </c>
      <c r="C22" s="5" t="s">
        <v>230</v>
      </c>
      <c r="D22" s="5" t="s">
        <v>229</v>
      </c>
      <c r="E22" s="5" t="s">
        <v>231</v>
      </c>
      <c r="F22" s="5" t="s">
        <v>232</v>
      </c>
      <c r="G22" s="5" t="s">
        <v>233</v>
      </c>
      <c r="H22" s="5" t="s">
        <v>55</v>
      </c>
      <c r="I22" s="5" t="s">
        <v>234</v>
      </c>
      <c r="J22" s="5" t="s">
        <v>34</v>
      </c>
      <c r="K22" s="5" t="s">
        <v>235</v>
      </c>
      <c r="L22" s="5" t="s">
        <v>235</v>
      </c>
      <c r="M22" s="5" t="s">
        <v>235</v>
      </c>
      <c r="N22" s="5" t="s">
        <v>36</v>
      </c>
      <c r="P22" s="5" t="s">
        <v>235</v>
      </c>
      <c r="R22" s="5" t="s">
        <v>236</v>
      </c>
      <c r="S22" s="5" t="s">
        <v>237</v>
      </c>
      <c r="T22" s="5" t="str">
        <f t="shared" si="0"/>
        <v>FUERZA POPULAR - 10638205.pdf</v>
      </c>
      <c r="U22" s="6">
        <f t="shared" ca="1" si="1"/>
        <v>60</v>
      </c>
      <c r="V22" s="6" t="str">
        <f t="shared" ca="1" si="2"/>
        <v>60+</v>
      </c>
      <c r="W22" s="6" t="str">
        <f t="shared" si="3"/>
        <v>PERÚ</v>
      </c>
      <c r="X22" s="6" t="str">
        <f t="shared" si="4"/>
        <v>FEMENINO</v>
      </c>
      <c r="Y22" s="6" t="str">
        <f t="shared" si="5"/>
        <v>PIURA</v>
      </c>
      <c r="Z22" s="6" t="str">
        <f t="shared" si="6"/>
        <v>PIURA</v>
      </c>
      <c r="AA22" s="6"/>
    </row>
    <row r="23" spans="1:27" ht="15.75" customHeight="1" x14ac:dyDescent="0.2">
      <c r="A23" s="5" t="s">
        <v>70</v>
      </c>
      <c r="B23" s="5" t="s">
        <v>238</v>
      </c>
      <c r="C23" s="5" t="s">
        <v>239</v>
      </c>
      <c r="D23" s="5" t="s">
        <v>238</v>
      </c>
      <c r="E23" s="5" t="s">
        <v>240</v>
      </c>
      <c r="F23" s="5" t="s">
        <v>241</v>
      </c>
      <c r="G23" s="5" t="s">
        <v>242</v>
      </c>
      <c r="H23" s="5" t="s">
        <v>32</v>
      </c>
      <c r="I23" s="5" t="s">
        <v>243</v>
      </c>
      <c r="J23" s="5" t="s">
        <v>34</v>
      </c>
      <c r="K23" s="5" t="s">
        <v>67</v>
      </c>
      <c r="L23" s="5" t="s">
        <v>244</v>
      </c>
      <c r="M23" s="5" t="s">
        <v>244</v>
      </c>
      <c r="N23" s="5" t="s">
        <v>36</v>
      </c>
      <c r="P23" s="5" t="s">
        <v>67</v>
      </c>
      <c r="R23" s="5" t="s">
        <v>245</v>
      </c>
      <c r="S23" s="5" t="s">
        <v>246</v>
      </c>
      <c r="T23" s="5" t="str">
        <f t="shared" si="0"/>
        <v>FUERZA POPULAR - 16657841.pdf</v>
      </c>
      <c r="U23" s="6">
        <f t="shared" ca="1" si="1"/>
        <v>58</v>
      </c>
      <c r="V23" s="6" t="str">
        <f t="shared" ca="1" si="2"/>
        <v>50-59</v>
      </c>
      <c r="W23" s="6" t="str">
        <f t="shared" si="3"/>
        <v>PERÚ</v>
      </c>
      <c r="X23" s="6" t="str">
        <f t="shared" si="4"/>
        <v>MASCULINO</v>
      </c>
      <c r="Y23" s="6" t="str">
        <f t="shared" si="5"/>
        <v>CAJAMARCA</v>
      </c>
      <c r="Z23" s="6" t="str">
        <f t="shared" si="6"/>
        <v>CAJAMARCA</v>
      </c>
      <c r="AA23" s="6"/>
    </row>
    <row r="24" spans="1:27" ht="15.75" customHeight="1" x14ac:dyDescent="0.2">
      <c r="A24" s="5" t="s">
        <v>70</v>
      </c>
      <c r="B24" s="5" t="s">
        <v>247</v>
      </c>
      <c r="C24" s="5" t="s">
        <v>248</v>
      </c>
      <c r="D24" s="5" t="s">
        <v>247</v>
      </c>
      <c r="E24" s="5" t="s">
        <v>249</v>
      </c>
      <c r="F24" s="5" t="s">
        <v>250</v>
      </c>
      <c r="G24" s="5" t="s">
        <v>251</v>
      </c>
      <c r="H24" s="5" t="s">
        <v>32</v>
      </c>
      <c r="I24" s="5" t="s">
        <v>252</v>
      </c>
      <c r="J24" s="5" t="s">
        <v>34</v>
      </c>
      <c r="K24" s="5" t="s">
        <v>206</v>
      </c>
      <c r="L24" s="5" t="s">
        <v>253</v>
      </c>
      <c r="M24" s="5" t="s">
        <v>253</v>
      </c>
      <c r="N24" s="5" t="s">
        <v>36</v>
      </c>
      <c r="P24" s="5" t="s">
        <v>254</v>
      </c>
      <c r="R24" s="5" t="s">
        <v>255</v>
      </c>
      <c r="S24" s="5" t="s">
        <v>256</v>
      </c>
      <c r="T24" s="5" t="str">
        <f t="shared" si="0"/>
        <v>FUERZA POPULAR - 21143880.pdf</v>
      </c>
      <c r="U24" s="6">
        <f t="shared" ca="1" si="1"/>
        <v>60</v>
      </c>
      <c r="V24" s="6" t="str">
        <f t="shared" ca="1" si="2"/>
        <v>60+</v>
      </c>
      <c r="W24" s="6" t="str">
        <f t="shared" si="3"/>
        <v>PERÚ</v>
      </c>
      <c r="X24" s="6" t="str">
        <f t="shared" si="4"/>
        <v>MASCULINO</v>
      </c>
      <c r="Y24" s="6" t="str">
        <f t="shared" si="5"/>
        <v>SAN MARTIN</v>
      </c>
      <c r="Z24" s="6" t="str">
        <f t="shared" si="6"/>
        <v>UCAYALI</v>
      </c>
      <c r="AA24" s="6"/>
    </row>
    <row r="25" spans="1:27" ht="15.75" customHeight="1" x14ac:dyDescent="0.2">
      <c r="A25" s="5" t="s">
        <v>70</v>
      </c>
      <c r="B25" s="5" t="s">
        <v>257</v>
      </c>
      <c r="C25" s="5" t="s">
        <v>258</v>
      </c>
      <c r="D25" s="5" t="s">
        <v>257</v>
      </c>
      <c r="E25" s="5" t="s">
        <v>259</v>
      </c>
      <c r="F25" s="5" t="s">
        <v>260</v>
      </c>
      <c r="G25" s="5" t="s">
        <v>261</v>
      </c>
      <c r="H25" s="5" t="s">
        <v>32</v>
      </c>
      <c r="I25" s="5" t="s">
        <v>262</v>
      </c>
      <c r="J25" s="5" t="s">
        <v>34</v>
      </c>
      <c r="K25" s="5" t="s">
        <v>263</v>
      </c>
      <c r="L25" s="5" t="s">
        <v>263</v>
      </c>
      <c r="M25" s="5" t="s">
        <v>264</v>
      </c>
      <c r="N25" s="5" t="s">
        <v>36</v>
      </c>
      <c r="P25" s="5" t="s">
        <v>265</v>
      </c>
      <c r="R25" s="5" t="s">
        <v>266</v>
      </c>
      <c r="S25" s="5" t="s">
        <v>267</v>
      </c>
      <c r="T25" s="5" t="str">
        <f t="shared" si="0"/>
        <v>FUERZA POPULAR - 40242430.pdf</v>
      </c>
      <c r="U25" s="6">
        <f t="shared" ca="1" si="1"/>
        <v>46</v>
      </c>
      <c r="V25" s="6" t="str">
        <f t="shared" ca="1" si="2"/>
        <v>40-49</v>
      </c>
      <c r="W25" s="6" t="str">
        <f t="shared" si="3"/>
        <v>PERÚ</v>
      </c>
      <c r="X25" s="6" t="str">
        <f t="shared" si="4"/>
        <v>MASCULINO</v>
      </c>
      <c r="Y25" s="6" t="str">
        <f t="shared" si="5"/>
        <v>PASCO</v>
      </c>
      <c r="Z25" s="6" t="str">
        <f t="shared" si="6"/>
        <v>TUMBES</v>
      </c>
      <c r="AA25" s="6"/>
    </row>
    <row r="26" spans="1:27" ht="15.75" customHeight="1" x14ac:dyDescent="0.2">
      <c r="A26" s="5" t="s">
        <v>70</v>
      </c>
      <c r="B26" s="5" t="s">
        <v>268</v>
      </c>
      <c r="C26" s="5" t="s">
        <v>269</v>
      </c>
      <c r="D26" s="5" t="s">
        <v>268</v>
      </c>
      <c r="E26" s="5" t="s">
        <v>270</v>
      </c>
      <c r="F26" s="5" t="s">
        <v>271</v>
      </c>
      <c r="G26" s="5" t="s">
        <v>272</v>
      </c>
      <c r="H26" s="5" t="s">
        <v>32</v>
      </c>
      <c r="I26" s="5" t="s">
        <v>273</v>
      </c>
      <c r="J26" s="5" t="s">
        <v>34</v>
      </c>
      <c r="K26" s="5" t="s">
        <v>160</v>
      </c>
      <c r="L26" s="5" t="s">
        <v>160</v>
      </c>
      <c r="M26" s="5" t="s">
        <v>160</v>
      </c>
      <c r="N26" s="5" t="s">
        <v>36</v>
      </c>
      <c r="P26" s="5" t="s">
        <v>160</v>
      </c>
      <c r="R26" s="5" t="s">
        <v>274</v>
      </c>
      <c r="S26" s="5" t="s">
        <v>275</v>
      </c>
      <c r="T26" s="5" t="str">
        <f t="shared" si="0"/>
        <v>FUERZA POPULAR - 21414172.pdf</v>
      </c>
      <c r="U26" s="6">
        <f t="shared" ca="1" si="1"/>
        <v>62</v>
      </c>
      <c r="V26" s="6" t="str">
        <f t="shared" ca="1" si="2"/>
        <v>60+</v>
      </c>
      <c r="W26" s="6" t="str">
        <f t="shared" si="3"/>
        <v>PERÚ</v>
      </c>
      <c r="X26" s="6" t="str">
        <f t="shared" si="4"/>
        <v>MASCULINO</v>
      </c>
      <c r="Y26" s="6" t="str">
        <f t="shared" si="5"/>
        <v>ICA</v>
      </c>
      <c r="Z26" s="6" t="str">
        <f t="shared" si="6"/>
        <v>ICA</v>
      </c>
      <c r="AA26" s="6"/>
    </row>
    <row r="27" spans="1:27" ht="15.75" customHeight="1" x14ac:dyDescent="0.2">
      <c r="A27" s="5" t="s">
        <v>276</v>
      </c>
      <c r="B27" s="5" t="s">
        <v>277</v>
      </c>
      <c r="C27" s="5" t="s">
        <v>278</v>
      </c>
      <c r="D27" s="5" t="s">
        <v>277</v>
      </c>
      <c r="E27" s="5" t="s">
        <v>279</v>
      </c>
      <c r="F27" s="5" t="s">
        <v>280</v>
      </c>
      <c r="G27" s="5" t="s">
        <v>281</v>
      </c>
      <c r="H27" s="5" t="s">
        <v>32</v>
      </c>
      <c r="I27" s="5" t="s">
        <v>282</v>
      </c>
      <c r="J27" s="5" t="s">
        <v>34</v>
      </c>
      <c r="K27" s="5" t="s">
        <v>283</v>
      </c>
      <c r="L27" s="5" t="s">
        <v>284</v>
      </c>
      <c r="M27" s="5" t="s">
        <v>285</v>
      </c>
      <c r="N27" s="5" t="s">
        <v>36</v>
      </c>
      <c r="P27" s="5" t="s">
        <v>283</v>
      </c>
      <c r="R27" s="5" t="s">
        <v>286</v>
      </c>
      <c r="S27" s="5" t="s">
        <v>287</v>
      </c>
      <c r="T27" s="5" t="str">
        <f t="shared" si="0"/>
        <v>JUNTOS POR EL PERU - 22482738.pdf</v>
      </c>
      <c r="U27" s="6">
        <f t="shared" ca="1" si="1"/>
        <v>59</v>
      </c>
      <c r="V27" s="6" t="str">
        <f t="shared" ca="1" si="2"/>
        <v>50-59</v>
      </c>
      <c r="W27" s="6" t="str">
        <f t="shared" si="3"/>
        <v>PERÚ</v>
      </c>
      <c r="X27" s="6" t="str">
        <f t="shared" si="4"/>
        <v>MASCULINO</v>
      </c>
      <c r="Y27" s="6" t="str">
        <f t="shared" si="5"/>
        <v>HUANUCO</v>
      </c>
      <c r="Z27" s="6" t="str">
        <f t="shared" si="6"/>
        <v>HUANUCO</v>
      </c>
      <c r="AA27" s="6"/>
    </row>
    <row r="28" spans="1:27" ht="15.75" customHeight="1" x14ac:dyDescent="0.2">
      <c r="A28" s="5" t="s">
        <v>276</v>
      </c>
      <c r="B28" s="5" t="s">
        <v>288</v>
      </c>
      <c r="C28" s="5" t="s">
        <v>289</v>
      </c>
      <c r="D28" s="5" t="s">
        <v>288</v>
      </c>
      <c r="E28" s="5" t="s">
        <v>290</v>
      </c>
      <c r="F28" s="5" t="s">
        <v>291</v>
      </c>
      <c r="G28" s="5" t="s">
        <v>292</v>
      </c>
      <c r="H28" s="5" t="s">
        <v>32</v>
      </c>
      <c r="I28" s="5" t="s">
        <v>293</v>
      </c>
      <c r="J28" s="5" t="s">
        <v>34</v>
      </c>
      <c r="K28" s="5" t="s">
        <v>160</v>
      </c>
      <c r="L28" s="5" t="s">
        <v>160</v>
      </c>
      <c r="M28" s="5" t="s">
        <v>160</v>
      </c>
      <c r="N28" s="5" t="s">
        <v>36</v>
      </c>
      <c r="P28" s="5" t="s">
        <v>37</v>
      </c>
      <c r="R28" s="5" t="s">
        <v>294</v>
      </c>
      <c r="S28" s="5" t="s">
        <v>295</v>
      </c>
      <c r="T28" s="5" t="str">
        <f t="shared" si="0"/>
        <v>JUNTOS POR EL PERU - 21487528.pdf</v>
      </c>
      <c r="U28" s="6">
        <f t="shared" ca="1" si="1"/>
        <v>72</v>
      </c>
      <c r="V28" s="6" t="str">
        <f t="shared" ca="1" si="2"/>
        <v>60+</v>
      </c>
      <c r="W28" s="6" t="str">
        <f t="shared" si="3"/>
        <v>PERÚ</v>
      </c>
      <c r="X28" s="6" t="str">
        <f t="shared" si="4"/>
        <v>MASCULINO</v>
      </c>
      <c r="Y28" s="6" t="str">
        <f t="shared" si="5"/>
        <v>ICA</v>
      </c>
      <c r="Z28" s="6" t="str">
        <f t="shared" si="6"/>
        <v>ÚNICO NACIONAL</v>
      </c>
      <c r="AA28" s="6"/>
    </row>
    <row r="29" spans="1:27" ht="15.75" customHeight="1" x14ac:dyDescent="0.2">
      <c r="A29" s="5" t="s">
        <v>276</v>
      </c>
      <c r="B29" s="5" t="s">
        <v>296</v>
      </c>
      <c r="C29" s="5" t="s">
        <v>297</v>
      </c>
      <c r="D29" s="5" t="s">
        <v>296</v>
      </c>
      <c r="E29" s="5" t="s">
        <v>298</v>
      </c>
      <c r="F29" s="5" t="s">
        <v>299</v>
      </c>
      <c r="G29" s="5" t="s">
        <v>300</v>
      </c>
      <c r="H29" s="5" t="s">
        <v>32</v>
      </c>
      <c r="I29" s="5" t="s">
        <v>301</v>
      </c>
      <c r="J29" s="5" t="s">
        <v>34</v>
      </c>
      <c r="K29" s="5" t="s">
        <v>67</v>
      </c>
      <c r="L29" s="5" t="s">
        <v>244</v>
      </c>
      <c r="M29" s="5" t="s">
        <v>302</v>
      </c>
      <c r="N29" s="5" t="s">
        <v>36</v>
      </c>
      <c r="P29" s="5" t="s">
        <v>37</v>
      </c>
      <c r="R29" s="5" t="s">
        <v>303</v>
      </c>
      <c r="S29" s="5" t="s">
        <v>304</v>
      </c>
      <c r="T29" s="5" t="str">
        <f t="shared" si="0"/>
        <v>JUNTOS POR EL PERU - 27409088.pdf</v>
      </c>
      <c r="U29" s="6">
        <f t="shared" ca="1" si="1"/>
        <v>61</v>
      </c>
      <c r="V29" s="6" t="str">
        <f t="shared" ca="1" si="2"/>
        <v>60+</v>
      </c>
      <c r="W29" s="6" t="str">
        <f t="shared" si="3"/>
        <v>PERÚ</v>
      </c>
      <c r="X29" s="6" t="str">
        <f t="shared" si="4"/>
        <v>MASCULINO</v>
      </c>
      <c r="Y29" s="6" t="str">
        <f t="shared" si="5"/>
        <v>CAJAMARCA</v>
      </c>
      <c r="Z29" s="6" t="str">
        <f t="shared" si="6"/>
        <v>ÚNICO NACIONAL</v>
      </c>
      <c r="AA29" s="6"/>
    </row>
    <row r="30" spans="1:27" ht="15.75" customHeight="1" x14ac:dyDescent="0.2">
      <c r="A30" s="5" t="s">
        <v>276</v>
      </c>
      <c r="B30" s="5" t="s">
        <v>305</v>
      </c>
      <c r="C30" s="5" t="s">
        <v>306</v>
      </c>
      <c r="D30" s="5" t="s">
        <v>305</v>
      </c>
      <c r="E30" s="5" t="s">
        <v>307</v>
      </c>
      <c r="F30" s="5" t="s">
        <v>308</v>
      </c>
      <c r="G30" s="5" t="s">
        <v>309</v>
      </c>
      <c r="H30" s="5" t="s">
        <v>32</v>
      </c>
      <c r="I30" s="5" t="s">
        <v>310</v>
      </c>
      <c r="J30" s="5" t="s">
        <v>34</v>
      </c>
      <c r="K30" s="5" t="s">
        <v>57</v>
      </c>
      <c r="L30" s="5" t="s">
        <v>311</v>
      </c>
      <c r="M30" s="5" t="s">
        <v>312</v>
      </c>
      <c r="N30" s="5" t="s">
        <v>36</v>
      </c>
      <c r="P30" s="5" t="s">
        <v>313</v>
      </c>
      <c r="R30" s="5" t="s">
        <v>314</v>
      </c>
      <c r="S30" s="5" t="s">
        <v>315</v>
      </c>
      <c r="T30" s="5" t="str">
        <f t="shared" si="0"/>
        <v>JUNTOS POR EL PERU - 40669342.pdf</v>
      </c>
      <c r="U30" s="6">
        <f t="shared" ca="1" si="1"/>
        <v>47</v>
      </c>
      <c r="V30" s="6" t="str">
        <f t="shared" ca="1" si="2"/>
        <v>40-49</v>
      </c>
      <c r="W30" s="6" t="str">
        <f t="shared" si="3"/>
        <v>PERÚ</v>
      </c>
      <c r="X30" s="6" t="str">
        <f t="shared" si="4"/>
        <v>MASCULINO</v>
      </c>
      <c r="Y30" s="6" t="str">
        <f t="shared" si="5"/>
        <v>CUSCO</v>
      </c>
      <c r="Z30" s="6" t="str">
        <f t="shared" si="6"/>
        <v>MADRE DE DIOS</v>
      </c>
      <c r="AA30" s="6"/>
    </row>
    <row r="31" spans="1:27" ht="15.75" customHeight="1" x14ac:dyDescent="0.2">
      <c r="A31" s="5" t="s">
        <v>276</v>
      </c>
      <c r="B31" s="5" t="s">
        <v>316</v>
      </c>
      <c r="C31" s="5" t="s">
        <v>317</v>
      </c>
      <c r="D31" s="5" t="s">
        <v>316</v>
      </c>
      <c r="E31" s="5" t="s">
        <v>318</v>
      </c>
      <c r="F31" s="5" t="s">
        <v>319</v>
      </c>
      <c r="G31" s="5" t="s">
        <v>320</v>
      </c>
      <c r="H31" s="5" t="s">
        <v>32</v>
      </c>
      <c r="I31" s="5" t="s">
        <v>321</v>
      </c>
      <c r="J31" s="5" t="s">
        <v>34</v>
      </c>
      <c r="K31" s="5" t="s">
        <v>322</v>
      </c>
      <c r="L31" s="5" t="s">
        <v>322</v>
      </c>
      <c r="M31" s="5" t="s">
        <v>323</v>
      </c>
      <c r="N31" s="5" t="s">
        <v>36</v>
      </c>
      <c r="P31" s="5" t="s">
        <v>324</v>
      </c>
      <c r="R31" s="5" t="s">
        <v>325</v>
      </c>
      <c r="S31" s="5" t="s">
        <v>326</v>
      </c>
      <c r="T31" s="5" t="str">
        <f t="shared" si="0"/>
        <v>JUNTOS POR EL PERU - 04647085.pdf</v>
      </c>
      <c r="U31" s="6">
        <f t="shared" ca="1" si="1"/>
        <v>53</v>
      </c>
      <c r="V31" s="6" t="str">
        <f t="shared" ca="1" si="2"/>
        <v>50-59</v>
      </c>
      <c r="W31" s="6" t="str">
        <f t="shared" si="3"/>
        <v>PERÚ</v>
      </c>
      <c r="X31" s="6" t="str">
        <f t="shared" si="4"/>
        <v>MASCULINO</v>
      </c>
      <c r="Y31" s="6" t="str">
        <f t="shared" si="5"/>
        <v>PUNO</v>
      </c>
      <c r="Z31" s="6" t="str">
        <f t="shared" si="6"/>
        <v>MOQUEGUA</v>
      </c>
      <c r="AA31" s="6"/>
    </row>
    <row r="32" spans="1:27" ht="15.75" customHeight="1" x14ac:dyDescent="0.2">
      <c r="A32" s="5" t="s">
        <v>276</v>
      </c>
      <c r="B32" s="5" t="s">
        <v>327</v>
      </c>
      <c r="C32" s="5" t="s">
        <v>328</v>
      </c>
      <c r="D32" s="5" t="s">
        <v>327</v>
      </c>
      <c r="E32" s="5" t="s">
        <v>329</v>
      </c>
      <c r="F32" s="5" t="s">
        <v>330</v>
      </c>
      <c r="G32" s="5" t="s">
        <v>331</v>
      </c>
      <c r="H32" s="5" t="s">
        <v>32</v>
      </c>
      <c r="I32" s="5" t="s">
        <v>332</v>
      </c>
      <c r="J32" s="5" t="s">
        <v>34</v>
      </c>
      <c r="K32" s="5" t="s">
        <v>333</v>
      </c>
      <c r="L32" s="5" t="s">
        <v>334</v>
      </c>
      <c r="M32" s="5" t="s">
        <v>333</v>
      </c>
      <c r="N32" s="5" t="s">
        <v>36</v>
      </c>
      <c r="P32" s="5" t="s">
        <v>37</v>
      </c>
      <c r="R32" s="5" t="s">
        <v>335</v>
      </c>
      <c r="S32" s="5" t="s">
        <v>336</v>
      </c>
      <c r="T32" s="5" t="str">
        <f t="shared" si="0"/>
        <v>JUNTOS POR EL PERU - 21453924.pdf</v>
      </c>
      <c r="U32" s="6">
        <f t="shared" ca="1" si="1"/>
        <v>65</v>
      </c>
      <c r="V32" s="6" t="str">
        <f t="shared" ca="1" si="2"/>
        <v>60+</v>
      </c>
      <c r="W32" s="6" t="str">
        <f t="shared" si="3"/>
        <v>PERÚ</v>
      </c>
      <c r="X32" s="6" t="str">
        <f t="shared" si="4"/>
        <v>MASCULINO</v>
      </c>
      <c r="Y32" s="6" t="str">
        <f t="shared" si="5"/>
        <v>AYACUCHO</v>
      </c>
      <c r="Z32" s="6" t="str">
        <f t="shared" si="6"/>
        <v>ÚNICO NACIONAL</v>
      </c>
      <c r="AA32" s="6"/>
    </row>
    <row r="33" spans="1:27" ht="15.75" customHeight="1" x14ac:dyDescent="0.2">
      <c r="A33" s="5" t="s">
        <v>276</v>
      </c>
      <c r="B33" s="5" t="s">
        <v>337</v>
      </c>
      <c r="C33" s="5" t="s">
        <v>338</v>
      </c>
      <c r="D33" s="5" t="s">
        <v>337</v>
      </c>
      <c r="E33" s="5" t="s">
        <v>291</v>
      </c>
      <c r="F33" s="5" t="s">
        <v>179</v>
      </c>
      <c r="G33" s="5" t="s">
        <v>339</v>
      </c>
      <c r="H33" s="5" t="s">
        <v>32</v>
      </c>
      <c r="I33" s="5" t="s">
        <v>340</v>
      </c>
      <c r="J33" s="5" t="s">
        <v>34</v>
      </c>
      <c r="K33" s="5" t="s">
        <v>341</v>
      </c>
      <c r="L33" s="5" t="s">
        <v>342</v>
      </c>
      <c r="M33" s="5" t="s">
        <v>343</v>
      </c>
      <c r="N33" s="5" t="s">
        <v>36</v>
      </c>
      <c r="P33" s="5" t="s">
        <v>333</v>
      </c>
      <c r="R33" s="5" t="s">
        <v>344</v>
      </c>
      <c r="S33" s="5" t="s">
        <v>345</v>
      </c>
      <c r="T33" s="5" t="str">
        <f t="shared" si="0"/>
        <v>JUNTOS POR EL PERU - 10252335.pdf</v>
      </c>
      <c r="U33" s="6">
        <f t="shared" ca="1" si="1"/>
        <v>50</v>
      </c>
      <c r="V33" s="6" t="str">
        <f t="shared" ca="1" si="2"/>
        <v>50-59</v>
      </c>
      <c r="W33" s="6" t="str">
        <f t="shared" si="3"/>
        <v>PERÚ</v>
      </c>
      <c r="X33" s="6" t="str">
        <f t="shared" si="4"/>
        <v>MASCULINO</v>
      </c>
      <c r="Y33" s="6" t="str">
        <f t="shared" si="5"/>
        <v>HUANCAVELICA</v>
      </c>
      <c r="Z33" s="6" t="str">
        <f t="shared" si="6"/>
        <v>AYACUCHO</v>
      </c>
      <c r="AA33" s="6"/>
    </row>
    <row r="34" spans="1:27" ht="15.75" customHeight="1" x14ac:dyDescent="0.2">
      <c r="A34" s="5" t="s">
        <v>276</v>
      </c>
      <c r="B34" s="5" t="s">
        <v>346</v>
      </c>
      <c r="C34" s="5" t="s">
        <v>347</v>
      </c>
      <c r="D34" s="5" t="s">
        <v>346</v>
      </c>
      <c r="E34" s="5" t="s">
        <v>348</v>
      </c>
      <c r="F34" s="5" t="s">
        <v>349</v>
      </c>
      <c r="G34" s="5" t="s">
        <v>350</v>
      </c>
      <c r="H34" s="5" t="s">
        <v>32</v>
      </c>
      <c r="I34" s="5" t="s">
        <v>351</v>
      </c>
      <c r="J34" s="5" t="s">
        <v>34</v>
      </c>
      <c r="K34" s="5" t="s">
        <v>263</v>
      </c>
      <c r="L34" s="5" t="s">
        <v>352</v>
      </c>
      <c r="M34" s="5" t="s">
        <v>352</v>
      </c>
      <c r="N34" s="5" t="s">
        <v>36</v>
      </c>
      <c r="P34" s="5" t="s">
        <v>263</v>
      </c>
      <c r="R34" s="5" t="s">
        <v>353</v>
      </c>
      <c r="S34" s="5" t="s">
        <v>354</v>
      </c>
      <c r="T34" s="5" t="str">
        <f t="shared" ref="T34:T61" si="7">CONCATENATE(A34," - ",B34,".pdf")</f>
        <v>JUNTOS POR EL PERU - 40938678.pdf</v>
      </c>
      <c r="U34" s="6">
        <f t="shared" ref="U34:U61" ca="1" si="8">IF(I34="","",DATEDIF(DATE(VALUE(RIGHT(I34,4)),VALUE(MID(I34,4,2)),VALUE(LEFT(I34,2))),TODAY(),"Y"))</f>
        <v>47</v>
      </c>
      <c r="V34" s="6" t="str">
        <f t="shared" ref="V34:V65" ca="1" si="9">IF(U34="","",IF(U34&lt;30,"18-29",IF(U34&lt;40,"30-39",IF(U34&lt;50,"40-49",IF(U34&lt;60,"50-59","60+")))))</f>
        <v>40-49</v>
      </c>
      <c r="W34" s="6" t="str">
        <f t="shared" ref="W34:W61" si="10">IF(UPPER(TRIM(J34))="PERU","PERÚ",UPPER(TRIM(J34)))</f>
        <v>PERÚ</v>
      </c>
      <c r="X34" s="6" t="str">
        <f t="shared" ref="X34:X61" si="11">UPPER(TRIM(H34))</f>
        <v>MASCULINO</v>
      </c>
      <c r="Y34" s="6" t="str">
        <f t="shared" ref="Y34:Y61" si="12">UPPER(TRIM(K34))</f>
        <v>PASCO</v>
      </c>
      <c r="Z34" s="6" t="str">
        <f t="shared" ref="Z34:Z61" si="13">UPPER(TRIM(P34))</f>
        <v>PASCO</v>
      </c>
      <c r="AA34" s="6"/>
    </row>
    <row r="35" spans="1:27" ht="15.75" customHeight="1" x14ac:dyDescent="0.2">
      <c r="A35" s="5" t="s">
        <v>276</v>
      </c>
      <c r="B35" s="5" t="s">
        <v>355</v>
      </c>
      <c r="C35" s="5" t="s">
        <v>356</v>
      </c>
      <c r="D35" s="5" t="s">
        <v>355</v>
      </c>
      <c r="E35" s="5" t="s">
        <v>357</v>
      </c>
      <c r="F35" s="5" t="s">
        <v>358</v>
      </c>
      <c r="G35" s="5" t="s">
        <v>359</v>
      </c>
      <c r="H35" s="5" t="s">
        <v>32</v>
      </c>
      <c r="I35" s="5" t="s">
        <v>360</v>
      </c>
      <c r="J35" s="5" t="s">
        <v>34</v>
      </c>
      <c r="K35" s="5" t="s">
        <v>35</v>
      </c>
      <c r="L35" s="5" t="s">
        <v>35</v>
      </c>
      <c r="M35" s="5" t="s">
        <v>35</v>
      </c>
      <c r="N35" s="5" t="s">
        <v>36</v>
      </c>
      <c r="P35" s="5" t="s">
        <v>37</v>
      </c>
      <c r="R35" s="5" t="s">
        <v>361</v>
      </c>
      <c r="S35" s="5" t="s">
        <v>362</v>
      </c>
      <c r="T35" s="5" t="str">
        <f t="shared" si="7"/>
        <v>JUNTOS POR EL PERU - 29632775.pdf</v>
      </c>
      <c r="U35" s="6">
        <f t="shared" ca="1" si="8"/>
        <v>51</v>
      </c>
      <c r="V35" s="6" t="str">
        <f t="shared" ca="1" si="9"/>
        <v>50-59</v>
      </c>
      <c r="W35" s="6" t="str">
        <f t="shared" si="10"/>
        <v>PERÚ</v>
      </c>
      <c r="X35" s="6" t="str">
        <f t="shared" si="11"/>
        <v>MASCULINO</v>
      </c>
      <c r="Y35" s="6" t="str">
        <f t="shared" si="12"/>
        <v>AREQUIPA</v>
      </c>
      <c r="Z35" s="6" t="str">
        <f t="shared" si="13"/>
        <v>ÚNICO NACIONAL</v>
      </c>
      <c r="AA35" s="6"/>
    </row>
    <row r="36" spans="1:27" ht="15.75" customHeight="1" x14ac:dyDescent="0.2">
      <c r="A36" s="5" t="s">
        <v>276</v>
      </c>
      <c r="B36" s="5" t="s">
        <v>363</v>
      </c>
      <c r="C36" s="5" t="s">
        <v>364</v>
      </c>
      <c r="D36" s="5" t="s">
        <v>363</v>
      </c>
      <c r="E36" s="5" t="s">
        <v>365</v>
      </c>
      <c r="F36" s="5" t="s">
        <v>366</v>
      </c>
      <c r="G36" s="5" t="s">
        <v>367</v>
      </c>
      <c r="H36" s="5" t="s">
        <v>55</v>
      </c>
      <c r="I36" s="5" t="s">
        <v>368</v>
      </c>
      <c r="J36" s="5" t="s">
        <v>34</v>
      </c>
      <c r="K36" s="5" t="s">
        <v>150</v>
      </c>
      <c r="L36" s="5" t="s">
        <v>369</v>
      </c>
      <c r="M36" s="5" t="s">
        <v>369</v>
      </c>
      <c r="N36" s="5" t="s">
        <v>36</v>
      </c>
      <c r="P36" s="5" t="s">
        <v>37</v>
      </c>
      <c r="R36" s="5" t="s">
        <v>370</v>
      </c>
      <c r="S36" s="5" t="s">
        <v>371</v>
      </c>
      <c r="T36" s="5" t="str">
        <f t="shared" si="7"/>
        <v>JUNTOS POR EL PERU - 42750152.pdf</v>
      </c>
      <c r="U36" s="6">
        <f t="shared" ca="1" si="8"/>
        <v>41</v>
      </c>
      <c r="V36" s="6" t="str">
        <f t="shared" ca="1" si="9"/>
        <v>40-49</v>
      </c>
      <c r="W36" s="6" t="str">
        <f t="shared" si="10"/>
        <v>PERÚ</v>
      </c>
      <c r="X36" s="6" t="str">
        <f t="shared" si="11"/>
        <v>FEMENINO</v>
      </c>
      <c r="Y36" s="6" t="str">
        <f t="shared" si="12"/>
        <v>JUNIN</v>
      </c>
      <c r="Z36" s="6" t="str">
        <f t="shared" si="13"/>
        <v>ÚNICO NACIONAL</v>
      </c>
      <c r="AA36" s="6"/>
    </row>
    <row r="37" spans="1:27" ht="15.75" customHeight="1" x14ac:dyDescent="0.2">
      <c r="A37" s="5" t="s">
        <v>276</v>
      </c>
      <c r="B37" s="5" t="s">
        <v>372</v>
      </c>
      <c r="C37" s="5" t="s">
        <v>373</v>
      </c>
      <c r="D37" s="5" t="s">
        <v>372</v>
      </c>
      <c r="E37" s="5" t="s">
        <v>374</v>
      </c>
      <c r="F37" s="5" t="s">
        <v>375</v>
      </c>
      <c r="G37" s="5" t="s">
        <v>376</v>
      </c>
      <c r="H37" s="5" t="s">
        <v>32</v>
      </c>
      <c r="I37" s="5" t="s">
        <v>377</v>
      </c>
      <c r="J37" s="5" t="s">
        <v>34</v>
      </c>
      <c r="K37" s="5" t="s">
        <v>57</v>
      </c>
      <c r="L37" s="5" t="s">
        <v>57</v>
      </c>
      <c r="M37" s="5" t="s">
        <v>57</v>
      </c>
      <c r="N37" s="5" t="s">
        <v>36</v>
      </c>
      <c r="P37" s="5" t="s">
        <v>57</v>
      </c>
      <c r="R37" s="5" t="s">
        <v>378</v>
      </c>
      <c r="S37" s="5" t="s">
        <v>379</v>
      </c>
      <c r="T37" s="5" t="str">
        <f t="shared" si="7"/>
        <v>JUNTOS POR EL PERU - 23906812.pdf</v>
      </c>
      <c r="U37" s="6">
        <f t="shared" ca="1" si="8"/>
        <v>63</v>
      </c>
      <c r="V37" s="6" t="str">
        <f t="shared" ca="1" si="9"/>
        <v>60+</v>
      </c>
      <c r="W37" s="6" t="str">
        <f t="shared" si="10"/>
        <v>PERÚ</v>
      </c>
      <c r="X37" s="6" t="str">
        <f t="shared" si="11"/>
        <v>MASCULINO</v>
      </c>
      <c r="Y37" s="6" t="str">
        <f t="shared" si="12"/>
        <v>CUSCO</v>
      </c>
      <c r="Z37" s="6" t="str">
        <f t="shared" si="13"/>
        <v>CUSCO</v>
      </c>
      <c r="AA37" s="6"/>
    </row>
    <row r="38" spans="1:27" ht="15.75" customHeight="1" x14ac:dyDescent="0.2">
      <c r="A38" s="5" t="s">
        <v>380</v>
      </c>
      <c r="B38" s="5" t="s">
        <v>381</v>
      </c>
      <c r="C38" s="5" t="s">
        <v>382</v>
      </c>
      <c r="D38" s="5" t="s">
        <v>381</v>
      </c>
      <c r="E38" s="5" t="s">
        <v>383</v>
      </c>
      <c r="F38" s="5" t="s">
        <v>384</v>
      </c>
      <c r="G38" s="5" t="s">
        <v>385</v>
      </c>
      <c r="H38" s="5" t="s">
        <v>32</v>
      </c>
      <c r="I38" s="5" t="s">
        <v>386</v>
      </c>
      <c r="J38" s="5" t="s">
        <v>34</v>
      </c>
      <c r="K38" s="5" t="s">
        <v>46</v>
      </c>
      <c r="L38" s="5" t="s">
        <v>46</v>
      </c>
      <c r="M38" s="5" t="s">
        <v>387</v>
      </c>
      <c r="N38" s="5" t="s">
        <v>36</v>
      </c>
      <c r="P38" s="5" t="s">
        <v>37</v>
      </c>
      <c r="R38" s="5" t="s">
        <v>388</v>
      </c>
      <c r="S38" s="5" t="s">
        <v>389</v>
      </c>
      <c r="T38" s="5" t="str">
        <f t="shared" si="7"/>
        <v>PARTIDO CIVICO OBRAS - 07651031.pdf</v>
      </c>
      <c r="U38" s="6">
        <f t="shared" ca="1" si="8"/>
        <v>65</v>
      </c>
      <c r="V38" s="6" t="str">
        <f t="shared" ca="1" si="9"/>
        <v>60+</v>
      </c>
      <c r="W38" s="6" t="str">
        <f t="shared" si="10"/>
        <v>PERÚ</v>
      </c>
      <c r="X38" s="6" t="str">
        <f t="shared" si="11"/>
        <v>MASCULINO</v>
      </c>
      <c r="Y38" s="6" t="str">
        <f t="shared" si="12"/>
        <v>LIMA</v>
      </c>
      <c r="Z38" s="6" t="str">
        <f t="shared" si="13"/>
        <v>ÚNICO NACIONAL</v>
      </c>
      <c r="AA38" s="6"/>
    </row>
    <row r="39" spans="1:27" ht="15.75" customHeight="1" x14ac:dyDescent="0.2">
      <c r="A39" s="5" t="s">
        <v>380</v>
      </c>
      <c r="B39" s="5" t="s">
        <v>390</v>
      </c>
      <c r="C39" s="5" t="s">
        <v>391</v>
      </c>
      <c r="D39" s="5" t="s">
        <v>390</v>
      </c>
      <c r="E39" s="5" t="s">
        <v>392</v>
      </c>
      <c r="F39" s="5" t="s">
        <v>393</v>
      </c>
      <c r="G39" s="5" t="s">
        <v>394</v>
      </c>
      <c r="H39" s="5" t="s">
        <v>32</v>
      </c>
      <c r="I39" s="5" t="s">
        <v>395</v>
      </c>
      <c r="J39" s="5" t="s">
        <v>34</v>
      </c>
      <c r="K39" s="5" t="s">
        <v>46</v>
      </c>
      <c r="L39" s="5" t="s">
        <v>46</v>
      </c>
      <c r="M39" s="5" t="s">
        <v>46</v>
      </c>
      <c r="N39" s="5" t="s">
        <v>396</v>
      </c>
      <c r="O39" s="5" t="s">
        <v>36</v>
      </c>
      <c r="P39" s="5" t="s">
        <v>37</v>
      </c>
      <c r="R39" s="5" t="s">
        <v>397</v>
      </c>
      <c r="S39" s="5" t="s">
        <v>398</v>
      </c>
      <c r="T39" s="5" t="str">
        <f t="shared" si="7"/>
        <v>PARTIDO CIVICO OBRAS - 10063223.pdf</v>
      </c>
      <c r="U39" s="6">
        <f t="shared" ca="1" si="8"/>
        <v>64</v>
      </c>
      <c r="V39" s="6" t="str">
        <f t="shared" ca="1" si="9"/>
        <v>60+</v>
      </c>
      <c r="W39" s="6" t="str">
        <f t="shared" si="10"/>
        <v>PERÚ</v>
      </c>
      <c r="X39" s="6" t="str">
        <f t="shared" si="11"/>
        <v>MASCULINO</v>
      </c>
      <c r="Y39" s="6" t="str">
        <f t="shared" si="12"/>
        <v>LIMA</v>
      </c>
      <c r="Z39" s="6" t="str">
        <f t="shared" si="13"/>
        <v>ÚNICO NACIONAL</v>
      </c>
      <c r="AA39" s="6"/>
    </row>
    <row r="40" spans="1:27" ht="15.75" customHeight="1" x14ac:dyDescent="0.2">
      <c r="A40" s="5" t="s">
        <v>380</v>
      </c>
      <c r="B40" s="5" t="s">
        <v>399</v>
      </c>
      <c r="C40" s="5" t="s">
        <v>400</v>
      </c>
      <c r="D40" s="5" t="s">
        <v>399</v>
      </c>
      <c r="E40" s="5" t="s">
        <v>136</v>
      </c>
      <c r="F40" s="5" t="s">
        <v>401</v>
      </c>
      <c r="G40" s="5" t="s">
        <v>402</v>
      </c>
      <c r="H40" s="5" t="s">
        <v>55</v>
      </c>
      <c r="I40" s="5" t="s">
        <v>403</v>
      </c>
      <c r="J40" s="5" t="s">
        <v>34</v>
      </c>
      <c r="K40" s="5" t="s">
        <v>46</v>
      </c>
      <c r="L40" s="5" t="s">
        <v>46</v>
      </c>
      <c r="M40" s="5" t="s">
        <v>404</v>
      </c>
      <c r="N40" s="5" t="s">
        <v>36</v>
      </c>
      <c r="P40" s="5" t="s">
        <v>37</v>
      </c>
      <c r="R40" s="5" t="s">
        <v>405</v>
      </c>
      <c r="S40" s="5" t="s">
        <v>406</v>
      </c>
      <c r="T40" s="5" t="str">
        <f t="shared" si="7"/>
        <v>PARTIDO CIVICO OBRAS - 07250032.pdf</v>
      </c>
      <c r="U40" s="6">
        <f t="shared" ca="1" si="8"/>
        <v>75</v>
      </c>
      <c r="V40" s="6" t="str">
        <f t="shared" ca="1" si="9"/>
        <v>60+</v>
      </c>
      <c r="W40" s="6" t="str">
        <f t="shared" si="10"/>
        <v>PERÚ</v>
      </c>
      <c r="X40" s="6" t="str">
        <f t="shared" si="11"/>
        <v>FEMENINO</v>
      </c>
      <c r="Y40" s="6" t="str">
        <f t="shared" si="12"/>
        <v>LIMA</v>
      </c>
      <c r="Z40" s="6" t="str">
        <f t="shared" si="13"/>
        <v>ÚNICO NACIONAL</v>
      </c>
      <c r="AA40" s="6"/>
    </row>
    <row r="41" spans="1:27" ht="15.75" customHeight="1" x14ac:dyDescent="0.2">
      <c r="A41" s="5" t="s">
        <v>380</v>
      </c>
      <c r="B41" s="5" t="s">
        <v>407</v>
      </c>
      <c r="C41" s="5" t="s">
        <v>408</v>
      </c>
      <c r="D41" s="5" t="s">
        <v>407</v>
      </c>
      <c r="E41" s="5" t="s">
        <v>409</v>
      </c>
      <c r="F41" s="5" t="s">
        <v>410</v>
      </c>
      <c r="G41" s="5" t="s">
        <v>411</v>
      </c>
      <c r="H41" s="5" t="s">
        <v>32</v>
      </c>
      <c r="I41" s="5" t="s">
        <v>412</v>
      </c>
      <c r="J41" s="5" t="s">
        <v>34</v>
      </c>
      <c r="K41" s="5" t="s">
        <v>46</v>
      </c>
      <c r="L41" s="5" t="s">
        <v>413</v>
      </c>
      <c r="M41" s="5" t="s">
        <v>414</v>
      </c>
      <c r="N41" s="5" t="s">
        <v>36</v>
      </c>
      <c r="P41" s="5" t="s">
        <v>37</v>
      </c>
      <c r="R41" s="5" t="s">
        <v>415</v>
      </c>
      <c r="S41" s="5" t="s">
        <v>416</v>
      </c>
      <c r="T41" s="5" t="str">
        <f t="shared" si="7"/>
        <v>PARTIDO CIVICO OBRAS - 07412350.pdf</v>
      </c>
      <c r="U41" s="6">
        <f t="shared" ca="1" si="8"/>
        <v>64</v>
      </c>
      <c r="V41" s="6" t="str">
        <f t="shared" ca="1" si="9"/>
        <v>60+</v>
      </c>
      <c r="W41" s="6" t="str">
        <f t="shared" si="10"/>
        <v>PERÚ</v>
      </c>
      <c r="X41" s="6" t="str">
        <f t="shared" si="11"/>
        <v>MASCULINO</v>
      </c>
      <c r="Y41" s="6" t="str">
        <f t="shared" si="12"/>
        <v>LIMA</v>
      </c>
      <c r="Z41" s="6" t="str">
        <f t="shared" si="13"/>
        <v>ÚNICO NACIONAL</v>
      </c>
      <c r="AA41" s="6"/>
    </row>
    <row r="42" spans="1:27" ht="15.75" customHeight="1" x14ac:dyDescent="0.2">
      <c r="A42" s="5" t="s">
        <v>380</v>
      </c>
      <c r="B42" s="5" t="s">
        <v>417</v>
      </c>
      <c r="C42" s="5" t="s">
        <v>418</v>
      </c>
      <c r="D42" s="5" t="s">
        <v>417</v>
      </c>
      <c r="E42" s="5" t="s">
        <v>419</v>
      </c>
      <c r="F42" s="5" t="s">
        <v>420</v>
      </c>
      <c r="G42" s="5" t="s">
        <v>421</v>
      </c>
      <c r="H42" s="5" t="s">
        <v>55</v>
      </c>
      <c r="I42" s="5" t="s">
        <v>422</v>
      </c>
      <c r="J42" s="5" t="s">
        <v>34</v>
      </c>
      <c r="K42" s="5" t="s">
        <v>423</v>
      </c>
      <c r="L42" s="5" t="s">
        <v>423</v>
      </c>
      <c r="M42" s="5" t="s">
        <v>423</v>
      </c>
      <c r="N42" s="5" t="s">
        <v>36</v>
      </c>
      <c r="P42" s="5" t="s">
        <v>423</v>
      </c>
      <c r="R42" s="5" t="s">
        <v>424</v>
      </c>
      <c r="S42" s="5" t="s">
        <v>425</v>
      </c>
      <c r="T42" s="5" t="str">
        <f t="shared" si="7"/>
        <v>PARTIDO CIVICO OBRAS - 00422672.pdf</v>
      </c>
      <c r="U42" s="6">
        <f t="shared" ca="1" si="8"/>
        <v>63</v>
      </c>
      <c r="V42" s="6" t="str">
        <f t="shared" ca="1" si="9"/>
        <v>60+</v>
      </c>
      <c r="W42" s="6" t="str">
        <f t="shared" si="10"/>
        <v>PERÚ</v>
      </c>
      <c r="X42" s="6" t="str">
        <f t="shared" si="11"/>
        <v>FEMENINO</v>
      </c>
      <c r="Y42" s="6" t="str">
        <f t="shared" si="12"/>
        <v>TACNA</v>
      </c>
      <c r="Z42" s="6" t="str">
        <f t="shared" si="13"/>
        <v>TACNA</v>
      </c>
      <c r="AA42" s="6"/>
    </row>
    <row r="43" spans="1:27" ht="15.75" customHeight="1" x14ac:dyDescent="0.2">
      <c r="A43" s="5" t="s">
        <v>426</v>
      </c>
      <c r="B43" s="5" t="s">
        <v>427</v>
      </c>
      <c r="C43" s="5" t="s">
        <v>428</v>
      </c>
      <c r="D43" s="5" t="s">
        <v>427</v>
      </c>
      <c r="E43" s="5" t="s">
        <v>429</v>
      </c>
      <c r="F43" s="5" t="s">
        <v>430</v>
      </c>
      <c r="G43" s="5" t="s">
        <v>431</v>
      </c>
      <c r="H43" s="5" t="s">
        <v>55</v>
      </c>
      <c r="I43" s="5" t="s">
        <v>432</v>
      </c>
      <c r="J43" s="5" t="s">
        <v>34</v>
      </c>
      <c r="K43" s="5" t="s">
        <v>46</v>
      </c>
      <c r="L43" s="5" t="s">
        <v>46</v>
      </c>
      <c r="M43" s="5" t="s">
        <v>46</v>
      </c>
      <c r="N43" s="5" t="s">
        <v>36</v>
      </c>
      <c r="P43" s="5" t="s">
        <v>190</v>
      </c>
      <c r="R43" s="5" t="s">
        <v>433</v>
      </c>
      <c r="S43" s="5" t="s">
        <v>434</v>
      </c>
      <c r="T43" s="5" t="str">
        <f t="shared" si="7"/>
        <v>PARTIDO DEL BUEN GOBIERNO - 06519219.pdf</v>
      </c>
      <c r="U43" s="6">
        <f t="shared" ca="1" si="8"/>
        <v>72</v>
      </c>
      <c r="V43" s="6" t="str">
        <f t="shared" ca="1" si="9"/>
        <v>60+</v>
      </c>
      <c r="W43" s="6" t="str">
        <f t="shared" si="10"/>
        <v>PERÚ</v>
      </c>
      <c r="X43" s="6" t="str">
        <f t="shared" si="11"/>
        <v>FEMENINO</v>
      </c>
      <c r="Y43" s="6" t="str">
        <f t="shared" si="12"/>
        <v>LIMA</v>
      </c>
      <c r="Z43" s="6" t="str">
        <f t="shared" si="13"/>
        <v>LIMA METROPOLITANA</v>
      </c>
      <c r="AA43" s="6"/>
    </row>
    <row r="44" spans="1:27" ht="15.75" customHeight="1" x14ac:dyDescent="0.2">
      <c r="A44" s="5" t="s">
        <v>426</v>
      </c>
      <c r="B44" s="5" t="s">
        <v>435</v>
      </c>
      <c r="C44" s="5" t="s">
        <v>436</v>
      </c>
      <c r="D44" s="5" t="s">
        <v>435</v>
      </c>
      <c r="E44" s="5" t="s">
        <v>437</v>
      </c>
      <c r="F44" s="5" t="s">
        <v>438</v>
      </c>
      <c r="G44" s="5" t="s">
        <v>439</v>
      </c>
      <c r="H44" s="5" t="s">
        <v>32</v>
      </c>
      <c r="I44" s="5" t="s">
        <v>440</v>
      </c>
      <c r="J44" s="5" t="s">
        <v>34</v>
      </c>
      <c r="K44" s="5" t="s">
        <v>46</v>
      </c>
      <c r="L44" s="5" t="s">
        <v>46</v>
      </c>
      <c r="M44" s="5" t="s">
        <v>46</v>
      </c>
      <c r="N44" s="5" t="s">
        <v>441</v>
      </c>
      <c r="O44" s="5" t="s">
        <v>36</v>
      </c>
      <c r="P44" s="5" t="s">
        <v>37</v>
      </c>
      <c r="R44" s="5" t="s">
        <v>442</v>
      </c>
      <c r="S44" s="5" t="s">
        <v>443</v>
      </c>
      <c r="T44" s="5" t="str">
        <f t="shared" si="7"/>
        <v>PARTIDO DEL BUEN GOBIERNO - 43360309.pdf</v>
      </c>
      <c r="U44" s="6">
        <f t="shared" ca="1" si="8"/>
        <v>63</v>
      </c>
      <c r="V44" s="6" t="str">
        <f t="shared" ca="1" si="9"/>
        <v>60+</v>
      </c>
      <c r="W44" s="6" t="str">
        <f t="shared" si="10"/>
        <v>PERÚ</v>
      </c>
      <c r="X44" s="6" t="str">
        <f t="shared" si="11"/>
        <v>MASCULINO</v>
      </c>
      <c r="Y44" s="6" t="str">
        <f t="shared" si="12"/>
        <v>LIMA</v>
      </c>
      <c r="Z44" s="6" t="str">
        <f t="shared" si="13"/>
        <v>ÚNICO NACIONAL</v>
      </c>
      <c r="AA44" s="6"/>
    </row>
    <row r="45" spans="1:27" ht="15.75" customHeight="1" x14ac:dyDescent="0.2">
      <c r="A45" s="5" t="s">
        <v>426</v>
      </c>
      <c r="B45" s="5" t="s">
        <v>444</v>
      </c>
      <c r="C45" s="5" t="s">
        <v>445</v>
      </c>
      <c r="D45" s="5" t="s">
        <v>444</v>
      </c>
      <c r="E45" s="5" t="s">
        <v>446</v>
      </c>
      <c r="F45" s="5" t="s">
        <v>447</v>
      </c>
      <c r="G45" s="5" t="s">
        <v>448</v>
      </c>
      <c r="H45" s="5" t="s">
        <v>32</v>
      </c>
      <c r="I45" s="5" t="s">
        <v>449</v>
      </c>
      <c r="J45" s="5" t="s">
        <v>34</v>
      </c>
      <c r="K45" s="5" t="s">
        <v>46</v>
      </c>
      <c r="L45" s="5" t="s">
        <v>46</v>
      </c>
      <c r="M45" s="5" t="s">
        <v>99</v>
      </c>
      <c r="N45" s="5" t="s">
        <v>36</v>
      </c>
      <c r="P45" s="5" t="s">
        <v>37</v>
      </c>
      <c r="R45" s="5" t="s">
        <v>450</v>
      </c>
      <c r="S45" s="5" t="s">
        <v>451</v>
      </c>
      <c r="T45" s="5" t="str">
        <f t="shared" si="7"/>
        <v>PARTIDO DEL BUEN GOBIERNO - 07793210.pdf</v>
      </c>
      <c r="U45" s="6">
        <f t="shared" ca="1" si="8"/>
        <v>72</v>
      </c>
      <c r="V45" s="6" t="str">
        <f t="shared" ca="1" si="9"/>
        <v>60+</v>
      </c>
      <c r="W45" s="6" t="str">
        <f t="shared" si="10"/>
        <v>PERÚ</v>
      </c>
      <c r="X45" s="6" t="str">
        <f t="shared" si="11"/>
        <v>MASCULINO</v>
      </c>
      <c r="Y45" s="6" t="str">
        <f t="shared" si="12"/>
        <v>LIMA</v>
      </c>
      <c r="Z45" s="6" t="str">
        <f t="shared" si="13"/>
        <v>ÚNICO NACIONAL</v>
      </c>
      <c r="AA45" s="6"/>
    </row>
    <row r="46" spans="1:27" ht="15.75" customHeight="1" x14ac:dyDescent="0.2">
      <c r="A46" s="5" t="s">
        <v>426</v>
      </c>
      <c r="B46" s="5" t="s">
        <v>452</v>
      </c>
      <c r="C46" s="5" t="s">
        <v>453</v>
      </c>
      <c r="D46" s="5" t="s">
        <v>452</v>
      </c>
      <c r="E46" s="5" t="s">
        <v>136</v>
      </c>
      <c r="F46" s="5" t="s">
        <v>454</v>
      </c>
      <c r="G46" s="5" t="s">
        <v>455</v>
      </c>
      <c r="H46" s="5" t="s">
        <v>32</v>
      </c>
      <c r="I46" s="5" t="s">
        <v>456</v>
      </c>
      <c r="J46" s="5" t="s">
        <v>34</v>
      </c>
      <c r="K46" s="5" t="s">
        <v>35</v>
      </c>
      <c r="L46" s="5" t="s">
        <v>457</v>
      </c>
      <c r="M46" s="5" t="s">
        <v>457</v>
      </c>
      <c r="N46" s="5" t="s">
        <v>36</v>
      </c>
      <c r="P46" s="5" t="s">
        <v>35</v>
      </c>
      <c r="R46" s="5" t="s">
        <v>458</v>
      </c>
      <c r="S46" s="5" t="s">
        <v>459</v>
      </c>
      <c r="T46" s="5" t="str">
        <f t="shared" si="7"/>
        <v>PARTIDO DEL BUEN GOBIERNO - 30762511.pdf</v>
      </c>
      <c r="U46" s="6">
        <f t="shared" ca="1" si="8"/>
        <v>53</v>
      </c>
      <c r="V46" s="6" t="str">
        <f t="shared" ca="1" si="9"/>
        <v>50-59</v>
      </c>
      <c r="W46" s="6" t="str">
        <f t="shared" si="10"/>
        <v>PERÚ</v>
      </c>
      <c r="X46" s="6" t="str">
        <f t="shared" si="11"/>
        <v>MASCULINO</v>
      </c>
      <c r="Y46" s="6" t="str">
        <f t="shared" si="12"/>
        <v>AREQUIPA</v>
      </c>
      <c r="Z46" s="6" t="str">
        <f t="shared" si="13"/>
        <v>AREQUIPA</v>
      </c>
      <c r="AA46" s="6"/>
    </row>
    <row r="47" spans="1:27" ht="15.75" customHeight="1" x14ac:dyDescent="0.2">
      <c r="A47" s="5" t="s">
        <v>426</v>
      </c>
      <c r="B47" s="5" t="s">
        <v>460</v>
      </c>
      <c r="C47" s="5" t="s">
        <v>461</v>
      </c>
      <c r="D47" s="5" t="s">
        <v>460</v>
      </c>
      <c r="E47" s="5" t="s">
        <v>462</v>
      </c>
      <c r="F47" s="5" t="s">
        <v>410</v>
      </c>
      <c r="G47" s="5" t="s">
        <v>463</v>
      </c>
      <c r="H47" s="5" t="s">
        <v>32</v>
      </c>
      <c r="I47" s="5" t="s">
        <v>464</v>
      </c>
      <c r="J47" s="5" t="s">
        <v>34</v>
      </c>
      <c r="K47" s="5" t="s">
        <v>46</v>
      </c>
      <c r="L47" s="5" t="s">
        <v>46</v>
      </c>
      <c r="M47" s="5" t="s">
        <v>99</v>
      </c>
      <c r="N47" s="5" t="s">
        <v>36</v>
      </c>
      <c r="P47" s="5" t="s">
        <v>37</v>
      </c>
      <c r="Q47" s="5" t="s">
        <v>465</v>
      </c>
      <c r="R47" s="5" t="s">
        <v>466</v>
      </c>
      <c r="S47" s="5" t="s">
        <v>467</v>
      </c>
      <c r="T47" s="5" t="str">
        <f t="shared" si="7"/>
        <v>PARTIDO DEL BUEN GOBIERNO - 07619185.pdf</v>
      </c>
      <c r="U47" s="6">
        <f t="shared" ca="1" si="8"/>
        <v>57</v>
      </c>
      <c r="V47" s="6" t="str">
        <f t="shared" ca="1" si="9"/>
        <v>50-59</v>
      </c>
      <c r="W47" s="6" t="str">
        <f t="shared" si="10"/>
        <v>PERÚ</v>
      </c>
      <c r="X47" s="6" t="str">
        <f t="shared" si="11"/>
        <v>MASCULINO</v>
      </c>
      <c r="Y47" s="6" t="str">
        <f t="shared" si="12"/>
        <v>LIMA</v>
      </c>
      <c r="Z47" s="6" t="str">
        <f t="shared" si="13"/>
        <v>ÚNICO NACIONAL</v>
      </c>
      <c r="AA47" s="6"/>
    </row>
    <row r="48" spans="1:27" ht="15.75" customHeight="1" x14ac:dyDescent="0.2">
      <c r="A48" s="5" t="s">
        <v>426</v>
      </c>
      <c r="B48" s="5" t="s">
        <v>468</v>
      </c>
      <c r="C48" s="5" t="s">
        <v>469</v>
      </c>
      <c r="D48" s="5" t="s">
        <v>468</v>
      </c>
      <c r="E48" s="5" t="s">
        <v>470</v>
      </c>
      <c r="F48" s="5" t="s">
        <v>471</v>
      </c>
      <c r="G48" s="5" t="s">
        <v>472</v>
      </c>
      <c r="H48" s="5" t="s">
        <v>55</v>
      </c>
      <c r="I48" s="5" t="s">
        <v>473</v>
      </c>
      <c r="J48" s="5" t="s">
        <v>34</v>
      </c>
      <c r="K48" s="5" t="s">
        <v>46</v>
      </c>
      <c r="L48" s="5" t="s">
        <v>46</v>
      </c>
      <c r="M48" s="5" t="s">
        <v>46</v>
      </c>
      <c r="N48" s="5" t="s">
        <v>36</v>
      </c>
      <c r="P48" s="5" t="s">
        <v>37</v>
      </c>
      <c r="R48" s="5" t="s">
        <v>474</v>
      </c>
      <c r="S48" s="5" t="s">
        <v>475</v>
      </c>
      <c r="T48" s="5" t="str">
        <f t="shared" si="7"/>
        <v>PARTIDO DEL BUEN GOBIERNO - 07231335.pdf</v>
      </c>
      <c r="U48" s="6">
        <f t="shared" ca="1" si="8"/>
        <v>73</v>
      </c>
      <c r="V48" s="6" t="str">
        <f t="shared" ca="1" si="9"/>
        <v>60+</v>
      </c>
      <c r="W48" s="6" t="str">
        <f t="shared" si="10"/>
        <v>PERÚ</v>
      </c>
      <c r="X48" s="6" t="str">
        <f t="shared" si="11"/>
        <v>FEMENINO</v>
      </c>
      <c r="Y48" s="6" t="str">
        <f t="shared" si="12"/>
        <v>LIMA</v>
      </c>
      <c r="Z48" s="6" t="str">
        <f t="shared" si="13"/>
        <v>ÚNICO NACIONAL</v>
      </c>
      <c r="AA48" s="6"/>
    </row>
    <row r="49" spans="1:27" ht="15.75" customHeight="1" x14ac:dyDescent="0.2">
      <c r="A49" s="5" t="s">
        <v>426</v>
      </c>
      <c r="B49" s="5" t="s">
        <v>476</v>
      </c>
      <c r="C49" s="5" t="s">
        <v>477</v>
      </c>
      <c r="D49" s="5" t="s">
        <v>476</v>
      </c>
      <c r="E49" s="5" t="s">
        <v>478</v>
      </c>
      <c r="F49" s="5" t="s">
        <v>479</v>
      </c>
      <c r="G49" s="5" t="s">
        <v>480</v>
      </c>
      <c r="H49" s="5" t="s">
        <v>55</v>
      </c>
      <c r="I49" s="5" t="s">
        <v>481</v>
      </c>
      <c r="J49" s="5" t="s">
        <v>34</v>
      </c>
      <c r="K49" s="5" t="s">
        <v>46</v>
      </c>
      <c r="L49" s="5" t="s">
        <v>46</v>
      </c>
      <c r="M49" s="5" t="s">
        <v>482</v>
      </c>
      <c r="N49" s="5" t="s">
        <v>396</v>
      </c>
      <c r="O49" s="5" t="s">
        <v>36</v>
      </c>
      <c r="P49" s="5" t="s">
        <v>37</v>
      </c>
      <c r="R49" s="5" t="s">
        <v>483</v>
      </c>
      <c r="S49" s="5" t="s">
        <v>484</v>
      </c>
      <c r="T49" s="5" t="str">
        <f t="shared" si="7"/>
        <v>PARTIDO DEL BUEN GOBIERNO - 06876967.pdf</v>
      </c>
      <c r="U49" s="6">
        <f t="shared" ca="1" si="8"/>
        <v>61</v>
      </c>
      <c r="V49" s="6" t="str">
        <f t="shared" ca="1" si="9"/>
        <v>60+</v>
      </c>
      <c r="W49" s="6" t="str">
        <f t="shared" si="10"/>
        <v>PERÚ</v>
      </c>
      <c r="X49" s="6" t="str">
        <f t="shared" si="11"/>
        <v>FEMENINO</v>
      </c>
      <c r="Y49" s="6" t="str">
        <f t="shared" si="12"/>
        <v>LIMA</v>
      </c>
      <c r="Z49" s="6" t="str">
        <f t="shared" si="13"/>
        <v>ÚNICO NACIONAL</v>
      </c>
      <c r="AA49" s="6"/>
    </row>
    <row r="50" spans="1:27" ht="15.75" customHeight="1" x14ac:dyDescent="0.2">
      <c r="A50" s="5" t="s">
        <v>485</v>
      </c>
      <c r="B50" s="5" t="s">
        <v>486</v>
      </c>
      <c r="C50" s="5" t="s">
        <v>487</v>
      </c>
      <c r="D50" s="5" t="s">
        <v>486</v>
      </c>
      <c r="E50" s="5" t="s">
        <v>488</v>
      </c>
      <c r="F50" s="5" t="s">
        <v>489</v>
      </c>
      <c r="G50" s="5" t="s">
        <v>490</v>
      </c>
      <c r="H50" s="5" t="s">
        <v>55</v>
      </c>
      <c r="I50" s="5" t="s">
        <v>491</v>
      </c>
      <c r="J50" s="5" t="s">
        <v>34</v>
      </c>
      <c r="K50" s="5" t="s">
        <v>46</v>
      </c>
      <c r="L50" s="5" t="s">
        <v>46</v>
      </c>
      <c r="M50" s="5" t="s">
        <v>99</v>
      </c>
      <c r="N50" s="5" t="s">
        <v>36</v>
      </c>
      <c r="P50" s="5" t="s">
        <v>37</v>
      </c>
      <c r="R50" s="5" t="s">
        <v>492</v>
      </c>
      <c r="S50" s="5" t="s">
        <v>493</v>
      </c>
      <c r="T50" s="5" t="str">
        <f t="shared" si="7"/>
        <v>RENOVACION POPULAR - 08235876.pdf</v>
      </c>
      <c r="U50" s="6">
        <f t="shared" ca="1" si="8"/>
        <v>74</v>
      </c>
      <c r="V50" s="6" t="str">
        <f t="shared" ca="1" si="9"/>
        <v>60+</v>
      </c>
      <c r="W50" s="6" t="str">
        <f t="shared" si="10"/>
        <v>PERÚ</v>
      </c>
      <c r="X50" s="6" t="str">
        <f t="shared" si="11"/>
        <v>FEMENINO</v>
      </c>
      <c r="Y50" s="6" t="str">
        <f t="shared" si="12"/>
        <v>LIMA</v>
      </c>
      <c r="Z50" s="6" t="str">
        <f t="shared" si="13"/>
        <v>ÚNICO NACIONAL</v>
      </c>
      <c r="AA50" s="6"/>
    </row>
    <row r="51" spans="1:27" ht="15.75" customHeight="1" x14ac:dyDescent="0.2">
      <c r="A51" s="5" t="s">
        <v>485</v>
      </c>
      <c r="B51" s="5" t="s">
        <v>494</v>
      </c>
      <c r="C51" s="5" t="s">
        <v>495</v>
      </c>
      <c r="D51" s="5" t="s">
        <v>494</v>
      </c>
      <c r="E51" s="5" t="s">
        <v>496</v>
      </c>
      <c r="F51" s="5" t="s">
        <v>497</v>
      </c>
      <c r="G51" s="5" t="s">
        <v>498</v>
      </c>
      <c r="H51" s="5" t="s">
        <v>55</v>
      </c>
      <c r="I51" s="5" t="s">
        <v>499</v>
      </c>
      <c r="J51" s="5" t="s">
        <v>34</v>
      </c>
      <c r="K51" s="5" t="s">
        <v>88</v>
      </c>
      <c r="L51" s="5" t="s">
        <v>500</v>
      </c>
      <c r="M51" s="5" t="s">
        <v>500</v>
      </c>
      <c r="N51" s="5" t="s">
        <v>36</v>
      </c>
      <c r="P51" s="5" t="s">
        <v>37</v>
      </c>
      <c r="R51" s="5" t="s">
        <v>501</v>
      </c>
      <c r="S51" s="5" t="s">
        <v>502</v>
      </c>
      <c r="T51" s="5" t="str">
        <f t="shared" si="7"/>
        <v>RENOVACION POPULAR - 25799622.pdf</v>
      </c>
      <c r="U51" s="6">
        <f t="shared" ca="1" si="8"/>
        <v>50</v>
      </c>
      <c r="V51" s="6" t="str">
        <f t="shared" ca="1" si="9"/>
        <v>50-59</v>
      </c>
      <c r="W51" s="6" t="str">
        <f t="shared" si="10"/>
        <v>PERÚ</v>
      </c>
      <c r="X51" s="6" t="str">
        <f t="shared" si="11"/>
        <v>FEMENINO</v>
      </c>
      <c r="Y51" s="6" t="str">
        <f t="shared" si="12"/>
        <v>AMAZONAS</v>
      </c>
      <c r="Z51" s="6" t="str">
        <f t="shared" si="13"/>
        <v>ÚNICO NACIONAL</v>
      </c>
      <c r="AA51" s="6"/>
    </row>
    <row r="52" spans="1:27" ht="15.75" customHeight="1" x14ac:dyDescent="0.2">
      <c r="A52" s="5" t="s">
        <v>485</v>
      </c>
      <c r="B52" s="5" t="s">
        <v>503</v>
      </c>
      <c r="C52" s="5" t="s">
        <v>504</v>
      </c>
      <c r="D52" s="5" t="s">
        <v>503</v>
      </c>
      <c r="E52" s="5" t="s">
        <v>505</v>
      </c>
      <c r="F52" s="5" t="s">
        <v>506</v>
      </c>
      <c r="G52" s="5" t="s">
        <v>507</v>
      </c>
      <c r="H52" s="5" t="s">
        <v>32</v>
      </c>
      <c r="I52" s="5" t="s">
        <v>508</v>
      </c>
      <c r="J52" s="5" t="s">
        <v>34</v>
      </c>
      <c r="K52" s="5" t="s">
        <v>118</v>
      </c>
      <c r="L52" s="5" t="s">
        <v>118</v>
      </c>
      <c r="M52" s="5" t="s">
        <v>119</v>
      </c>
      <c r="N52" s="5" t="s">
        <v>36</v>
      </c>
      <c r="P52" s="5" t="s">
        <v>190</v>
      </c>
      <c r="R52" s="5" t="s">
        <v>509</v>
      </c>
      <c r="S52" s="5" t="s">
        <v>510</v>
      </c>
      <c r="T52" s="5" t="str">
        <f t="shared" si="7"/>
        <v>RENOVACION POPULAR - 43285320.pdf</v>
      </c>
      <c r="U52" s="6">
        <f t="shared" ca="1" si="8"/>
        <v>65</v>
      </c>
      <c r="V52" s="6" t="str">
        <f t="shared" ca="1" si="9"/>
        <v>60+</v>
      </c>
      <c r="W52" s="6" t="str">
        <f t="shared" si="10"/>
        <v>PERÚ</v>
      </c>
      <c r="X52" s="6" t="str">
        <f t="shared" si="11"/>
        <v>MASCULINO</v>
      </c>
      <c r="Y52" s="6" t="str">
        <f t="shared" si="12"/>
        <v>CALLAO</v>
      </c>
      <c r="Z52" s="6" t="str">
        <f t="shared" si="13"/>
        <v>LIMA METROPOLITANA</v>
      </c>
      <c r="AA52" s="6"/>
    </row>
    <row r="53" spans="1:27" ht="15.75" customHeight="1" x14ac:dyDescent="0.2">
      <c r="A53" s="5" t="s">
        <v>485</v>
      </c>
      <c r="B53" s="5" t="s">
        <v>511</v>
      </c>
      <c r="C53" s="5" t="s">
        <v>512</v>
      </c>
      <c r="D53" s="5" t="s">
        <v>511</v>
      </c>
      <c r="E53" s="5" t="s">
        <v>513</v>
      </c>
      <c r="F53" s="5" t="s">
        <v>514</v>
      </c>
      <c r="G53" s="5" t="s">
        <v>515</v>
      </c>
      <c r="H53" s="5" t="s">
        <v>55</v>
      </c>
      <c r="I53" s="5" t="s">
        <v>516</v>
      </c>
      <c r="J53" s="5" t="s">
        <v>34</v>
      </c>
      <c r="K53" s="5" t="s">
        <v>150</v>
      </c>
      <c r="L53" s="5" t="s">
        <v>151</v>
      </c>
      <c r="M53" s="5" t="s">
        <v>151</v>
      </c>
      <c r="N53" s="5" t="s">
        <v>36</v>
      </c>
      <c r="P53" s="5" t="s">
        <v>190</v>
      </c>
      <c r="R53" s="5" t="s">
        <v>517</v>
      </c>
      <c r="S53" s="5" t="s">
        <v>518</v>
      </c>
      <c r="T53" s="5" t="str">
        <f t="shared" si="7"/>
        <v>RENOVACION POPULAR - 07852432.pdf</v>
      </c>
      <c r="U53" s="6">
        <f t="shared" ca="1" si="8"/>
        <v>62</v>
      </c>
      <c r="V53" s="6" t="str">
        <f t="shared" ca="1" si="9"/>
        <v>60+</v>
      </c>
      <c r="W53" s="6" t="str">
        <f t="shared" si="10"/>
        <v>PERÚ</v>
      </c>
      <c r="X53" s="6" t="str">
        <f t="shared" si="11"/>
        <v>FEMENINO</v>
      </c>
      <c r="Y53" s="6" t="str">
        <f t="shared" si="12"/>
        <v>JUNIN</v>
      </c>
      <c r="Z53" s="6" t="str">
        <f t="shared" si="13"/>
        <v>LIMA METROPOLITANA</v>
      </c>
      <c r="AA53" s="6"/>
    </row>
    <row r="54" spans="1:27" ht="15.75" customHeight="1" x14ac:dyDescent="0.2">
      <c r="A54" s="5" t="s">
        <v>485</v>
      </c>
      <c r="B54" s="5" t="s">
        <v>519</v>
      </c>
      <c r="C54" s="5" t="s">
        <v>520</v>
      </c>
      <c r="D54" s="5" t="s">
        <v>519</v>
      </c>
      <c r="E54" s="5" t="s">
        <v>521</v>
      </c>
      <c r="F54" s="5" t="s">
        <v>522</v>
      </c>
      <c r="G54" s="5" t="s">
        <v>523</v>
      </c>
      <c r="H54" s="5" t="s">
        <v>32</v>
      </c>
      <c r="I54" s="5" t="s">
        <v>524</v>
      </c>
      <c r="J54" s="5" t="s">
        <v>34</v>
      </c>
      <c r="K54" s="5" t="s">
        <v>46</v>
      </c>
      <c r="L54" s="5" t="s">
        <v>46</v>
      </c>
      <c r="M54" s="5" t="s">
        <v>46</v>
      </c>
      <c r="N54" s="5" t="s">
        <v>47</v>
      </c>
      <c r="O54" s="5" t="s">
        <v>36</v>
      </c>
      <c r="P54" s="5" t="s">
        <v>37</v>
      </c>
      <c r="R54" s="5" t="s">
        <v>525</v>
      </c>
      <c r="S54" s="5" t="s">
        <v>526</v>
      </c>
      <c r="T54" s="5" t="str">
        <f t="shared" si="7"/>
        <v>RENOVACION POPULAR - 07845838.pdf</v>
      </c>
      <c r="U54" s="6">
        <f t="shared" ca="1" si="8"/>
        <v>65</v>
      </c>
      <c r="V54" s="6" t="str">
        <f t="shared" ca="1" si="9"/>
        <v>60+</v>
      </c>
      <c r="W54" s="6" t="str">
        <f t="shared" si="10"/>
        <v>PERÚ</v>
      </c>
      <c r="X54" s="6" t="str">
        <f t="shared" si="11"/>
        <v>MASCULINO</v>
      </c>
      <c r="Y54" s="6" t="str">
        <f t="shared" si="12"/>
        <v>LIMA</v>
      </c>
      <c r="Z54" s="6" t="str">
        <f t="shared" si="13"/>
        <v>ÚNICO NACIONAL</v>
      </c>
      <c r="AA54" s="6"/>
    </row>
    <row r="55" spans="1:27" ht="15.75" customHeight="1" x14ac:dyDescent="0.2">
      <c r="A55" s="5" t="s">
        <v>485</v>
      </c>
      <c r="B55" s="5" t="s">
        <v>527</v>
      </c>
      <c r="C55" s="5" t="s">
        <v>528</v>
      </c>
      <c r="D55" s="5" t="s">
        <v>527</v>
      </c>
      <c r="E55" s="5" t="s">
        <v>529</v>
      </c>
      <c r="F55" s="5" t="s">
        <v>530</v>
      </c>
      <c r="G55" s="5" t="s">
        <v>531</v>
      </c>
      <c r="H55" s="5" t="s">
        <v>32</v>
      </c>
      <c r="I55" s="5" t="s">
        <v>532</v>
      </c>
      <c r="J55" s="5" t="s">
        <v>34</v>
      </c>
      <c r="K55" s="5" t="s">
        <v>322</v>
      </c>
      <c r="L55" s="5" t="s">
        <v>533</v>
      </c>
      <c r="M55" s="5" t="s">
        <v>534</v>
      </c>
      <c r="N55" s="5" t="s">
        <v>36</v>
      </c>
      <c r="P55" s="5" t="s">
        <v>37</v>
      </c>
      <c r="R55" s="5" t="s">
        <v>535</v>
      </c>
      <c r="S55" s="5" t="s">
        <v>536</v>
      </c>
      <c r="T55" s="5" t="str">
        <f t="shared" si="7"/>
        <v>RENOVACION POPULAR - 01539305.pdf</v>
      </c>
      <c r="U55" s="6">
        <f t="shared" ca="1" si="8"/>
        <v>52</v>
      </c>
      <c r="V55" s="6" t="str">
        <f t="shared" ca="1" si="9"/>
        <v>50-59</v>
      </c>
      <c r="W55" s="6" t="str">
        <f t="shared" si="10"/>
        <v>PERÚ</v>
      </c>
      <c r="X55" s="6" t="str">
        <f t="shared" si="11"/>
        <v>MASCULINO</v>
      </c>
      <c r="Y55" s="6" t="str">
        <f t="shared" si="12"/>
        <v>PUNO</v>
      </c>
      <c r="Z55" s="6" t="str">
        <f t="shared" si="13"/>
        <v>ÚNICO NACIONAL</v>
      </c>
      <c r="AA55" s="6"/>
    </row>
    <row r="56" spans="1:27" ht="15.75" customHeight="1" x14ac:dyDescent="0.2">
      <c r="A56" s="5" t="s">
        <v>485</v>
      </c>
      <c r="B56" s="5" t="s">
        <v>537</v>
      </c>
      <c r="C56" s="5" t="s">
        <v>538</v>
      </c>
      <c r="D56" s="5" t="s">
        <v>537</v>
      </c>
      <c r="E56" s="5" t="s">
        <v>539</v>
      </c>
      <c r="F56" s="5" t="s">
        <v>540</v>
      </c>
      <c r="G56" s="5" t="s">
        <v>541</v>
      </c>
      <c r="H56" s="5" t="s">
        <v>32</v>
      </c>
      <c r="I56" s="5" t="s">
        <v>542</v>
      </c>
      <c r="J56" s="5" t="s">
        <v>34</v>
      </c>
      <c r="K56" s="5" t="s">
        <v>129</v>
      </c>
      <c r="L56" s="5" t="s">
        <v>130</v>
      </c>
      <c r="M56" s="5" t="s">
        <v>131</v>
      </c>
      <c r="N56" s="5" t="s">
        <v>36</v>
      </c>
      <c r="P56" s="5" t="s">
        <v>37</v>
      </c>
      <c r="Q56" s="5" t="s">
        <v>543</v>
      </c>
      <c r="R56" s="5" t="s">
        <v>544</v>
      </c>
      <c r="S56" s="5" t="s">
        <v>545</v>
      </c>
      <c r="T56" s="5" t="str">
        <f t="shared" si="7"/>
        <v>RENOVACION POPULAR - 45209282.pdf</v>
      </c>
      <c r="U56" s="6">
        <f t="shared" ca="1" si="8"/>
        <v>39</v>
      </c>
      <c r="V56" s="6" t="str">
        <f t="shared" ca="1" si="9"/>
        <v>30-39</v>
      </c>
      <c r="W56" s="6" t="str">
        <f t="shared" si="10"/>
        <v>PERÚ</v>
      </c>
      <c r="X56" s="6" t="str">
        <f t="shared" si="11"/>
        <v>MASCULINO</v>
      </c>
      <c r="Y56" s="6" t="str">
        <f t="shared" si="12"/>
        <v>LORETO</v>
      </c>
      <c r="Z56" s="6" t="str">
        <f t="shared" si="13"/>
        <v>ÚNICO NACIONAL</v>
      </c>
      <c r="AA56" s="6"/>
    </row>
    <row r="57" spans="1:27" ht="15.75" customHeight="1" x14ac:dyDescent="0.2">
      <c r="A57" s="5" t="s">
        <v>485</v>
      </c>
      <c r="B57" s="5" t="s">
        <v>546</v>
      </c>
      <c r="C57" s="5" t="s">
        <v>547</v>
      </c>
      <c r="D57" s="5" t="s">
        <v>546</v>
      </c>
      <c r="E57" s="5" t="s">
        <v>249</v>
      </c>
      <c r="F57" s="5" t="s">
        <v>548</v>
      </c>
      <c r="G57" s="5" t="s">
        <v>549</v>
      </c>
      <c r="H57" s="5" t="s">
        <v>32</v>
      </c>
      <c r="I57" s="5" t="s">
        <v>550</v>
      </c>
      <c r="J57" s="5" t="s">
        <v>34</v>
      </c>
      <c r="K57" s="5" t="s">
        <v>46</v>
      </c>
      <c r="L57" s="5" t="s">
        <v>46</v>
      </c>
      <c r="M57" s="5" t="s">
        <v>551</v>
      </c>
      <c r="N57" s="5" t="s">
        <v>36</v>
      </c>
      <c r="P57" s="5" t="s">
        <v>552</v>
      </c>
      <c r="R57" s="5" t="s">
        <v>553</v>
      </c>
      <c r="S57" s="5" t="s">
        <v>554</v>
      </c>
      <c r="T57" s="5" t="str">
        <f t="shared" si="7"/>
        <v>RENOVACION POPULAR - 06504611.pdf</v>
      </c>
      <c r="U57" s="6">
        <f t="shared" ca="1" si="8"/>
        <v>64</v>
      </c>
      <c r="V57" s="6" t="str">
        <f t="shared" ca="1" si="9"/>
        <v>60+</v>
      </c>
      <c r="W57" s="6" t="str">
        <f t="shared" si="10"/>
        <v>PERÚ</v>
      </c>
      <c r="X57" s="6" t="str">
        <f t="shared" si="11"/>
        <v>MASCULINO</v>
      </c>
      <c r="Y57" s="6" t="str">
        <f t="shared" si="12"/>
        <v>LIMA</v>
      </c>
      <c r="Z57" s="6" t="str">
        <f t="shared" si="13"/>
        <v>PERUANOS RESIDENTES EN EL EXTRANJERO</v>
      </c>
      <c r="AA57" s="6"/>
    </row>
    <row r="58" spans="1:27" ht="15.75" customHeight="1" x14ac:dyDescent="0.2">
      <c r="A58" t="s">
        <v>70</v>
      </c>
      <c r="B58" t="s">
        <v>555</v>
      </c>
      <c r="C58" t="s">
        <v>556</v>
      </c>
      <c r="D58" t="s">
        <v>555</v>
      </c>
      <c r="E58" t="s">
        <v>557</v>
      </c>
      <c r="F58" t="s">
        <v>291</v>
      </c>
      <c r="G58" t="s">
        <v>549</v>
      </c>
      <c r="H58" t="s">
        <v>32</v>
      </c>
      <c r="I58" t="s">
        <v>558</v>
      </c>
      <c r="J58" t="s">
        <v>34</v>
      </c>
      <c r="K58" t="s">
        <v>46</v>
      </c>
      <c r="L58" t="s">
        <v>46</v>
      </c>
      <c r="M58" t="s">
        <v>559</v>
      </c>
      <c r="N58" t="s">
        <v>441</v>
      </c>
      <c r="O58" t="s">
        <v>36</v>
      </c>
      <c r="P58" t="s">
        <v>37</v>
      </c>
      <c r="R58" t="s">
        <v>560</v>
      </c>
      <c r="S58" t="s">
        <v>561</v>
      </c>
      <c r="T58" t="str">
        <f t="shared" si="7"/>
        <v>FUERZA POPULAR - 40433187.pdf</v>
      </c>
      <c r="U58" s="6">
        <f t="shared" ca="1" si="8"/>
        <v>46</v>
      </c>
      <c r="V58" s="6" t="str">
        <f t="shared" ca="1" si="9"/>
        <v>40-49</v>
      </c>
      <c r="W58" s="6" t="str">
        <f t="shared" si="10"/>
        <v>PERÚ</v>
      </c>
      <c r="X58" s="6" t="str">
        <f t="shared" si="11"/>
        <v>MASCULINO</v>
      </c>
      <c r="Y58" s="6" t="str">
        <f t="shared" si="12"/>
        <v>LIMA</v>
      </c>
      <c r="Z58" s="6" t="str">
        <f t="shared" si="13"/>
        <v>ÚNICO NACIONAL</v>
      </c>
      <c r="AA58" s="6"/>
    </row>
    <row r="59" spans="1:27" ht="15.75" customHeight="1" x14ac:dyDescent="0.2">
      <c r="A59" t="s">
        <v>276</v>
      </c>
      <c r="B59" t="s">
        <v>562</v>
      </c>
      <c r="C59" t="s">
        <v>563</v>
      </c>
      <c r="D59" t="s">
        <v>562</v>
      </c>
      <c r="E59" t="s">
        <v>564</v>
      </c>
      <c r="F59" t="s">
        <v>564</v>
      </c>
      <c r="G59" t="s">
        <v>565</v>
      </c>
      <c r="H59" t="s">
        <v>32</v>
      </c>
      <c r="I59" t="s">
        <v>566</v>
      </c>
      <c r="J59" t="s">
        <v>34</v>
      </c>
      <c r="K59" t="s">
        <v>322</v>
      </c>
      <c r="L59" t="s">
        <v>567</v>
      </c>
      <c r="M59" t="s">
        <v>567</v>
      </c>
      <c r="N59" t="s">
        <v>36</v>
      </c>
      <c r="P59" t="s">
        <v>37</v>
      </c>
      <c r="T59" t="str">
        <f t="shared" si="7"/>
        <v>JUNTOS POR EL PERU - 02044988.pdf</v>
      </c>
      <c r="U59" s="6">
        <f t="shared" ca="1" si="8"/>
        <v>51</v>
      </c>
      <c r="V59" s="6" t="str">
        <f t="shared" ca="1" si="9"/>
        <v>50-59</v>
      </c>
      <c r="W59" s="6" t="str">
        <f t="shared" si="10"/>
        <v>PERÚ</v>
      </c>
      <c r="X59" s="6" t="str">
        <f t="shared" si="11"/>
        <v>MASCULINO</v>
      </c>
      <c r="Y59" s="6" t="str">
        <f t="shared" si="12"/>
        <v>PUNO</v>
      </c>
      <c r="Z59" s="6" t="str">
        <f t="shared" si="13"/>
        <v>ÚNICO NACIONAL</v>
      </c>
      <c r="AA59" s="6"/>
    </row>
    <row r="60" spans="1:27" ht="15.75" customHeight="1" x14ac:dyDescent="0.2">
      <c r="A60" t="s">
        <v>276</v>
      </c>
      <c r="B60" t="s">
        <v>568</v>
      </c>
      <c r="C60" t="s">
        <v>569</v>
      </c>
      <c r="D60" t="s">
        <v>568</v>
      </c>
      <c r="E60" t="s">
        <v>570</v>
      </c>
      <c r="F60" t="s">
        <v>571</v>
      </c>
      <c r="G60" t="s">
        <v>572</v>
      </c>
      <c r="H60" t="s">
        <v>32</v>
      </c>
      <c r="I60" t="s">
        <v>573</v>
      </c>
      <c r="J60" t="s">
        <v>34</v>
      </c>
      <c r="K60" t="s">
        <v>341</v>
      </c>
      <c r="L60" t="s">
        <v>341</v>
      </c>
      <c r="M60" t="s">
        <v>341</v>
      </c>
      <c r="N60" t="s">
        <v>36</v>
      </c>
      <c r="P60" t="s">
        <v>37</v>
      </c>
      <c r="T60" t="str">
        <f t="shared" si="7"/>
        <v>JUNTOS POR EL PERU - 23271450.pdf</v>
      </c>
      <c r="U60" s="6">
        <f t="shared" ca="1" si="8"/>
        <v>51</v>
      </c>
      <c r="V60" s="6" t="str">
        <f t="shared" ca="1" si="9"/>
        <v>50-59</v>
      </c>
      <c r="W60" s="6" t="str">
        <f t="shared" si="10"/>
        <v>PERÚ</v>
      </c>
      <c r="X60" s="6" t="str">
        <f t="shared" si="11"/>
        <v>MASCULINO</v>
      </c>
      <c r="Y60" s="6" t="str">
        <f t="shared" si="12"/>
        <v>HUANCAVELICA</v>
      </c>
      <c r="Z60" s="6" t="str">
        <f t="shared" si="13"/>
        <v>ÚNICO NACIONAL</v>
      </c>
      <c r="AA60" s="6"/>
    </row>
    <row r="61" spans="1:27" ht="15.75" customHeight="1" x14ac:dyDescent="0.2">
      <c r="A61" t="s">
        <v>276</v>
      </c>
      <c r="B61" t="s">
        <v>574</v>
      </c>
      <c r="C61" t="s">
        <v>575</v>
      </c>
      <c r="D61" t="s">
        <v>574</v>
      </c>
      <c r="E61" t="s">
        <v>576</v>
      </c>
      <c r="F61" t="s">
        <v>577</v>
      </c>
      <c r="G61" t="s">
        <v>578</v>
      </c>
      <c r="H61" t="s">
        <v>32</v>
      </c>
      <c r="I61" t="s">
        <v>579</v>
      </c>
      <c r="J61" t="s">
        <v>34</v>
      </c>
      <c r="K61" t="s">
        <v>580</v>
      </c>
      <c r="L61" t="s">
        <v>581</v>
      </c>
      <c r="M61" t="s">
        <v>582</v>
      </c>
      <c r="N61" t="s">
        <v>36</v>
      </c>
      <c r="P61" t="s">
        <v>37</v>
      </c>
      <c r="T61" t="str">
        <f t="shared" si="7"/>
        <v>JUNTOS POR EL PERU - 31010129.pdf</v>
      </c>
      <c r="U61" s="6">
        <f t="shared" ca="1" si="8"/>
        <v>67</v>
      </c>
      <c r="V61" s="6" t="str">
        <f t="shared" ca="1" si="9"/>
        <v>60+</v>
      </c>
      <c r="W61" s="6" t="str">
        <f t="shared" si="10"/>
        <v>PERÚ</v>
      </c>
      <c r="X61" s="6" t="str">
        <f t="shared" si="11"/>
        <v>MASCULINO</v>
      </c>
      <c r="Y61" s="6" t="str">
        <f t="shared" si="12"/>
        <v>APURIMAC</v>
      </c>
      <c r="Z61" s="6" t="str">
        <f t="shared" si="13"/>
        <v>ÚNICO NACIONAL</v>
      </c>
      <c r="AA61" s="6"/>
    </row>
    <row r="62" spans="1:27" ht="15.75" customHeight="1" x14ac:dyDescent="0.2">
      <c r="U62" s="6"/>
      <c r="V62" s="6"/>
      <c r="W62" s="6" t="str">
        <f t="shared" ref="W62:W93" si="14">IF(UPPER(TRIM(J63))="PERU","PERÚ",UPPER(TRIM(J63)))</f>
        <v/>
      </c>
      <c r="X62" s="6"/>
      <c r="Y62" s="6"/>
      <c r="Z62" s="6"/>
      <c r="AA62" s="6"/>
    </row>
    <row r="63" spans="1:27" ht="15.75" customHeight="1" x14ac:dyDescent="0.2">
      <c r="U63" s="6"/>
      <c r="V63" s="6"/>
      <c r="W63" s="6" t="str">
        <f t="shared" si="14"/>
        <v/>
      </c>
      <c r="X63" s="6"/>
      <c r="Y63" s="6"/>
      <c r="Z63" s="6"/>
      <c r="AA63" s="6"/>
    </row>
    <row r="64" spans="1:27" ht="15.75" customHeight="1" x14ac:dyDescent="0.2">
      <c r="U64" s="6"/>
      <c r="V64" s="6"/>
      <c r="W64" s="6" t="str">
        <f t="shared" si="14"/>
        <v/>
      </c>
      <c r="X64" s="6"/>
      <c r="Y64" s="6"/>
      <c r="Z64" s="6"/>
      <c r="AA64" s="6"/>
    </row>
    <row r="65" spans="21:27" ht="15.75" customHeight="1" x14ac:dyDescent="0.2">
      <c r="U65" s="6"/>
      <c r="V65" s="6"/>
      <c r="W65" s="6" t="str">
        <f t="shared" si="14"/>
        <v/>
      </c>
      <c r="X65" s="6"/>
      <c r="Y65" s="6"/>
      <c r="Z65" s="6"/>
      <c r="AA65" s="6"/>
    </row>
    <row r="66" spans="21:27" ht="15.75" customHeight="1" x14ac:dyDescent="0.2">
      <c r="U66" s="6"/>
      <c r="V66" s="6"/>
      <c r="W66" s="6" t="str">
        <f t="shared" si="14"/>
        <v/>
      </c>
      <c r="X66" s="6"/>
      <c r="Y66" s="6"/>
      <c r="Z66" s="6"/>
      <c r="AA66" s="6"/>
    </row>
    <row r="67" spans="21:27" ht="15.75" customHeight="1" x14ac:dyDescent="0.2">
      <c r="U67" s="6"/>
      <c r="V67" s="6"/>
      <c r="W67" s="6" t="str">
        <f t="shared" si="14"/>
        <v/>
      </c>
      <c r="X67" s="6"/>
      <c r="Y67" s="6"/>
      <c r="Z67" s="6"/>
      <c r="AA67" s="6"/>
    </row>
    <row r="68" spans="21:27" ht="15.75" customHeight="1" x14ac:dyDescent="0.2">
      <c r="U68" s="6"/>
      <c r="V68" s="6"/>
      <c r="W68" s="6" t="str">
        <f t="shared" si="14"/>
        <v/>
      </c>
      <c r="X68" s="6"/>
      <c r="Y68" s="6"/>
      <c r="Z68" s="6"/>
      <c r="AA68" s="6"/>
    </row>
    <row r="69" spans="21:27" ht="15.75" customHeight="1" x14ac:dyDescent="0.2">
      <c r="U69" s="6"/>
      <c r="V69" s="6"/>
      <c r="W69" s="6" t="str">
        <f t="shared" si="14"/>
        <v/>
      </c>
      <c r="X69" s="6"/>
      <c r="Y69" s="6"/>
      <c r="Z69" s="6"/>
      <c r="AA69" s="6"/>
    </row>
    <row r="70" spans="21:27" ht="15.75" customHeight="1" x14ac:dyDescent="0.2">
      <c r="U70" s="6"/>
      <c r="V70" s="6"/>
      <c r="W70" s="6" t="str">
        <f t="shared" si="14"/>
        <v/>
      </c>
      <c r="X70" s="6"/>
      <c r="Y70" s="6"/>
      <c r="Z70" s="6"/>
      <c r="AA70" s="6"/>
    </row>
    <row r="71" spans="21:27" ht="15.75" customHeight="1" x14ac:dyDescent="0.2">
      <c r="U71" s="6"/>
      <c r="V71" s="6"/>
      <c r="W71" s="6" t="str">
        <f t="shared" si="14"/>
        <v/>
      </c>
      <c r="X71" s="6"/>
      <c r="Y71" s="6"/>
      <c r="Z71" s="6"/>
      <c r="AA71" s="6"/>
    </row>
    <row r="72" spans="21:27" ht="15.75" customHeight="1" x14ac:dyDescent="0.2">
      <c r="U72" s="6"/>
      <c r="V72" s="6"/>
      <c r="W72" s="6" t="str">
        <f t="shared" si="14"/>
        <v/>
      </c>
      <c r="X72" s="6"/>
      <c r="Y72" s="6"/>
      <c r="Z72" s="6"/>
      <c r="AA72" s="6"/>
    </row>
    <row r="73" spans="21:27" ht="15.75" customHeight="1" x14ac:dyDescent="0.2">
      <c r="U73" s="6"/>
      <c r="V73" s="6"/>
      <c r="W73" s="6" t="str">
        <f t="shared" si="14"/>
        <v/>
      </c>
      <c r="X73" s="6"/>
      <c r="Y73" s="6"/>
      <c r="Z73" s="6"/>
      <c r="AA73" s="6"/>
    </row>
    <row r="74" spans="21:27" ht="15.75" customHeight="1" x14ac:dyDescent="0.2">
      <c r="U74" s="6"/>
      <c r="V74" s="6"/>
      <c r="W74" s="6" t="str">
        <f t="shared" si="14"/>
        <v/>
      </c>
      <c r="X74" s="6"/>
      <c r="Y74" s="6"/>
      <c r="Z74" s="6"/>
      <c r="AA74" s="6"/>
    </row>
    <row r="75" spans="21:27" ht="15.75" customHeight="1" x14ac:dyDescent="0.2">
      <c r="U75" s="6"/>
      <c r="V75" s="6"/>
      <c r="W75" s="6" t="str">
        <f t="shared" si="14"/>
        <v/>
      </c>
      <c r="X75" s="6"/>
      <c r="Y75" s="6"/>
      <c r="Z75" s="6"/>
      <c r="AA75" s="6"/>
    </row>
    <row r="76" spans="21:27" ht="15.75" customHeight="1" x14ac:dyDescent="0.2">
      <c r="U76" s="6"/>
      <c r="V76" s="6"/>
      <c r="W76" s="6" t="str">
        <f t="shared" si="14"/>
        <v/>
      </c>
      <c r="X76" s="6"/>
      <c r="Y76" s="6"/>
      <c r="Z76" s="6"/>
      <c r="AA76" s="6"/>
    </row>
    <row r="77" spans="21:27" ht="15.75" customHeight="1" x14ac:dyDescent="0.2">
      <c r="U77" s="6"/>
      <c r="V77" s="6"/>
      <c r="W77" s="6" t="str">
        <f t="shared" si="14"/>
        <v/>
      </c>
      <c r="X77" s="6"/>
      <c r="Y77" s="6"/>
      <c r="Z77" s="6"/>
      <c r="AA77" s="6"/>
    </row>
    <row r="78" spans="21:27" ht="15.75" customHeight="1" x14ac:dyDescent="0.2">
      <c r="U78" s="6"/>
      <c r="V78" s="6"/>
      <c r="W78" s="6" t="str">
        <f t="shared" si="14"/>
        <v/>
      </c>
      <c r="X78" s="6"/>
      <c r="Y78" s="6"/>
      <c r="Z78" s="6"/>
      <c r="AA78" s="6"/>
    </row>
    <row r="79" spans="21:27" ht="15.75" customHeight="1" x14ac:dyDescent="0.2">
      <c r="U79" s="6"/>
      <c r="V79" s="6"/>
      <c r="W79" s="6" t="str">
        <f t="shared" si="14"/>
        <v/>
      </c>
      <c r="X79" s="6"/>
      <c r="Y79" s="6"/>
      <c r="Z79" s="6"/>
      <c r="AA79" s="6"/>
    </row>
    <row r="80" spans="21:27" ht="15.75" customHeight="1" x14ac:dyDescent="0.2">
      <c r="U80" s="6"/>
      <c r="V80" s="6"/>
      <c r="W80" s="6" t="str">
        <f t="shared" si="14"/>
        <v/>
      </c>
      <c r="X80" s="6"/>
      <c r="Y80" s="6"/>
      <c r="Z80" s="6"/>
      <c r="AA80" s="6"/>
    </row>
    <row r="81" spans="21:27" ht="15.75" customHeight="1" x14ac:dyDescent="0.2">
      <c r="U81" s="6"/>
      <c r="V81" s="6"/>
      <c r="W81" s="6" t="str">
        <f t="shared" si="14"/>
        <v/>
      </c>
      <c r="X81" s="6"/>
      <c r="Y81" s="6"/>
      <c r="Z81" s="6"/>
      <c r="AA81" s="6"/>
    </row>
    <row r="82" spans="21:27" ht="15.75" customHeight="1" x14ac:dyDescent="0.2">
      <c r="U82" s="6"/>
      <c r="V82" s="6"/>
      <c r="W82" s="6" t="str">
        <f t="shared" si="14"/>
        <v/>
      </c>
      <c r="X82" s="6"/>
      <c r="Y82" s="6"/>
      <c r="Z82" s="6"/>
      <c r="AA82" s="6"/>
    </row>
    <row r="83" spans="21:27" ht="15.75" customHeight="1" x14ac:dyDescent="0.2">
      <c r="U83" s="6"/>
      <c r="V83" s="6"/>
      <c r="W83" s="6" t="str">
        <f t="shared" si="14"/>
        <v/>
      </c>
      <c r="X83" s="6"/>
      <c r="Y83" s="6"/>
      <c r="Z83" s="6"/>
      <c r="AA83" s="6"/>
    </row>
    <row r="84" spans="21:27" ht="15.75" customHeight="1" x14ac:dyDescent="0.2">
      <c r="U84" s="6"/>
      <c r="V84" s="6"/>
      <c r="W84" s="6" t="str">
        <f t="shared" si="14"/>
        <v/>
      </c>
      <c r="X84" s="6"/>
      <c r="Y84" s="6"/>
      <c r="Z84" s="6"/>
      <c r="AA84" s="6"/>
    </row>
    <row r="85" spans="21:27" ht="15.75" customHeight="1" x14ac:dyDescent="0.2">
      <c r="U85" s="6"/>
      <c r="V85" s="6"/>
      <c r="W85" s="6" t="str">
        <f t="shared" si="14"/>
        <v/>
      </c>
      <c r="X85" s="6"/>
      <c r="Y85" s="6"/>
      <c r="Z85" s="6"/>
      <c r="AA85" s="6"/>
    </row>
    <row r="86" spans="21:27" ht="15.75" customHeight="1" x14ac:dyDescent="0.2">
      <c r="U86" s="6"/>
      <c r="V86" s="6"/>
      <c r="W86" s="6" t="str">
        <f t="shared" si="14"/>
        <v/>
      </c>
      <c r="X86" s="6"/>
      <c r="Y86" s="6"/>
      <c r="Z86" s="6"/>
      <c r="AA86" s="6"/>
    </row>
    <row r="87" spans="21:27" ht="15.75" customHeight="1" x14ac:dyDescent="0.2">
      <c r="U87" s="6"/>
      <c r="V87" s="6"/>
      <c r="W87" s="6" t="str">
        <f t="shared" si="14"/>
        <v/>
      </c>
      <c r="X87" s="6"/>
      <c r="Y87" s="6"/>
      <c r="Z87" s="6"/>
      <c r="AA87" s="6"/>
    </row>
    <row r="88" spans="21:27" ht="15.75" customHeight="1" x14ac:dyDescent="0.2">
      <c r="U88" s="6"/>
      <c r="V88" s="6"/>
      <c r="W88" s="6" t="str">
        <f t="shared" si="14"/>
        <v/>
      </c>
      <c r="X88" s="6"/>
      <c r="Y88" s="6"/>
      <c r="Z88" s="6"/>
      <c r="AA88" s="6"/>
    </row>
    <row r="89" spans="21:27" ht="15.75" customHeight="1" x14ac:dyDescent="0.2">
      <c r="U89" s="6"/>
      <c r="V89" s="6"/>
      <c r="W89" s="6" t="str">
        <f t="shared" si="14"/>
        <v/>
      </c>
      <c r="X89" s="6"/>
      <c r="Y89" s="6"/>
      <c r="Z89" s="6"/>
      <c r="AA89" s="6"/>
    </row>
    <row r="90" spans="21:27" ht="15.75" customHeight="1" x14ac:dyDescent="0.2">
      <c r="U90" s="6"/>
      <c r="V90" s="6"/>
      <c r="W90" s="6" t="str">
        <f t="shared" si="14"/>
        <v/>
      </c>
      <c r="X90" s="6"/>
      <c r="Y90" s="6"/>
      <c r="Z90" s="6"/>
      <c r="AA90" s="6"/>
    </row>
    <row r="91" spans="21:27" ht="15.75" customHeight="1" x14ac:dyDescent="0.2">
      <c r="U91" s="6"/>
      <c r="V91" s="6"/>
      <c r="W91" s="6" t="str">
        <f t="shared" si="14"/>
        <v/>
      </c>
      <c r="X91" s="6"/>
      <c r="Y91" s="6"/>
      <c r="Z91" s="6"/>
      <c r="AA91" s="6"/>
    </row>
    <row r="92" spans="21:27" ht="15.75" customHeight="1" x14ac:dyDescent="0.2">
      <c r="U92" s="6"/>
      <c r="V92" s="6"/>
      <c r="W92" s="6" t="str">
        <f t="shared" si="14"/>
        <v/>
      </c>
      <c r="X92" s="6"/>
      <c r="Y92" s="6"/>
      <c r="Z92" s="6"/>
      <c r="AA92" s="6"/>
    </row>
    <row r="93" spans="21:27" ht="15.75" customHeight="1" x14ac:dyDescent="0.2">
      <c r="U93" s="6"/>
      <c r="V93" s="6"/>
      <c r="W93" s="6" t="str">
        <f t="shared" si="14"/>
        <v/>
      </c>
      <c r="X93" s="6"/>
      <c r="Y93" s="6"/>
      <c r="Z93" s="6"/>
      <c r="AA93" s="6"/>
    </row>
    <row r="94" spans="21:27" ht="15.75" customHeight="1" x14ac:dyDescent="0.2">
      <c r="U94" s="6"/>
      <c r="V94" s="6"/>
      <c r="W94" s="6" t="str">
        <f t="shared" ref="W94:W114" si="15">IF(UPPER(TRIM(J95))="PERU","PERÚ",UPPER(TRIM(J95)))</f>
        <v/>
      </c>
      <c r="X94" s="6"/>
      <c r="Y94" s="6"/>
      <c r="Z94" s="6"/>
      <c r="AA94" s="6"/>
    </row>
    <row r="95" spans="21:27" ht="15.75" customHeight="1" x14ac:dyDescent="0.2">
      <c r="U95" s="6"/>
      <c r="V95" s="6"/>
      <c r="W95" s="6" t="str">
        <f t="shared" si="15"/>
        <v/>
      </c>
      <c r="X95" s="6"/>
      <c r="Y95" s="6"/>
      <c r="Z95" s="6"/>
      <c r="AA95" s="6"/>
    </row>
    <row r="96" spans="21:27" ht="15.75" customHeight="1" x14ac:dyDescent="0.2">
      <c r="U96" s="6"/>
      <c r="V96" s="6"/>
      <c r="W96" s="6" t="str">
        <f t="shared" si="15"/>
        <v/>
      </c>
      <c r="X96" s="6"/>
      <c r="Y96" s="6"/>
      <c r="Z96" s="6"/>
      <c r="AA96" s="6"/>
    </row>
    <row r="97" spans="21:27" ht="15.75" customHeight="1" x14ac:dyDescent="0.2">
      <c r="U97" s="6"/>
      <c r="V97" s="6"/>
      <c r="W97" s="6" t="str">
        <f t="shared" si="15"/>
        <v/>
      </c>
      <c r="X97" s="6"/>
      <c r="Y97" s="6"/>
      <c r="Z97" s="6"/>
      <c r="AA97" s="6"/>
    </row>
    <row r="98" spans="21:27" ht="15.75" customHeight="1" x14ac:dyDescent="0.2">
      <c r="U98" s="6"/>
      <c r="V98" s="6"/>
      <c r="W98" s="6" t="str">
        <f t="shared" si="15"/>
        <v/>
      </c>
      <c r="X98" s="6"/>
      <c r="Y98" s="6"/>
      <c r="Z98" s="6"/>
      <c r="AA98" s="6"/>
    </row>
    <row r="99" spans="21:27" ht="15.75" customHeight="1" x14ac:dyDescent="0.2">
      <c r="U99" s="6"/>
      <c r="V99" s="6"/>
      <c r="W99" s="6" t="str">
        <f t="shared" si="15"/>
        <v/>
      </c>
      <c r="X99" s="6"/>
      <c r="Y99" s="6"/>
      <c r="Z99" s="6"/>
      <c r="AA99" s="6"/>
    </row>
    <row r="100" spans="21:27" ht="15.75" customHeight="1" x14ac:dyDescent="0.2">
      <c r="U100" s="6"/>
      <c r="V100" s="6"/>
      <c r="W100" s="6" t="str">
        <f t="shared" si="15"/>
        <v/>
      </c>
      <c r="X100" s="6"/>
      <c r="Y100" s="6"/>
      <c r="Z100" s="6"/>
      <c r="AA100" s="6"/>
    </row>
    <row r="101" spans="21:27" ht="15.75" customHeight="1" x14ac:dyDescent="0.2">
      <c r="U101" s="6"/>
      <c r="V101" s="6"/>
      <c r="W101" s="6" t="str">
        <f t="shared" si="15"/>
        <v/>
      </c>
      <c r="X101" s="6"/>
      <c r="Y101" s="6"/>
      <c r="Z101" s="6"/>
      <c r="AA101" s="6"/>
    </row>
    <row r="102" spans="21:27" ht="15.75" customHeight="1" x14ac:dyDescent="0.2">
      <c r="U102" s="6"/>
      <c r="V102" s="6"/>
      <c r="W102" s="6" t="str">
        <f t="shared" si="15"/>
        <v/>
      </c>
      <c r="X102" s="6"/>
      <c r="Y102" s="6"/>
      <c r="Z102" s="6"/>
      <c r="AA102" s="6"/>
    </row>
    <row r="103" spans="21:27" ht="15.75" customHeight="1" x14ac:dyDescent="0.2">
      <c r="U103" s="6"/>
      <c r="V103" s="6"/>
      <c r="W103" s="6" t="str">
        <f t="shared" si="15"/>
        <v/>
      </c>
      <c r="X103" s="6"/>
      <c r="Y103" s="6"/>
      <c r="Z103" s="6"/>
      <c r="AA103" s="6"/>
    </row>
    <row r="104" spans="21:27" ht="15.75" customHeight="1" x14ac:dyDescent="0.2">
      <c r="U104" s="6"/>
      <c r="V104" s="6"/>
      <c r="W104" s="6" t="str">
        <f t="shared" si="15"/>
        <v/>
      </c>
      <c r="X104" s="6"/>
      <c r="Y104" s="6"/>
      <c r="Z104" s="6"/>
      <c r="AA104" s="6"/>
    </row>
    <row r="105" spans="21:27" ht="15.75" customHeight="1" x14ac:dyDescent="0.2">
      <c r="U105" s="6"/>
      <c r="V105" s="6"/>
      <c r="W105" s="6" t="str">
        <f t="shared" si="15"/>
        <v/>
      </c>
      <c r="X105" s="6"/>
      <c r="Y105" s="6"/>
      <c r="Z105" s="6"/>
      <c r="AA105" s="6"/>
    </row>
    <row r="106" spans="21:27" ht="15.75" customHeight="1" x14ac:dyDescent="0.2">
      <c r="U106" s="6"/>
      <c r="V106" s="6"/>
      <c r="W106" s="6" t="str">
        <f t="shared" si="15"/>
        <v/>
      </c>
      <c r="X106" s="6"/>
      <c r="Y106" s="6"/>
      <c r="Z106" s="6"/>
      <c r="AA106" s="6"/>
    </row>
    <row r="107" spans="21:27" ht="15.75" customHeight="1" x14ac:dyDescent="0.2">
      <c r="U107" s="6"/>
      <c r="V107" s="6"/>
      <c r="W107" s="6" t="str">
        <f t="shared" si="15"/>
        <v/>
      </c>
      <c r="X107" s="6"/>
      <c r="Y107" s="6"/>
      <c r="Z107" s="6"/>
      <c r="AA107" s="6"/>
    </row>
    <row r="108" spans="21:27" ht="15.75" customHeight="1" x14ac:dyDescent="0.2">
      <c r="U108" s="6"/>
      <c r="V108" s="6"/>
      <c r="W108" s="6" t="str">
        <f t="shared" si="15"/>
        <v/>
      </c>
      <c r="X108" s="6"/>
      <c r="Y108" s="6"/>
      <c r="Z108" s="6"/>
      <c r="AA108" s="6"/>
    </row>
    <row r="109" spans="21:27" ht="15.75" customHeight="1" x14ac:dyDescent="0.2">
      <c r="U109" s="6"/>
      <c r="V109" s="6"/>
      <c r="W109" s="6" t="str">
        <f t="shared" si="15"/>
        <v/>
      </c>
      <c r="X109" s="6"/>
      <c r="Y109" s="6"/>
      <c r="Z109" s="6"/>
      <c r="AA109" s="6"/>
    </row>
    <row r="110" spans="21:27" ht="15.75" customHeight="1" x14ac:dyDescent="0.2">
      <c r="U110" s="6"/>
      <c r="V110" s="6"/>
      <c r="W110" s="6" t="str">
        <f t="shared" si="15"/>
        <v/>
      </c>
      <c r="X110" s="6"/>
      <c r="Y110" s="6"/>
      <c r="Z110" s="6"/>
      <c r="AA110" s="6"/>
    </row>
    <row r="111" spans="21:27" ht="15.75" customHeight="1" x14ac:dyDescent="0.2">
      <c r="U111" s="6"/>
      <c r="V111" s="6"/>
      <c r="W111" s="6" t="str">
        <f t="shared" si="15"/>
        <v/>
      </c>
      <c r="X111" s="6"/>
      <c r="Y111" s="6"/>
      <c r="Z111" s="6"/>
      <c r="AA111" s="6"/>
    </row>
    <row r="112" spans="21:27" ht="15.75" customHeight="1" x14ac:dyDescent="0.2">
      <c r="U112" s="6"/>
      <c r="V112" s="6"/>
      <c r="W112" s="6" t="str">
        <f t="shared" si="15"/>
        <v/>
      </c>
      <c r="X112" s="6"/>
      <c r="Y112" s="6"/>
      <c r="Z112" s="6"/>
      <c r="AA112" s="6"/>
    </row>
    <row r="113" spans="21:27" ht="15.75" customHeight="1" x14ac:dyDescent="0.2">
      <c r="U113" s="6"/>
      <c r="V113" s="6"/>
      <c r="W113" s="6" t="str">
        <f t="shared" si="15"/>
        <v/>
      </c>
      <c r="X113" s="6"/>
      <c r="Y113" s="6"/>
      <c r="Z113" s="6"/>
      <c r="AA113" s="6"/>
    </row>
    <row r="114" spans="21:27" ht="15.75" customHeight="1" x14ac:dyDescent="0.2">
      <c r="U114" s="6"/>
      <c r="V114" s="6"/>
      <c r="W114" s="6" t="str">
        <f t="shared" si="15"/>
        <v/>
      </c>
      <c r="X114" s="6"/>
      <c r="Y114" s="6"/>
      <c r="Z114" s="6"/>
      <c r="AA114" s="6"/>
    </row>
    <row r="115" spans="21:27" ht="15.75" customHeight="1" x14ac:dyDescent="0.2">
      <c r="U115" s="6"/>
      <c r="V115" s="6"/>
      <c r="W115" s="6" t="str">
        <f>IF(UPPER(TRIM(J58))="PERU","PERÚ",UPPER(TRIM(J58)))</f>
        <v>PERÚ</v>
      </c>
      <c r="X115" s="6"/>
      <c r="Y115" s="6"/>
      <c r="Z115" s="6"/>
      <c r="AA115" s="6"/>
    </row>
    <row r="116" spans="21:27" ht="15.75" customHeight="1" x14ac:dyDescent="0.2"/>
    <row r="117" spans="21:27" ht="15.75" customHeight="1" x14ac:dyDescent="0.2"/>
    <row r="118" spans="21:27" ht="15.75" customHeight="1" x14ac:dyDescent="0.2"/>
    <row r="119" spans="21:27" ht="15.75" customHeight="1" x14ac:dyDescent="0.2"/>
    <row r="120" spans="21:27" ht="15.75" customHeight="1" x14ac:dyDescent="0.2">
      <c r="U120" s="6"/>
      <c r="V120" s="6"/>
      <c r="W120" s="6"/>
      <c r="X120" s="6"/>
      <c r="Y120" s="6"/>
      <c r="Z120" s="6"/>
      <c r="AA120" s="6"/>
    </row>
    <row r="121" spans="21:27" ht="15.75" customHeight="1" x14ac:dyDescent="0.2">
      <c r="U121" s="6"/>
      <c r="V121" s="6"/>
      <c r="W121" s="6"/>
      <c r="X121" s="6"/>
      <c r="Y121" s="6"/>
      <c r="Z121" s="6"/>
      <c r="AA121" s="6"/>
    </row>
    <row r="122" spans="21:27" ht="15.75" customHeight="1" x14ac:dyDescent="0.2">
      <c r="U122" s="6"/>
      <c r="V122" s="6"/>
      <c r="W122" s="6"/>
      <c r="X122" s="6"/>
      <c r="Y122" s="6"/>
      <c r="Z122" s="6"/>
      <c r="AA122" s="6"/>
    </row>
    <row r="123" spans="21:27" ht="15.75" customHeight="1" x14ac:dyDescent="0.2">
      <c r="U123" s="6"/>
      <c r="V123" s="6"/>
      <c r="W123" s="6"/>
      <c r="X123" s="6"/>
      <c r="Y123" s="6"/>
      <c r="Z123" s="6"/>
      <c r="AA123" s="6"/>
    </row>
    <row r="124" spans="21:27" ht="15.75" customHeight="1" x14ac:dyDescent="0.2">
      <c r="U124" s="6"/>
      <c r="V124" s="6"/>
      <c r="W124" s="6"/>
      <c r="X124" s="6"/>
      <c r="Y124" s="6"/>
      <c r="Z124" s="6"/>
      <c r="AA124" s="6"/>
    </row>
    <row r="125" spans="21:27" ht="15.75" customHeight="1" x14ac:dyDescent="0.2">
      <c r="U125" s="6"/>
      <c r="V125" s="6"/>
      <c r="W125" s="6"/>
      <c r="X125" s="6"/>
      <c r="Y125" s="6"/>
      <c r="Z125" s="6"/>
      <c r="AA125" s="6"/>
    </row>
    <row r="126" spans="21:27" ht="15.75" customHeight="1" x14ac:dyDescent="0.2">
      <c r="U126" s="6"/>
      <c r="V126" s="6"/>
      <c r="W126" s="6"/>
      <c r="X126" s="6"/>
      <c r="Y126" s="6"/>
      <c r="Z126" s="6"/>
      <c r="AA126" s="6"/>
    </row>
    <row r="127" spans="21:27" ht="15.75" customHeight="1" x14ac:dyDescent="0.2">
      <c r="U127" s="6"/>
      <c r="V127" s="6"/>
      <c r="W127" s="6"/>
      <c r="X127" s="6"/>
      <c r="Y127" s="6"/>
      <c r="Z127" s="6"/>
      <c r="AA127" s="6"/>
    </row>
    <row r="128" spans="21:27" ht="15.75" customHeight="1" x14ac:dyDescent="0.2">
      <c r="U128" s="6"/>
      <c r="V128" s="6"/>
      <c r="W128" s="6"/>
      <c r="X128" s="6"/>
      <c r="Y128" s="6"/>
      <c r="Z128" s="6"/>
      <c r="AA128" s="6"/>
    </row>
    <row r="129" spans="21:27" ht="15.75" customHeight="1" x14ac:dyDescent="0.2">
      <c r="U129" s="6"/>
      <c r="V129" s="6"/>
      <c r="W129" s="6"/>
      <c r="X129" s="6"/>
      <c r="Y129" s="6"/>
      <c r="Z129" s="6"/>
      <c r="AA129" s="6"/>
    </row>
    <row r="130" spans="21:27" ht="15.75" customHeight="1" x14ac:dyDescent="0.2">
      <c r="U130" s="6"/>
      <c r="V130" s="6"/>
      <c r="W130" s="6"/>
      <c r="X130" s="6"/>
      <c r="Y130" s="6"/>
      <c r="Z130" s="6"/>
      <c r="AA130" s="6"/>
    </row>
    <row r="131" spans="21:27" ht="15.75" customHeight="1" x14ac:dyDescent="0.2">
      <c r="U131" s="6"/>
      <c r="V131" s="6"/>
      <c r="W131" s="6"/>
      <c r="X131" s="6"/>
      <c r="Y131" s="6"/>
      <c r="Z131" s="6"/>
      <c r="AA131" s="6"/>
    </row>
    <row r="132" spans="21:27" ht="15.75" customHeight="1" x14ac:dyDescent="0.2">
      <c r="U132" s="6"/>
      <c r="V132" s="6"/>
      <c r="W132" s="6"/>
      <c r="X132" s="6"/>
      <c r="Y132" s="6"/>
      <c r="Z132" s="6"/>
      <c r="AA132" s="6"/>
    </row>
    <row r="133" spans="21:27" ht="15.75" customHeight="1" x14ac:dyDescent="0.2">
      <c r="U133" s="6"/>
      <c r="V133" s="6"/>
      <c r="W133" s="6"/>
      <c r="X133" s="6"/>
      <c r="Y133" s="6"/>
      <c r="Z133" s="6"/>
      <c r="AA133" s="6"/>
    </row>
    <row r="134" spans="21:27" ht="15.75" customHeight="1" x14ac:dyDescent="0.2">
      <c r="U134" s="6"/>
      <c r="V134" s="6"/>
      <c r="W134" s="6"/>
      <c r="X134" s="6"/>
      <c r="Y134" s="6"/>
      <c r="Z134" s="6"/>
      <c r="AA134" s="6"/>
    </row>
    <row r="135" spans="21:27" ht="15.75" customHeight="1" x14ac:dyDescent="0.2">
      <c r="U135" s="6"/>
      <c r="V135" s="6"/>
      <c r="W135" s="6"/>
      <c r="X135" s="6"/>
      <c r="Y135" s="6"/>
      <c r="Z135" s="6"/>
      <c r="AA135" s="6"/>
    </row>
    <row r="136" spans="21:27" ht="15.75" customHeight="1" x14ac:dyDescent="0.2">
      <c r="U136" s="6"/>
      <c r="V136" s="6"/>
      <c r="W136" s="6"/>
      <c r="X136" s="6"/>
      <c r="Y136" s="6"/>
      <c r="Z136" s="6"/>
      <c r="AA136" s="6"/>
    </row>
    <row r="137" spans="21:27" ht="15.75" customHeight="1" x14ac:dyDescent="0.2">
      <c r="U137" s="6"/>
      <c r="V137" s="6"/>
      <c r="W137" s="6"/>
      <c r="X137" s="6"/>
      <c r="Y137" s="6"/>
      <c r="Z137" s="6"/>
      <c r="AA137" s="6"/>
    </row>
    <row r="138" spans="21:27" ht="15.75" customHeight="1" x14ac:dyDescent="0.2">
      <c r="U138" s="6"/>
      <c r="V138" s="6"/>
      <c r="W138" s="6"/>
      <c r="X138" s="6"/>
      <c r="Y138" s="6"/>
      <c r="Z138" s="6"/>
      <c r="AA138" s="6"/>
    </row>
    <row r="139" spans="21:27" ht="15.75" customHeight="1" x14ac:dyDescent="0.2">
      <c r="U139" s="6"/>
      <c r="V139" s="6"/>
      <c r="W139" s="6"/>
      <c r="X139" s="6"/>
      <c r="Y139" s="6"/>
      <c r="Z139" s="6"/>
      <c r="AA139" s="6"/>
    </row>
    <row r="140" spans="21:27" ht="15.75" customHeight="1" x14ac:dyDescent="0.2">
      <c r="U140" s="6"/>
      <c r="V140" s="6"/>
      <c r="W140" s="6"/>
      <c r="X140" s="6"/>
      <c r="Y140" s="6"/>
      <c r="Z140" s="6"/>
      <c r="AA140" s="6"/>
    </row>
    <row r="141" spans="21:27" ht="15.75" customHeight="1" x14ac:dyDescent="0.2">
      <c r="U141" s="6"/>
      <c r="V141" s="6"/>
      <c r="W141" s="6"/>
      <c r="X141" s="6"/>
      <c r="Y141" s="6"/>
      <c r="Z141" s="6"/>
      <c r="AA141" s="6"/>
    </row>
    <row r="142" spans="21:27" ht="15.75" customHeight="1" x14ac:dyDescent="0.2">
      <c r="U142" s="6"/>
      <c r="V142" s="6"/>
      <c r="W142" s="6"/>
      <c r="X142" s="6"/>
      <c r="Y142" s="6"/>
      <c r="Z142" s="6"/>
      <c r="AA142" s="6"/>
    </row>
    <row r="143" spans="21:27" ht="15.75" customHeight="1" x14ac:dyDescent="0.2">
      <c r="U143" s="6"/>
      <c r="V143" s="6"/>
      <c r="W143" s="6"/>
      <c r="X143" s="6"/>
      <c r="Y143" s="6"/>
      <c r="Z143" s="6"/>
      <c r="AA143" s="6"/>
    </row>
    <row r="144" spans="21:27" ht="15.75" customHeight="1" x14ac:dyDescent="0.2">
      <c r="U144" s="6"/>
      <c r="V144" s="6"/>
      <c r="W144" s="6"/>
      <c r="X144" s="6"/>
      <c r="Y144" s="6"/>
      <c r="Z144" s="6"/>
      <c r="AA144" s="6"/>
    </row>
    <row r="145" spans="21:27" ht="15.75" customHeight="1" x14ac:dyDescent="0.2">
      <c r="U145" s="6"/>
      <c r="V145" s="6"/>
      <c r="W145" s="6"/>
      <c r="X145" s="6"/>
      <c r="Y145" s="6"/>
      <c r="Z145" s="6"/>
      <c r="AA145" s="6"/>
    </row>
    <row r="146" spans="21:27" ht="15.75" customHeight="1" x14ac:dyDescent="0.2">
      <c r="U146" s="6"/>
      <c r="V146" s="6"/>
      <c r="W146" s="6"/>
      <c r="X146" s="6"/>
      <c r="Y146" s="6"/>
      <c r="Z146" s="6"/>
      <c r="AA146" s="6"/>
    </row>
    <row r="147" spans="21:27" ht="15.75" customHeight="1" x14ac:dyDescent="0.2">
      <c r="U147" s="6"/>
      <c r="V147" s="6"/>
      <c r="W147" s="6"/>
      <c r="X147" s="6"/>
      <c r="Y147" s="6"/>
      <c r="Z147" s="6"/>
      <c r="AA147" s="6"/>
    </row>
    <row r="148" spans="21:27" ht="15.75" customHeight="1" x14ac:dyDescent="0.2">
      <c r="U148" s="6"/>
      <c r="V148" s="6"/>
      <c r="W148" s="6"/>
      <c r="X148" s="6"/>
      <c r="Y148" s="6"/>
      <c r="Z148" s="6"/>
      <c r="AA148" s="6"/>
    </row>
    <row r="149" spans="21:27" ht="15.75" customHeight="1" x14ac:dyDescent="0.2">
      <c r="U149" s="6"/>
      <c r="V149" s="6"/>
      <c r="W149" s="6"/>
      <c r="X149" s="6"/>
      <c r="Y149" s="6"/>
      <c r="Z149" s="6"/>
      <c r="AA149" s="6"/>
    </row>
    <row r="150" spans="21:27" ht="15.75" customHeight="1" x14ac:dyDescent="0.2">
      <c r="U150" s="6"/>
      <c r="V150" s="6"/>
      <c r="W150" s="6"/>
      <c r="X150" s="6"/>
      <c r="Y150" s="6"/>
      <c r="Z150" s="6"/>
      <c r="AA150" s="6"/>
    </row>
    <row r="151" spans="21:27" ht="15.75" customHeight="1" x14ac:dyDescent="0.2">
      <c r="U151" s="6"/>
      <c r="V151" s="6"/>
      <c r="W151" s="6"/>
      <c r="X151" s="6"/>
      <c r="Y151" s="6"/>
      <c r="Z151" s="6"/>
      <c r="AA151" s="6"/>
    </row>
    <row r="152" spans="21:27" ht="15.75" customHeight="1" x14ac:dyDescent="0.2">
      <c r="U152" s="6"/>
      <c r="V152" s="6"/>
      <c r="W152" s="6"/>
      <c r="X152" s="6"/>
      <c r="Y152" s="6"/>
      <c r="Z152" s="6"/>
      <c r="AA152" s="6"/>
    </row>
    <row r="153" spans="21:27" ht="15.75" customHeight="1" x14ac:dyDescent="0.2">
      <c r="U153" s="6"/>
      <c r="V153" s="6"/>
      <c r="W153" s="6"/>
      <c r="X153" s="6"/>
      <c r="Y153" s="6"/>
      <c r="Z153" s="6"/>
      <c r="AA153" s="6"/>
    </row>
    <row r="154" spans="21:27" ht="15.75" customHeight="1" x14ac:dyDescent="0.2">
      <c r="U154" s="6"/>
      <c r="V154" s="6"/>
      <c r="W154" s="6"/>
      <c r="X154" s="6"/>
      <c r="Y154" s="6"/>
      <c r="Z154" s="6"/>
      <c r="AA154" s="6"/>
    </row>
    <row r="155" spans="21:27" ht="15.75" customHeight="1" x14ac:dyDescent="0.2">
      <c r="U155" s="6"/>
      <c r="V155" s="6"/>
      <c r="W155" s="6"/>
      <c r="X155" s="6"/>
      <c r="Y155" s="6"/>
      <c r="Z155" s="6"/>
      <c r="AA155" s="6"/>
    </row>
    <row r="156" spans="21:27" ht="15.75" customHeight="1" x14ac:dyDescent="0.2">
      <c r="U156" s="6"/>
      <c r="V156" s="6"/>
      <c r="W156" s="6"/>
      <c r="X156" s="6"/>
      <c r="Y156" s="6"/>
      <c r="Z156" s="6"/>
      <c r="AA156" s="6"/>
    </row>
    <row r="157" spans="21:27" ht="15.75" customHeight="1" x14ac:dyDescent="0.2">
      <c r="U157" s="6"/>
      <c r="V157" s="6"/>
      <c r="W157" s="6"/>
      <c r="X157" s="6"/>
      <c r="Y157" s="6"/>
      <c r="Z157" s="6"/>
      <c r="AA157" s="6"/>
    </row>
    <row r="158" spans="21:27" ht="15.75" customHeight="1" x14ac:dyDescent="0.2">
      <c r="U158" s="6"/>
      <c r="V158" s="6"/>
      <c r="W158" s="6"/>
      <c r="X158" s="6"/>
      <c r="Y158" s="6"/>
      <c r="Z158" s="6"/>
      <c r="AA158" s="6"/>
    </row>
    <row r="159" spans="21:27" ht="15.75" customHeight="1" x14ac:dyDescent="0.2">
      <c r="U159" s="6"/>
      <c r="V159" s="6"/>
      <c r="W159" s="6"/>
      <c r="X159" s="6"/>
      <c r="Y159" s="6"/>
      <c r="Z159" s="6"/>
      <c r="AA159" s="6"/>
    </row>
    <row r="160" spans="21:27" ht="15.75" customHeight="1" x14ac:dyDescent="0.2">
      <c r="U160" s="6"/>
      <c r="V160" s="6"/>
      <c r="W160" s="6"/>
      <c r="X160" s="6"/>
      <c r="Y160" s="6"/>
      <c r="Z160" s="6"/>
      <c r="AA160" s="6"/>
    </row>
    <row r="161" spans="21:27" ht="15.75" customHeight="1" x14ac:dyDescent="0.2">
      <c r="U161" s="6"/>
      <c r="V161" s="6"/>
      <c r="W161" s="6"/>
      <c r="X161" s="6"/>
      <c r="Y161" s="6"/>
      <c r="Z161" s="6"/>
      <c r="AA161" s="6"/>
    </row>
    <row r="162" spans="21:27" ht="15.75" customHeight="1" x14ac:dyDescent="0.2">
      <c r="U162" s="6"/>
      <c r="V162" s="6"/>
      <c r="W162" s="6"/>
      <c r="X162" s="6"/>
      <c r="Y162" s="6"/>
      <c r="Z162" s="6"/>
      <c r="AA162" s="6"/>
    </row>
    <row r="163" spans="21:27" ht="15.75" customHeight="1" x14ac:dyDescent="0.2">
      <c r="U163" s="6"/>
      <c r="V163" s="6"/>
      <c r="W163" s="6"/>
      <c r="X163" s="6"/>
      <c r="Y163" s="6"/>
      <c r="Z163" s="6"/>
      <c r="AA163" s="6"/>
    </row>
    <row r="164" spans="21:27" ht="15.75" customHeight="1" x14ac:dyDescent="0.2">
      <c r="U164" s="6"/>
      <c r="V164" s="6"/>
      <c r="W164" s="6"/>
      <c r="X164" s="6"/>
      <c r="Y164" s="6"/>
      <c r="Z164" s="6"/>
      <c r="AA164" s="6"/>
    </row>
    <row r="165" spans="21:27" ht="15.75" customHeight="1" x14ac:dyDescent="0.2">
      <c r="U165" s="6"/>
      <c r="V165" s="6"/>
      <c r="W165" s="6"/>
      <c r="X165" s="6"/>
      <c r="Y165" s="6"/>
      <c r="Z165" s="6"/>
      <c r="AA165" s="6"/>
    </row>
    <row r="166" spans="21:27" ht="15.75" customHeight="1" x14ac:dyDescent="0.2">
      <c r="U166" s="6"/>
      <c r="V166" s="6"/>
      <c r="W166" s="6"/>
      <c r="X166" s="6"/>
      <c r="Y166" s="6"/>
      <c r="Z166" s="6"/>
      <c r="AA166" s="6"/>
    </row>
    <row r="167" spans="21:27" ht="15.75" customHeight="1" x14ac:dyDescent="0.2">
      <c r="U167" s="6"/>
      <c r="V167" s="6"/>
      <c r="W167" s="6"/>
      <c r="X167" s="6"/>
      <c r="Y167" s="6"/>
      <c r="Z167" s="6"/>
      <c r="AA167" s="6"/>
    </row>
    <row r="168" spans="21:27" ht="15.75" customHeight="1" x14ac:dyDescent="0.2">
      <c r="U168" s="6"/>
      <c r="V168" s="6"/>
      <c r="W168" s="6"/>
      <c r="X168" s="6"/>
      <c r="Y168" s="6"/>
      <c r="Z168" s="6"/>
      <c r="AA168" s="6"/>
    </row>
    <row r="169" spans="21:27" ht="15.75" customHeight="1" x14ac:dyDescent="0.2">
      <c r="U169" s="6"/>
      <c r="V169" s="6"/>
      <c r="W169" s="6"/>
      <c r="X169" s="6"/>
      <c r="Y169" s="6"/>
      <c r="Z169" s="6"/>
      <c r="AA169" s="6"/>
    </row>
    <row r="170" spans="21:27" ht="15.75" customHeight="1" x14ac:dyDescent="0.2">
      <c r="U170" s="6"/>
      <c r="V170" s="6"/>
      <c r="W170" s="6"/>
      <c r="X170" s="6"/>
      <c r="Y170" s="6"/>
      <c r="Z170" s="6"/>
      <c r="AA170" s="6"/>
    </row>
    <row r="171" spans="21:27" ht="15.75" customHeight="1" x14ac:dyDescent="0.2">
      <c r="U171" s="6"/>
      <c r="V171" s="6"/>
      <c r="W171" s="6"/>
      <c r="X171" s="6"/>
      <c r="Y171" s="6"/>
      <c r="Z171" s="6"/>
      <c r="AA171" s="6"/>
    </row>
    <row r="172" spans="21:27" ht="15.75" customHeight="1" x14ac:dyDescent="0.2">
      <c r="U172" s="6"/>
      <c r="V172" s="6"/>
      <c r="W172" s="6"/>
      <c r="X172" s="6"/>
      <c r="Y172" s="6"/>
      <c r="Z172" s="6"/>
      <c r="AA172" s="6"/>
    </row>
    <row r="173" spans="21:27" ht="15.75" customHeight="1" x14ac:dyDescent="0.2">
      <c r="U173" s="6"/>
      <c r="V173" s="6"/>
      <c r="W173" s="6"/>
      <c r="X173" s="6"/>
      <c r="Y173" s="6"/>
      <c r="Z173" s="6"/>
      <c r="AA173" s="6"/>
    </row>
    <row r="174" spans="21:27" ht="15.75" customHeight="1" x14ac:dyDescent="0.2">
      <c r="U174" s="6"/>
      <c r="V174" s="6"/>
      <c r="W174" s="6"/>
      <c r="X174" s="6"/>
      <c r="Y174" s="6"/>
      <c r="Z174" s="6"/>
      <c r="AA174" s="6"/>
    </row>
    <row r="175" spans="21:27" ht="15.75" customHeight="1" x14ac:dyDescent="0.2">
      <c r="U175" s="6"/>
      <c r="V175" s="6"/>
      <c r="W175" s="6"/>
      <c r="X175" s="6"/>
      <c r="Y175" s="6"/>
      <c r="Z175" s="6"/>
      <c r="AA175" s="6"/>
    </row>
    <row r="176" spans="21:27" ht="15.75" customHeight="1" x14ac:dyDescent="0.2">
      <c r="U176" s="6"/>
      <c r="V176" s="6"/>
      <c r="W176" s="6"/>
      <c r="X176" s="6"/>
      <c r="Y176" s="6"/>
      <c r="Z176" s="6"/>
      <c r="AA176" s="6"/>
    </row>
    <row r="177" spans="21:27" ht="15.75" customHeight="1" x14ac:dyDescent="0.2">
      <c r="U177" s="6"/>
      <c r="V177" s="6"/>
      <c r="W177" s="6"/>
      <c r="X177" s="6"/>
      <c r="Y177" s="6"/>
      <c r="Z177" s="6"/>
      <c r="AA177" s="6"/>
    </row>
    <row r="178" spans="21:27" ht="15.75" customHeight="1" x14ac:dyDescent="0.2">
      <c r="U178" s="6"/>
      <c r="V178" s="6"/>
      <c r="W178" s="6"/>
      <c r="X178" s="6"/>
      <c r="Y178" s="6"/>
      <c r="Z178" s="6"/>
      <c r="AA178" s="6"/>
    </row>
    <row r="179" spans="21:27" ht="15.75" customHeight="1" x14ac:dyDescent="0.2">
      <c r="U179" s="6"/>
      <c r="V179" s="6"/>
      <c r="W179" s="6"/>
      <c r="X179" s="6"/>
      <c r="Y179" s="6"/>
      <c r="Z179" s="6"/>
      <c r="AA179" s="6"/>
    </row>
    <row r="180" spans="21:27" ht="15.75" customHeight="1" x14ac:dyDescent="0.2">
      <c r="U180" s="6"/>
      <c r="V180" s="6"/>
      <c r="W180" s="6"/>
      <c r="X180" s="6"/>
      <c r="Y180" s="6"/>
      <c r="Z180" s="6"/>
      <c r="AA180" s="6"/>
    </row>
    <row r="181" spans="21:27" ht="15.75" customHeight="1" x14ac:dyDescent="0.2">
      <c r="U181" s="6"/>
      <c r="V181" s="6"/>
      <c r="W181" s="6"/>
      <c r="X181" s="6"/>
      <c r="Y181" s="6"/>
      <c r="Z181" s="6"/>
      <c r="AA181" s="6"/>
    </row>
    <row r="182" spans="21:27" ht="15.75" customHeight="1" x14ac:dyDescent="0.2">
      <c r="U182" s="6"/>
      <c r="V182" s="6"/>
      <c r="W182" s="6"/>
      <c r="X182" s="6"/>
      <c r="Y182" s="6"/>
      <c r="Z182" s="6"/>
      <c r="AA182" s="6"/>
    </row>
    <row r="183" spans="21:27" ht="15.75" customHeight="1" x14ac:dyDescent="0.2">
      <c r="U183" s="6"/>
      <c r="V183" s="6"/>
      <c r="W183" s="6"/>
      <c r="X183" s="6"/>
      <c r="Y183" s="6"/>
      <c r="Z183" s="6"/>
      <c r="AA183" s="6"/>
    </row>
    <row r="184" spans="21:27" ht="15.75" customHeight="1" x14ac:dyDescent="0.2">
      <c r="U184" s="6"/>
      <c r="V184" s="6"/>
      <c r="W184" s="6"/>
      <c r="X184" s="6"/>
      <c r="Y184" s="6"/>
      <c r="Z184" s="6"/>
      <c r="AA184" s="6"/>
    </row>
    <row r="185" spans="21:27" ht="15.75" customHeight="1" x14ac:dyDescent="0.2">
      <c r="U185" s="6"/>
      <c r="V185" s="6"/>
      <c r="W185" s="6"/>
      <c r="X185" s="6"/>
      <c r="Y185" s="6"/>
      <c r="Z185" s="6"/>
      <c r="AA185" s="6"/>
    </row>
    <row r="186" spans="21:27" ht="15.75" customHeight="1" x14ac:dyDescent="0.2">
      <c r="U186" s="6"/>
      <c r="V186" s="6"/>
      <c r="W186" s="6"/>
      <c r="X186" s="6"/>
      <c r="Y186" s="6"/>
      <c r="Z186" s="6"/>
      <c r="AA186" s="6"/>
    </row>
    <row r="187" spans="21:27" ht="15.75" customHeight="1" x14ac:dyDescent="0.2">
      <c r="U187" s="6"/>
      <c r="V187" s="6"/>
      <c r="W187" s="6"/>
      <c r="X187" s="6"/>
      <c r="Y187" s="6"/>
      <c r="Z187" s="6"/>
      <c r="AA187" s="6"/>
    </row>
    <row r="188" spans="21:27" ht="15.75" customHeight="1" x14ac:dyDescent="0.2">
      <c r="U188" s="6"/>
      <c r="V188" s="6"/>
      <c r="W188" s="6"/>
      <c r="X188" s="6"/>
      <c r="Y188" s="6"/>
      <c r="Z188" s="6"/>
      <c r="AA188" s="6"/>
    </row>
    <row r="189" spans="21:27" ht="15.75" customHeight="1" x14ac:dyDescent="0.2">
      <c r="U189" s="6"/>
      <c r="V189" s="6"/>
      <c r="W189" s="6"/>
      <c r="X189" s="6"/>
      <c r="Y189" s="6"/>
      <c r="Z189" s="6"/>
      <c r="AA189" s="6"/>
    </row>
    <row r="190" spans="21:27" ht="15.75" customHeight="1" x14ac:dyDescent="0.2">
      <c r="U190" s="6"/>
      <c r="V190" s="6"/>
      <c r="W190" s="6"/>
      <c r="X190" s="6"/>
      <c r="Y190" s="6"/>
      <c r="Z190" s="6"/>
      <c r="AA190" s="6"/>
    </row>
    <row r="191" spans="21:27" ht="15.75" customHeight="1" x14ac:dyDescent="0.2">
      <c r="U191" s="6"/>
      <c r="V191" s="6"/>
      <c r="W191" s="6"/>
      <c r="X191" s="6"/>
      <c r="Y191" s="6"/>
      <c r="Z191" s="6"/>
      <c r="AA191" s="6"/>
    </row>
    <row r="192" spans="21:27" ht="15.75" customHeight="1" x14ac:dyDescent="0.2">
      <c r="U192" s="6"/>
      <c r="V192" s="6"/>
      <c r="W192" s="6"/>
      <c r="X192" s="6"/>
      <c r="Y192" s="6"/>
      <c r="Z192" s="6"/>
      <c r="AA192" s="6"/>
    </row>
    <row r="193" spans="21:27" ht="15.75" customHeight="1" x14ac:dyDescent="0.2">
      <c r="U193" s="6"/>
      <c r="V193" s="6"/>
      <c r="W193" s="6"/>
      <c r="X193" s="6"/>
      <c r="Y193" s="6"/>
      <c r="Z193" s="6"/>
      <c r="AA193" s="6"/>
    </row>
    <row r="194" spans="21:27" ht="15.75" customHeight="1" x14ac:dyDescent="0.2">
      <c r="U194" s="6"/>
      <c r="V194" s="6"/>
      <c r="W194" s="6"/>
      <c r="X194" s="6"/>
      <c r="Y194" s="6"/>
      <c r="Z194" s="6"/>
      <c r="AA194" s="6"/>
    </row>
    <row r="195" spans="21:27" ht="15.75" customHeight="1" x14ac:dyDescent="0.2">
      <c r="U195" s="6"/>
      <c r="V195" s="6"/>
      <c r="W195" s="6"/>
      <c r="X195" s="6"/>
      <c r="Y195" s="6"/>
      <c r="Z195" s="6"/>
      <c r="AA195" s="6"/>
    </row>
    <row r="196" spans="21:27" ht="15.75" customHeight="1" x14ac:dyDescent="0.2">
      <c r="U196" s="6"/>
      <c r="V196" s="6"/>
      <c r="W196" s="6"/>
      <c r="X196" s="6"/>
      <c r="Y196" s="6"/>
      <c r="Z196" s="6"/>
      <c r="AA196" s="6"/>
    </row>
    <row r="197" spans="21:27" ht="15.75" customHeight="1" x14ac:dyDescent="0.2">
      <c r="U197" s="6"/>
      <c r="V197" s="6"/>
      <c r="W197" s="6"/>
      <c r="X197" s="6"/>
      <c r="Y197" s="6"/>
      <c r="Z197" s="6"/>
      <c r="AA197" s="6"/>
    </row>
    <row r="198" spans="21:27" ht="15.75" customHeight="1" x14ac:dyDescent="0.2">
      <c r="U198" s="6"/>
      <c r="V198" s="6"/>
      <c r="W198" s="6"/>
      <c r="X198" s="6"/>
      <c r="Y198" s="6"/>
      <c r="Z198" s="6"/>
      <c r="AA198" s="6"/>
    </row>
    <row r="199" spans="21:27" ht="15.75" customHeight="1" x14ac:dyDescent="0.2">
      <c r="U199" s="6"/>
      <c r="V199" s="6"/>
      <c r="W199" s="6"/>
      <c r="X199" s="6"/>
      <c r="Y199" s="6"/>
      <c r="Z199" s="6"/>
      <c r="AA199" s="6"/>
    </row>
    <row r="200" spans="21:27" ht="15.75" customHeight="1" x14ac:dyDescent="0.2">
      <c r="U200" s="6"/>
      <c r="V200" s="6"/>
      <c r="W200" s="6"/>
      <c r="X200" s="6"/>
      <c r="Y200" s="6"/>
      <c r="Z200" s="6"/>
      <c r="AA200" s="6"/>
    </row>
    <row r="201" spans="21:27" ht="15.75" customHeight="1" x14ac:dyDescent="0.2">
      <c r="U201" s="6"/>
      <c r="V201" s="6"/>
      <c r="W201" s="6"/>
      <c r="X201" s="6"/>
      <c r="Y201" s="6"/>
      <c r="Z201" s="6"/>
      <c r="AA201" s="6"/>
    </row>
    <row r="202" spans="21:27" ht="15.75" customHeight="1" x14ac:dyDescent="0.2">
      <c r="U202" s="6"/>
      <c r="V202" s="6"/>
      <c r="W202" s="6"/>
      <c r="X202" s="6"/>
      <c r="Y202" s="6"/>
      <c r="Z202" s="6"/>
      <c r="AA202" s="6"/>
    </row>
    <row r="203" spans="21:27" ht="15.75" customHeight="1" x14ac:dyDescent="0.2">
      <c r="U203" s="6"/>
      <c r="V203" s="6"/>
      <c r="W203" s="6"/>
      <c r="X203" s="6"/>
      <c r="Y203" s="6"/>
      <c r="Z203" s="6"/>
      <c r="AA203" s="6"/>
    </row>
    <row r="204" spans="21:27" ht="15.75" customHeight="1" x14ac:dyDescent="0.2">
      <c r="U204" s="6"/>
      <c r="V204" s="6"/>
      <c r="W204" s="6"/>
      <c r="X204" s="6"/>
      <c r="Y204" s="6"/>
      <c r="Z204" s="6"/>
      <c r="AA204" s="6"/>
    </row>
    <row r="205" spans="21:27" ht="15.75" customHeight="1" x14ac:dyDescent="0.2">
      <c r="U205" s="6"/>
      <c r="V205" s="6"/>
      <c r="W205" s="6"/>
      <c r="X205" s="6"/>
      <c r="Y205" s="6"/>
      <c r="Z205" s="6"/>
      <c r="AA205" s="6"/>
    </row>
    <row r="206" spans="21:27" ht="15.75" customHeight="1" x14ac:dyDescent="0.2">
      <c r="U206" s="6"/>
      <c r="V206" s="6"/>
      <c r="W206" s="6"/>
      <c r="X206" s="6"/>
      <c r="Y206" s="6"/>
      <c r="Z206" s="6"/>
      <c r="AA206" s="6"/>
    </row>
    <row r="207" spans="21:27" ht="15.75" customHeight="1" x14ac:dyDescent="0.2">
      <c r="U207" s="6"/>
      <c r="V207" s="6"/>
      <c r="W207" s="6"/>
      <c r="X207" s="6"/>
      <c r="Y207" s="6"/>
      <c r="Z207" s="6"/>
      <c r="AA207" s="6"/>
    </row>
    <row r="208" spans="21:27" ht="15.75" customHeight="1" x14ac:dyDescent="0.2">
      <c r="U208" s="6"/>
      <c r="V208" s="6"/>
      <c r="W208" s="6"/>
      <c r="X208" s="6"/>
      <c r="Y208" s="6"/>
      <c r="Z208" s="6"/>
      <c r="AA208" s="6"/>
    </row>
    <row r="209" spans="21:27" ht="15.75" customHeight="1" x14ac:dyDescent="0.2">
      <c r="U209" s="6"/>
      <c r="V209" s="6"/>
      <c r="W209" s="6"/>
      <c r="X209" s="6"/>
      <c r="Y209" s="6"/>
      <c r="Z209" s="6"/>
      <c r="AA209" s="6"/>
    </row>
    <row r="210" spans="21:27" ht="15.75" customHeight="1" x14ac:dyDescent="0.2">
      <c r="U210" s="6"/>
      <c r="V210" s="6"/>
      <c r="W210" s="6"/>
      <c r="X210" s="6"/>
      <c r="Y210" s="6"/>
      <c r="Z210" s="6"/>
      <c r="AA210" s="6"/>
    </row>
    <row r="211" spans="21:27" ht="15.75" customHeight="1" x14ac:dyDescent="0.2">
      <c r="U211" s="6"/>
      <c r="V211" s="6"/>
      <c r="W211" s="6"/>
      <c r="X211" s="6"/>
      <c r="Y211" s="6"/>
      <c r="Z211" s="6"/>
      <c r="AA211" s="6"/>
    </row>
    <row r="212" spans="21:27" ht="15.75" customHeight="1" x14ac:dyDescent="0.2">
      <c r="U212" s="6"/>
      <c r="V212" s="6"/>
      <c r="W212" s="6"/>
      <c r="X212" s="6"/>
      <c r="Y212" s="6"/>
      <c r="Z212" s="6"/>
      <c r="AA212" s="6"/>
    </row>
    <row r="213" spans="21:27" ht="15.75" customHeight="1" x14ac:dyDescent="0.2">
      <c r="U213" s="6"/>
      <c r="V213" s="6"/>
      <c r="W213" s="6"/>
      <c r="X213" s="6"/>
      <c r="Y213" s="6"/>
      <c r="Z213" s="6"/>
      <c r="AA213" s="6"/>
    </row>
    <row r="214" spans="21:27" ht="15.75" customHeight="1" x14ac:dyDescent="0.2">
      <c r="U214" s="6"/>
      <c r="V214" s="6"/>
      <c r="W214" s="6"/>
      <c r="X214" s="6"/>
      <c r="Y214" s="6"/>
      <c r="Z214" s="6"/>
      <c r="AA214" s="6"/>
    </row>
    <row r="215" spans="21:27" ht="15.75" customHeight="1" x14ac:dyDescent="0.2">
      <c r="U215" s="6"/>
      <c r="V215" s="6"/>
      <c r="W215" s="6"/>
      <c r="X215" s="6"/>
      <c r="Y215" s="6"/>
      <c r="Z215" s="6"/>
      <c r="AA215" s="6"/>
    </row>
    <row r="216" spans="21:27" ht="15.75" customHeight="1" x14ac:dyDescent="0.2">
      <c r="U216" s="6"/>
      <c r="V216" s="6"/>
      <c r="W216" s="6"/>
      <c r="X216" s="6"/>
      <c r="Y216" s="6"/>
      <c r="Z216" s="6"/>
      <c r="AA216" s="6"/>
    </row>
    <row r="217" spans="21:27" ht="15.75" customHeight="1" x14ac:dyDescent="0.2">
      <c r="U217" s="6"/>
      <c r="V217" s="6"/>
      <c r="W217" s="6"/>
      <c r="X217" s="6"/>
      <c r="Y217" s="6"/>
      <c r="Z217" s="6"/>
      <c r="AA217" s="6"/>
    </row>
    <row r="218" spans="21:27" ht="15.75" customHeight="1" x14ac:dyDescent="0.2">
      <c r="U218" s="6"/>
      <c r="V218" s="6"/>
      <c r="W218" s="6"/>
      <c r="X218" s="6"/>
      <c r="Y218" s="6"/>
      <c r="Z218" s="6"/>
      <c r="AA218" s="6"/>
    </row>
    <row r="219" spans="21:27" ht="15.75" customHeight="1" x14ac:dyDescent="0.2">
      <c r="U219" s="6"/>
      <c r="V219" s="6"/>
      <c r="W219" s="6"/>
      <c r="X219" s="6"/>
      <c r="Y219" s="6"/>
      <c r="Z219" s="6"/>
      <c r="AA219" s="6"/>
    </row>
    <row r="220" spans="21:27" ht="15.75" customHeight="1" x14ac:dyDescent="0.2">
      <c r="U220" s="6"/>
      <c r="V220" s="6"/>
      <c r="W220" s="6"/>
      <c r="X220" s="6"/>
      <c r="Y220" s="6"/>
      <c r="Z220" s="6"/>
      <c r="AA220" s="6"/>
    </row>
    <row r="221" spans="21:27" ht="15.75" customHeight="1" x14ac:dyDescent="0.2">
      <c r="U221" s="6"/>
      <c r="V221" s="6"/>
      <c r="W221" s="6"/>
      <c r="X221" s="6"/>
      <c r="Y221" s="6"/>
      <c r="Z221" s="6"/>
      <c r="AA221" s="6"/>
    </row>
    <row r="222" spans="21:27" ht="15.75" customHeight="1" x14ac:dyDescent="0.2">
      <c r="U222" s="6"/>
      <c r="V222" s="6"/>
      <c r="W222" s="6"/>
      <c r="X222" s="6"/>
      <c r="Y222" s="6"/>
      <c r="Z222" s="6"/>
      <c r="AA222" s="6"/>
    </row>
    <row r="223" spans="21:27" ht="15.75" customHeight="1" x14ac:dyDescent="0.2">
      <c r="U223" s="6"/>
      <c r="V223" s="6"/>
      <c r="W223" s="6"/>
      <c r="X223" s="6"/>
      <c r="Y223" s="6"/>
      <c r="Z223" s="6"/>
      <c r="AA223" s="6"/>
    </row>
    <row r="224" spans="21:27" ht="15.75" customHeight="1" x14ac:dyDescent="0.2">
      <c r="U224" s="6"/>
      <c r="V224" s="6"/>
      <c r="W224" s="6"/>
      <c r="X224" s="6"/>
      <c r="Y224" s="6"/>
      <c r="Z224" s="6"/>
      <c r="AA224" s="6"/>
    </row>
    <row r="225" spans="21:27" ht="15.75" customHeight="1" x14ac:dyDescent="0.2">
      <c r="U225" s="6"/>
      <c r="V225" s="6"/>
      <c r="W225" s="6"/>
      <c r="X225" s="6"/>
      <c r="Y225" s="6"/>
      <c r="Z225" s="6"/>
      <c r="AA225" s="6"/>
    </row>
    <row r="226" spans="21:27" ht="15.75" customHeight="1" x14ac:dyDescent="0.2">
      <c r="U226" s="6"/>
      <c r="V226" s="6"/>
      <c r="W226" s="6"/>
      <c r="X226" s="6"/>
      <c r="Y226" s="6"/>
      <c r="Z226" s="6"/>
      <c r="AA226" s="6"/>
    </row>
    <row r="227" spans="21:27" ht="15.75" customHeight="1" x14ac:dyDescent="0.2">
      <c r="U227" s="6"/>
      <c r="V227" s="6"/>
      <c r="W227" s="6"/>
      <c r="X227" s="6"/>
      <c r="Y227" s="6"/>
      <c r="Z227" s="6"/>
      <c r="AA227" s="6"/>
    </row>
    <row r="228" spans="21:27" ht="15.75" customHeight="1" x14ac:dyDescent="0.2">
      <c r="U228" s="6"/>
      <c r="V228" s="6"/>
      <c r="W228" s="6"/>
      <c r="X228" s="6"/>
      <c r="Y228" s="6"/>
      <c r="Z228" s="6"/>
      <c r="AA228" s="6"/>
    </row>
    <row r="229" spans="21:27" ht="15.75" customHeight="1" x14ac:dyDescent="0.2">
      <c r="U229" s="6"/>
      <c r="V229" s="6"/>
      <c r="W229" s="6"/>
      <c r="X229" s="6"/>
      <c r="Y229" s="6"/>
      <c r="Z229" s="6"/>
      <c r="AA229" s="6"/>
    </row>
    <row r="230" spans="21:27" ht="15.75" customHeight="1" x14ac:dyDescent="0.2">
      <c r="U230" s="6"/>
      <c r="V230" s="6"/>
      <c r="W230" s="6"/>
      <c r="X230" s="6"/>
      <c r="Y230" s="6"/>
      <c r="Z230" s="6"/>
      <c r="AA230" s="6"/>
    </row>
    <row r="231" spans="21:27" ht="15.75" customHeight="1" x14ac:dyDescent="0.2">
      <c r="U231" s="6"/>
      <c r="V231" s="6"/>
      <c r="W231" s="6"/>
      <c r="X231" s="6"/>
      <c r="Y231" s="6"/>
      <c r="Z231" s="6"/>
      <c r="AA231" s="6"/>
    </row>
    <row r="232" spans="21:27" ht="15.75" customHeight="1" x14ac:dyDescent="0.2">
      <c r="U232" s="6"/>
      <c r="V232" s="6"/>
      <c r="W232" s="6"/>
      <c r="X232" s="6"/>
      <c r="Y232" s="6"/>
      <c r="Z232" s="6"/>
      <c r="AA232" s="6"/>
    </row>
    <row r="233" spans="21:27" ht="15.75" customHeight="1" x14ac:dyDescent="0.2">
      <c r="U233" s="6"/>
      <c r="V233" s="6"/>
      <c r="W233" s="6"/>
      <c r="X233" s="6"/>
      <c r="Y233" s="6"/>
      <c r="Z233" s="6"/>
      <c r="AA233" s="6"/>
    </row>
    <row r="234" spans="21:27" ht="15.75" customHeight="1" x14ac:dyDescent="0.2">
      <c r="U234" s="6"/>
      <c r="V234" s="6"/>
      <c r="W234" s="6"/>
      <c r="X234" s="6"/>
      <c r="Y234" s="6"/>
      <c r="Z234" s="6"/>
      <c r="AA234" s="6"/>
    </row>
    <row r="235" spans="21:27" ht="15.75" customHeight="1" x14ac:dyDescent="0.2">
      <c r="U235" s="6"/>
      <c r="V235" s="6"/>
      <c r="W235" s="6"/>
      <c r="X235" s="6"/>
      <c r="Y235" s="6"/>
      <c r="Z235" s="6"/>
      <c r="AA235" s="6"/>
    </row>
    <row r="236" spans="21:27" ht="15.75" customHeight="1" x14ac:dyDescent="0.2">
      <c r="U236" s="6"/>
      <c r="V236" s="6"/>
      <c r="W236" s="6"/>
      <c r="X236" s="6"/>
      <c r="Y236" s="6"/>
      <c r="Z236" s="6"/>
      <c r="AA236" s="6"/>
    </row>
    <row r="237" spans="21:27" ht="15.75" customHeight="1" x14ac:dyDescent="0.2">
      <c r="U237" s="6"/>
      <c r="V237" s="6"/>
      <c r="W237" s="6"/>
      <c r="X237" s="6"/>
      <c r="Y237" s="6"/>
      <c r="Z237" s="6"/>
      <c r="AA237" s="6"/>
    </row>
    <row r="238" spans="21:27" ht="15.75" customHeight="1" x14ac:dyDescent="0.2">
      <c r="U238" s="6"/>
      <c r="V238" s="6"/>
      <c r="W238" s="6"/>
      <c r="X238" s="6"/>
      <c r="Y238" s="6"/>
      <c r="Z238" s="6"/>
      <c r="AA238" s="6"/>
    </row>
    <row r="239" spans="21:27" ht="15.75" customHeight="1" x14ac:dyDescent="0.2">
      <c r="U239" s="6"/>
      <c r="V239" s="6"/>
      <c r="W239" s="6"/>
      <c r="X239" s="6"/>
      <c r="Y239" s="6"/>
      <c r="Z239" s="6"/>
      <c r="AA239" s="6"/>
    </row>
    <row r="240" spans="21:27" ht="15.75" customHeight="1" x14ac:dyDescent="0.2">
      <c r="U240" s="6"/>
      <c r="V240" s="6"/>
      <c r="W240" s="6"/>
      <c r="X240" s="6"/>
      <c r="Y240" s="6"/>
      <c r="Z240" s="6"/>
      <c r="AA240" s="6"/>
    </row>
    <row r="241" spans="21:27" ht="15.75" customHeight="1" x14ac:dyDescent="0.2">
      <c r="U241" s="6"/>
      <c r="V241" s="6"/>
      <c r="W241" s="6"/>
      <c r="X241" s="6"/>
      <c r="Y241" s="6"/>
      <c r="Z241" s="6"/>
      <c r="AA241" s="6"/>
    </row>
    <row r="242" spans="21:27" ht="15.75" customHeight="1" x14ac:dyDescent="0.2">
      <c r="U242" s="6"/>
      <c r="V242" s="6"/>
      <c r="W242" s="6"/>
      <c r="X242" s="6"/>
      <c r="Y242" s="6"/>
      <c r="Z242" s="6"/>
      <c r="AA242" s="6"/>
    </row>
    <row r="243" spans="21:27" ht="15.75" customHeight="1" x14ac:dyDescent="0.2">
      <c r="U243" s="6"/>
      <c r="V243" s="6"/>
      <c r="W243" s="6"/>
      <c r="X243" s="6"/>
      <c r="Y243" s="6"/>
      <c r="Z243" s="6"/>
      <c r="AA243" s="6"/>
    </row>
    <row r="244" spans="21:27" ht="15.75" customHeight="1" x14ac:dyDescent="0.2">
      <c r="U244" s="6"/>
      <c r="V244" s="6"/>
      <c r="W244" s="6"/>
      <c r="X244" s="6"/>
      <c r="Y244" s="6"/>
      <c r="Z244" s="6"/>
      <c r="AA244" s="6"/>
    </row>
    <row r="245" spans="21:27" ht="15.75" customHeight="1" x14ac:dyDescent="0.2">
      <c r="U245" s="6"/>
      <c r="V245" s="6"/>
      <c r="W245" s="6"/>
      <c r="X245" s="6"/>
      <c r="Y245" s="6"/>
      <c r="Z245" s="6"/>
      <c r="AA245" s="6"/>
    </row>
    <row r="246" spans="21:27" ht="15.75" customHeight="1" x14ac:dyDescent="0.2">
      <c r="U246" s="6"/>
      <c r="V246" s="6"/>
      <c r="W246" s="6"/>
      <c r="X246" s="6"/>
      <c r="Y246" s="6"/>
      <c r="Z246" s="6"/>
      <c r="AA246" s="6"/>
    </row>
    <row r="247" spans="21:27" ht="15.75" customHeight="1" x14ac:dyDescent="0.2">
      <c r="U247" s="6"/>
      <c r="V247" s="6"/>
      <c r="W247" s="6"/>
      <c r="X247" s="6"/>
      <c r="Y247" s="6"/>
      <c r="Z247" s="6"/>
      <c r="AA247" s="6"/>
    </row>
    <row r="248" spans="21:27" ht="15.75" customHeight="1" x14ac:dyDescent="0.2">
      <c r="U248" s="6"/>
      <c r="V248" s="6"/>
      <c r="W248" s="6"/>
      <c r="X248" s="6"/>
      <c r="Y248" s="6"/>
      <c r="Z248" s="6"/>
      <c r="AA248" s="6"/>
    </row>
    <row r="249" spans="21:27" ht="15.75" customHeight="1" x14ac:dyDescent="0.2">
      <c r="U249" s="6"/>
      <c r="V249" s="6"/>
      <c r="W249" s="6"/>
      <c r="X249" s="6"/>
      <c r="Y249" s="6"/>
      <c r="Z249" s="6"/>
      <c r="AA249" s="6"/>
    </row>
    <row r="250" spans="21:27" ht="15.75" customHeight="1" x14ac:dyDescent="0.2">
      <c r="U250" s="6"/>
      <c r="V250" s="6"/>
      <c r="W250" s="6"/>
      <c r="X250" s="6"/>
      <c r="Y250" s="6"/>
      <c r="Z250" s="6"/>
      <c r="AA250" s="6"/>
    </row>
    <row r="251" spans="21:27" ht="15.75" customHeight="1" x14ac:dyDescent="0.2">
      <c r="U251" s="6"/>
      <c r="V251" s="6"/>
      <c r="W251" s="6"/>
      <c r="X251" s="6"/>
      <c r="Y251" s="6"/>
      <c r="Z251" s="6"/>
      <c r="AA251" s="6"/>
    </row>
    <row r="252" spans="21:27" ht="15.75" customHeight="1" x14ac:dyDescent="0.2">
      <c r="U252" s="6"/>
      <c r="V252" s="6"/>
      <c r="W252" s="6"/>
      <c r="X252" s="6"/>
      <c r="Y252" s="6"/>
      <c r="Z252" s="6"/>
      <c r="AA252" s="6"/>
    </row>
    <row r="253" spans="21:27" ht="15.75" customHeight="1" x14ac:dyDescent="0.2">
      <c r="U253" s="6"/>
      <c r="V253" s="6"/>
      <c r="W253" s="6"/>
      <c r="X253" s="6"/>
      <c r="Y253" s="6"/>
      <c r="Z253" s="6"/>
      <c r="AA253" s="6"/>
    </row>
    <row r="254" spans="21:27" ht="15.75" customHeight="1" x14ac:dyDescent="0.2">
      <c r="U254" s="6"/>
      <c r="V254" s="6"/>
      <c r="W254" s="6"/>
      <c r="X254" s="6"/>
      <c r="Y254" s="6"/>
      <c r="Z254" s="6"/>
      <c r="AA254" s="6"/>
    </row>
    <row r="255" spans="21:27" ht="15.75" customHeight="1" x14ac:dyDescent="0.2">
      <c r="U255" s="6"/>
      <c r="V255" s="6"/>
      <c r="W255" s="6"/>
      <c r="X255" s="6"/>
      <c r="Y255" s="6"/>
      <c r="Z255" s="6"/>
      <c r="AA255" s="6"/>
    </row>
    <row r="256" spans="21:27" ht="15.75" customHeight="1" x14ac:dyDescent="0.2">
      <c r="U256" s="6"/>
      <c r="V256" s="6"/>
      <c r="W256" s="6"/>
      <c r="X256" s="6"/>
      <c r="Y256" s="6"/>
      <c r="Z256" s="6"/>
      <c r="AA256" s="6"/>
    </row>
    <row r="257" spans="21:27" ht="15.75" customHeight="1" x14ac:dyDescent="0.2">
      <c r="U257" s="6"/>
      <c r="V257" s="6"/>
      <c r="W257" s="6"/>
      <c r="X257" s="6"/>
      <c r="Y257" s="6"/>
      <c r="Z257" s="6"/>
      <c r="AA257" s="6"/>
    </row>
    <row r="258" spans="21:27" ht="15.75" customHeight="1" x14ac:dyDescent="0.2">
      <c r="U258" s="6"/>
      <c r="V258" s="6"/>
      <c r="W258" s="6"/>
      <c r="X258" s="6"/>
      <c r="Y258" s="6"/>
      <c r="Z258" s="6"/>
      <c r="AA258" s="6"/>
    </row>
    <row r="259" spans="21:27" ht="15.75" customHeight="1" x14ac:dyDescent="0.2">
      <c r="U259" s="6"/>
      <c r="V259" s="6"/>
      <c r="W259" s="6"/>
      <c r="X259" s="6"/>
      <c r="Y259" s="6"/>
      <c r="Z259" s="6"/>
      <c r="AA259" s="6"/>
    </row>
    <row r="260" spans="21:27" ht="15.75" customHeight="1" x14ac:dyDescent="0.2">
      <c r="U260" s="6"/>
      <c r="V260" s="6"/>
      <c r="W260" s="6"/>
      <c r="X260" s="6"/>
      <c r="Y260" s="6"/>
      <c r="Z260" s="6"/>
      <c r="AA260" s="6"/>
    </row>
    <row r="261" spans="21:27" ht="15.75" customHeight="1" x14ac:dyDescent="0.2">
      <c r="U261" s="6"/>
      <c r="V261" s="6"/>
      <c r="W261" s="6"/>
      <c r="X261" s="6"/>
      <c r="Y261" s="6"/>
      <c r="Z261" s="6"/>
      <c r="AA261" s="6"/>
    </row>
    <row r="262" spans="21:27" ht="15.75" customHeight="1" x14ac:dyDescent="0.2">
      <c r="U262" s="6"/>
      <c r="V262" s="6"/>
      <c r="W262" s="6"/>
      <c r="X262" s="6"/>
      <c r="Y262" s="6"/>
      <c r="Z262" s="6"/>
      <c r="AA262" s="6"/>
    </row>
    <row r="263" spans="21:27" ht="15.75" customHeight="1" x14ac:dyDescent="0.2">
      <c r="U263" s="6"/>
      <c r="V263" s="6"/>
      <c r="W263" s="6"/>
      <c r="X263" s="6"/>
      <c r="Y263" s="6"/>
      <c r="Z263" s="6"/>
      <c r="AA263" s="6"/>
    </row>
    <row r="264" spans="21:27" ht="15.75" customHeight="1" x14ac:dyDescent="0.2">
      <c r="U264" s="6"/>
      <c r="V264" s="6"/>
      <c r="W264" s="6"/>
      <c r="X264" s="6"/>
      <c r="Y264" s="6"/>
      <c r="Z264" s="6"/>
      <c r="AA264" s="6"/>
    </row>
    <row r="265" spans="21:27" ht="15.75" customHeight="1" x14ac:dyDescent="0.2">
      <c r="U265" s="6"/>
      <c r="V265" s="6"/>
      <c r="W265" s="6"/>
      <c r="X265" s="6"/>
      <c r="Y265" s="6"/>
      <c r="Z265" s="6"/>
      <c r="AA265" s="6"/>
    </row>
    <row r="266" spans="21:27" ht="15.75" customHeight="1" x14ac:dyDescent="0.2">
      <c r="U266" s="6"/>
      <c r="V266" s="6"/>
      <c r="W266" s="6"/>
      <c r="X266" s="6"/>
      <c r="Y266" s="6"/>
      <c r="Z266" s="6"/>
      <c r="AA266" s="6"/>
    </row>
    <row r="267" spans="21:27" ht="15.75" customHeight="1" x14ac:dyDescent="0.2">
      <c r="U267" s="6"/>
      <c r="V267" s="6"/>
      <c r="W267" s="6"/>
      <c r="X267" s="6"/>
      <c r="Y267" s="6"/>
      <c r="Z267" s="6"/>
      <c r="AA267" s="6"/>
    </row>
    <row r="268" spans="21:27" ht="15.75" customHeight="1" x14ac:dyDescent="0.2">
      <c r="U268" s="6"/>
      <c r="V268" s="6"/>
      <c r="W268" s="6"/>
      <c r="X268" s="6"/>
      <c r="Y268" s="6"/>
      <c r="Z268" s="6"/>
      <c r="AA268" s="6"/>
    </row>
    <row r="269" spans="21:27" ht="15.75" customHeight="1" x14ac:dyDescent="0.2">
      <c r="U269" s="6"/>
      <c r="V269" s="6"/>
      <c r="W269" s="6"/>
      <c r="X269" s="6"/>
      <c r="Y269" s="6"/>
      <c r="Z269" s="6"/>
      <c r="AA269" s="6"/>
    </row>
    <row r="270" spans="21:27" ht="15.75" customHeight="1" x14ac:dyDescent="0.2">
      <c r="U270" s="6"/>
      <c r="V270" s="6"/>
      <c r="W270" s="6"/>
      <c r="X270" s="6"/>
      <c r="Y270" s="6"/>
      <c r="Z270" s="6"/>
      <c r="AA270" s="6"/>
    </row>
    <row r="271" spans="21:27" ht="15.75" customHeight="1" x14ac:dyDescent="0.2">
      <c r="U271" s="6"/>
      <c r="V271" s="6"/>
      <c r="W271" s="6"/>
      <c r="X271" s="6"/>
      <c r="Y271" s="6"/>
      <c r="Z271" s="6"/>
      <c r="AA271" s="6"/>
    </row>
    <row r="272" spans="21:27" ht="15.75" customHeight="1" x14ac:dyDescent="0.2">
      <c r="U272" s="6"/>
      <c r="V272" s="6"/>
      <c r="W272" s="6"/>
      <c r="X272" s="6"/>
      <c r="Y272" s="6"/>
      <c r="Z272" s="6"/>
      <c r="AA272" s="6"/>
    </row>
    <row r="273" spans="21:27" ht="15.75" customHeight="1" x14ac:dyDescent="0.2">
      <c r="U273" s="6"/>
      <c r="V273" s="6"/>
      <c r="W273" s="6"/>
      <c r="X273" s="6"/>
      <c r="Y273" s="6"/>
      <c r="Z273" s="6"/>
      <c r="AA273" s="6"/>
    </row>
    <row r="274" spans="21:27" ht="15.75" customHeight="1" x14ac:dyDescent="0.2">
      <c r="U274" s="6"/>
      <c r="V274" s="6"/>
      <c r="W274" s="6"/>
      <c r="X274" s="6"/>
      <c r="Y274" s="6"/>
      <c r="Z274" s="6"/>
      <c r="AA274" s="6"/>
    </row>
    <row r="275" spans="21:27" ht="15.75" customHeight="1" x14ac:dyDescent="0.2">
      <c r="U275" s="6"/>
      <c r="V275" s="6"/>
      <c r="W275" s="6"/>
      <c r="X275" s="6"/>
      <c r="Y275" s="6"/>
      <c r="Z275" s="6"/>
      <c r="AA275" s="6"/>
    </row>
    <row r="276" spans="21:27" ht="15.75" customHeight="1" x14ac:dyDescent="0.2">
      <c r="U276" s="6"/>
      <c r="V276" s="6"/>
      <c r="W276" s="6"/>
      <c r="X276" s="6"/>
      <c r="Y276" s="6"/>
      <c r="Z276" s="6"/>
      <c r="AA276" s="6"/>
    </row>
    <row r="277" spans="21:27" ht="15.75" customHeight="1" x14ac:dyDescent="0.2">
      <c r="U277" s="6"/>
      <c r="V277" s="6"/>
      <c r="W277" s="6"/>
      <c r="X277" s="6"/>
      <c r="Y277" s="6"/>
      <c r="Z277" s="6"/>
      <c r="AA277" s="6"/>
    </row>
    <row r="278" spans="21:27" ht="15.75" customHeight="1" x14ac:dyDescent="0.2">
      <c r="U278" s="6"/>
      <c r="V278" s="6"/>
      <c r="W278" s="6"/>
      <c r="X278" s="6"/>
      <c r="Y278" s="6"/>
      <c r="Z278" s="6"/>
      <c r="AA278" s="6"/>
    </row>
    <row r="279" spans="21:27" ht="15.75" customHeight="1" x14ac:dyDescent="0.2">
      <c r="U279" s="6"/>
      <c r="V279" s="6"/>
      <c r="W279" s="6"/>
      <c r="X279" s="6"/>
      <c r="Y279" s="6"/>
      <c r="Z279" s="6"/>
      <c r="AA279" s="6"/>
    </row>
    <row r="280" spans="21:27" ht="15.75" customHeight="1" x14ac:dyDescent="0.2">
      <c r="U280" s="6"/>
      <c r="V280" s="6"/>
      <c r="W280" s="6"/>
      <c r="X280" s="6"/>
      <c r="Y280" s="6"/>
      <c r="Z280" s="6"/>
      <c r="AA280" s="6"/>
    </row>
    <row r="281" spans="21:27" ht="15.75" customHeight="1" x14ac:dyDescent="0.2">
      <c r="U281" s="6"/>
      <c r="V281" s="6"/>
      <c r="W281" s="6"/>
      <c r="X281" s="6"/>
      <c r="Y281" s="6"/>
      <c r="Z281" s="6"/>
      <c r="AA281" s="6"/>
    </row>
    <row r="282" spans="21:27" ht="15.75" customHeight="1" x14ac:dyDescent="0.2">
      <c r="U282" s="6"/>
      <c r="V282" s="6"/>
      <c r="W282" s="6"/>
      <c r="X282" s="6"/>
      <c r="Y282" s="6"/>
      <c r="Z282" s="6"/>
      <c r="AA282" s="6"/>
    </row>
    <row r="283" spans="21:27" ht="15.75" customHeight="1" x14ac:dyDescent="0.2">
      <c r="U283" s="6"/>
      <c r="V283" s="6"/>
      <c r="W283" s="6"/>
      <c r="X283" s="6"/>
      <c r="Y283" s="6"/>
      <c r="Z283" s="6"/>
      <c r="AA283" s="6"/>
    </row>
    <row r="284" spans="21:27" ht="15.75" customHeight="1" x14ac:dyDescent="0.2">
      <c r="U284" s="6"/>
      <c r="V284" s="6"/>
      <c r="W284" s="6"/>
      <c r="X284" s="6"/>
      <c r="Y284" s="6"/>
      <c r="Z284" s="6"/>
      <c r="AA284" s="6"/>
    </row>
    <row r="285" spans="21:27" ht="15.75" customHeight="1" x14ac:dyDescent="0.2">
      <c r="U285" s="6"/>
      <c r="V285" s="6"/>
      <c r="W285" s="6"/>
      <c r="X285" s="6"/>
      <c r="Y285" s="6"/>
      <c r="Z285" s="6"/>
      <c r="AA285" s="6"/>
    </row>
    <row r="286" spans="21:27" ht="15.75" customHeight="1" x14ac:dyDescent="0.2">
      <c r="U286" s="6"/>
      <c r="V286" s="6"/>
      <c r="W286" s="6"/>
      <c r="X286" s="6"/>
      <c r="Y286" s="6"/>
      <c r="Z286" s="6"/>
      <c r="AA286" s="6"/>
    </row>
    <row r="287" spans="21:27" ht="15.75" customHeight="1" x14ac:dyDescent="0.2">
      <c r="U287" s="6"/>
      <c r="V287" s="6"/>
      <c r="W287" s="6"/>
      <c r="X287" s="6"/>
      <c r="Y287" s="6"/>
      <c r="Z287" s="6"/>
      <c r="AA287" s="6"/>
    </row>
    <row r="288" spans="21:27" ht="15.75" customHeight="1" x14ac:dyDescent="0.2">
      <c r="U288" s="6"/>
      <c r="V288" s="6"/>
      <c r="W288" s="6"/>
      <c r="X288" s="6"/>
      <c r="Y288" s="6"/>
      <c r="Z288" s="6"/>
      <c r="AA288" s="6"/>
    </row>
    <row r="289" spans="21:27" ht="15.75" customHeight="1" x14ac:dyDescent="0.2">
      <c r="U289" s="6"/>
      <c r="V289" s="6"/>
      <c r="W289" s="6"/>
      <c r="X289" s="6"/>
      <c r="Y289" s="6"/>
      <c r="Z289" s="6"/>
      <c r="AA289" s="6"/>
    </row>
    <row r="290" spans="21:27" ht="15.75" customHeight="1" x14ac:dyDescent="0.2">
      <c r="U290" s="6"/>
      <c r="V290" s="6"/>
      <c r="W290" s="6"/>
      <c r="X290" s="6"/>
      <c r="Y290" s="6"/>
      <c r="Z290" s="6"/>
      <c r="AA290" s="6"/>
    </row>
    <row r="291" spans="21:27" ht="15.75" customHeight="1" x14ac:dyDescent="0.2">
      <c r="U291" s="6"/>
      <c r="V291" s="6"/>
      <c r="W291" s="6"/>
      <c r="X291" s="6"/>
      <c r="Y291" s="6"/>
      <c r="Z291" s="6"/>
      <c r="AA291" s="6"/>
    </row>
    <row r="292" spans="21:27" ht="15.75" customHeight="1" x14ac:dyDescent="0.2">
      <c r="U292" s="6"/>
      <c r="V292" s="6"/>
      <c r="W292" s="6"/>
      <c r="X292" s="6"/>
      <c r="Y292" s="6"/>
      <c r="Z292" s="6"/>
      <c r="AA292" s="6"/>
    </row>
    <row r="293" spans="21:27" ht="15.75" customHeight="1" x14ac:dyDescent="0.2">
      <c r="U293" s="6"/>
      <c r="V293" s="6"/>
      <c r="W293" s="6"/>
      <c r="X293" s="6"/>
      <c r="Y293" s="6"/>
      <c r="Z293" s="6"/>
      <c r="AA293" s="6"/>
    </row>
    <row r="294" spans="21:27" ht="15.75" customHeight="1" x14ac:dyDescent="0.2">
      <c r="U294" s="6"/>
      <c r="V294" s="6"/>
      <c r="W294" s="6"/>
      <c r="X294" s="6"/>
      <c r="Y294" s="6"/>
      <c r="Z294" s="6"/>
      <c r="AA294" s="6"/>
    </row>
    <row r="295" spans="21:27" ht="15.75" customHeight="1" x14ac:dyDescent="0.2">
      <c r="U295" s="6"/>
      <c r="V295" s="6"/>
      <c r="W295" s="6"/>
      <c r="X295" s="6"/>
      <c r="Y295" s="6"/>
      <c r="Z295" s="6"/>
      <c r="AA295" s="6"/>
    </row>
    <row r="296" spans="21:27" ht="15.75" customHeight="1" x14ac:dyDescent="0.2">
      <c r="U296" s="6"/>
      <c r="V296" s="6"/>
      <c r="W296" s="6"/>
      <c r="X296" s="6"/>
      <c r="Y296" s="6"/>
      <c r="Z296" s="6"/>
      <c r="AA296" s="6"/>
    </row>
    <row r="297" spans="21:27" ht="15.75" customHeight="1" x14ac:dyDescent="0.2">
      <c r="U297" s="6"/>
      <c r="V297" s="6"/>
      <c r="W297" s="6"/>
      <c r="X297" s="6"/>
      <c r="Y297" s="6"/>
      <c r="Z297" s="6"/>
      <c r="AA297" s="6"/>
    </row>
    <row r="298" spans="21:27" ht="15.75" customHeight="1" x14ac:dyDescent="0.2">
      <c r="U298" s="6"/>
      <c r="V298" s="6"/>
      <c r="W298" s="6"/>
      <c r="X298" s="6"/>
      <c r="Y298" s="6"/>
      <c r="Z298" s="6"/>
      <c r="AA298" s="6"/>
    </row>
    <row r="299" spans="21:27" ht="15.75" customHeight="1" x14ac:dyDescent="0.2">
      <c r="U299" s="6"/>
      <c r="V299" s="6"/>
      <c r="W299" s="6"/>
      <c r="X299" s="6"/>
      <c r="Y299" s="6"/>
      <c r="Z299" s="6"/>
      <c r="AA299" s="6"/>
    </row>
    <row r="300" spans="21:27" ht="15.75" customHeight="1" x14ac:dyDescent="0.2">
      <c r="U300" s="6"/>
      <c r="V300" s="6"/>
      <c r="W300" s="6"/>
      <c r="X300" s="6"/>
      <c r="Y300" s="6"/>
      <c r="Z300" s="6"/>
      <c r="AA300" s="6"/>
    </row>
    <row r="301" spans="21:27" ht="15.75" customHeight="1" x14ac:dyDescent="0.2">
      <c r="U301" s="6"/>
      <c r="V301" s="6"/>
      <c r="W301" s="6"/>
      <c r="X301" s="6"/>
      <c r="Y301" s="6"/>
      <c r="Z301" s="6"/>
      <c r="AA301" s="6"/>
    </row>
    <row r="302" spans="21:27" ht="15.75" customHeight="1" x14ac:dyDescent="0.2">
      <c r="U302" s="6"/>
      <c r="V302" s="6"/>
      <c r="W302" s="6"/>
      <c r="X302" s="6"/>
      <c r="Y302" s="6"/>
      <c r="Z302" s="6"/>
      <c r="AA302" s="6"/>
    </row>
    <row r="303" spans="21:27" ht="15.75" customHeight="1" x14ac:dyDescent="0.2">
      <c r="U303" s="6"/>
      <c r="V303" s="6"/>
      <c r="W303" s="6"/>
      <c r="X303" s="6"/>
      <c r="Y303" s="6"/>
      <c r="Z303" s="6"/>
      <c r="AA303" s="6"/>
    </row>
    <row r="304" spans="21:27" ht="15.75" customHeight="1" x14ac:dyDescent="0.2">
      <c r="U304" s="6"/>
      <c r="V304" s="6"/>
      <c r="W304" s="6"/>
      <c r="X304" s="6"/>
      <c r="Y304" s="6"/>
      <c r="Z304" s="6"/>
      <c r="AA304" s="6"/>
    </row>
    <row r="305" spans="21:27" ht="15.75" customHeight="1" x14ac:dyDescent="0.2">
      <c r="U305" s="6"/>
      <c r="V305" s="6"/>
      <c r="W305" s="6"/>
      <c r="X305" s="6"/>
      <c r="Y305" s="6"/>
      <c r="Z305" s="6"/>
      <c r="AA305" s="6"/>
    </row>
    <row r="306" spans="21:27" ht="15.75" customHeight="1" x14ac:dyDescent="0.2">
      <c r="U306" s="6"/>
      <c r="V306" s="6"/>
      <c r="W306" s="6"/>
      <c r="X306" s="6"/>
      <c r="Y306" s="6"/>
      <c r="Z306" s="6"/>
      <c r="AA306" s="6"/>
    </row>
    <row r="307" spans="21:27" ht="15.75" customHeight="1" x14ac:dyDescent="0.2">
      <c r="U307" s="6"/>
      <c r="V307" s="6"/>
      <c r="W307" s="6"/>
      <c r="X307" s="6"/>
      <c r="Y307" s="6"/>
      <c r="Z307" s="6"/>
      <c r="AA307" s="6"/>
    </row>
    <row r="308" spans="21:27" ht="15.75" customHeight="1" x14ac:dyDescent="0.2">
      <c r="U308" s="6"/>
      <c r="V308" s="6"/>
      <c r="W308" s="6"/>
      <c r="X308" s="6"/>
      <c r="Y308" s="6"/>
      <c r="Z308" s="6"/>
      <c r="AA308" s="6"/>
    </row>
    <row r="309" spans="21:27" ht="15.75" customHeight="1" x14ac:dyDescent="0.2">
      <c r="U309" s="6"/>
      <c r="V309" s="6"/>
      <c r="W309" s="6"/>
      <c r="X309" s="6"/>
      <c r="Y309" s="6"/>
      <c r="Z309" s="6"/>
      <c r="AA309" s="6"/>
    </row>
    <row r="310" spans="21:27" ht="15.75" customHeight="1" x14ac:dyDescent="0.2">
      <c r="U310" s="6"/>
      <c r="V310" s="6"/>
      <c r="W310" s="6"/>
      <c r="X310" s="6"/>
      <c r="Y310" s="6"/>
      <c r="Z310" s="6"/>
      <c r="AA310" s="6"/>
    </row>
    <row r="311" spans="21:27" ht="15.75" customHeight="1" x14ac:dyDescent="0.2">
      <c r="U311" s="6"/>
      <c r="V311" s="6"/>
      <c r="W311" s="6"/>
      <c r="X311" s="6"/>
      <c r="Y311" s="6"/>
      <c r="Z311" s="6"/>
      <c r="AA311" s="6"/>
    </row>
    <row r="312" spans="21:27" ht="15.75" customHeight="1" x14ac:dyDescent="0.2">
      <c r="U312" s="6"/>
      <c r="V312" s="6"/>
      <c r="W312" s="6"/>
      <c r="X312" s="6"/>
      <c r="Y312" s="6"/>
      <c r="Z312" s="6"/>
      <c r="AA312" s="6"/>
    </row>
    <row r="313" spans="21:27" ht="15.75" customHeight="1" x14ac:dyDescent="0.2">
      <c r="U313" s="6"/>
      <c r="V313" s="6"/>
      <c r="W313" s="6"/>
      <c r="X313" s="6"/>
      <c r="Y313" s="6"/>
      <c r="Z313" s="6"/>
      <c r="AA313" s="6"/>
    </row>
    <row r="314" spans="21:27" ht="15.75" customHeight="1" x14ac:dyDescent="0.2">
      <c r="U314" s="6"/>
      <c r="V314" s="6"/>
      <c r="W314" s="6"/>
      <c r="X314" s="6"/>
      <c r="Y314" s="6"/>
      <c r="Z314" s="6"/>
      <c r="AA314" s="6"/>
    </row>
    <row r="315" spans="21:27" ht="15.75" customHeight="1" x14ac:dyDescent="0.2">
      <c r="U315" s="6"/>
      <c r="V315" s="6"/>
      <c r="W315" s="6"/>
      <c r="X315" s="6"/>
      <c r="Y315" s="6"/>
      <c r="Z315" s="6"/>
      <c r="AA315" s="6"/>
    </row>
    <row r="316" spans="21:27" ht="15.75" customHeight="1" x14ac:dyDescent="0.2">
      <c r="U316" s="6"/>
      <c r="V316" s="6"/>
      <c r="W316" s="6"/>
      <c r="X316" s="6"/>
      <c r="Y316" s="6"/>
      <c r="Z316" s="6"/>
      <c r="AA316" s="6"/>
    </row>
    <row r="317" spans="21:27" ht="15.75" customHeight="1" x14ac:dyDescent="0.2">
      <c r="U317" s="6"/>
      <c r="V317" s="6"/>
      <c r="W317" s="6"/>
      <c r="X317" s="6"/>
      <c r="Y317" s="6"/>
      <c r="Z317" s="6"/>
      <c r="AA317" s="6"/>
    </row>
    <row r="318" spans="21:27" ht="15.75" customHeight="1" x14ac:dyDescent="0.2">
      <c r="U318" s="6"/>
      <c r="V318" s="6"/>
      <c r="W318" s="6"/>
      <c r="X318" s="6"/>
      <c r="Y318" s="6"/>
      <c r="Z318" s="6"/>
      <c r="AA318" s="6"/>
    </row>
    <row r="319" spans="21:27" ht="15.75" customHeight="1" x14ac:dyDescent="0.2">
      <c r="U319" s="6"/>
      <c r="V319" s="6"/>
      <c r="W319" s="6"/>
      <c r="X319" s="6"/>
      <c r="Y319" s="6"/>
      <c r="Z319" s="6"/>
      <c r="AA319" s="6"/>
    </row>
    <row r="320" spans="21:27" ht="15.75" customHeight="1" x14ac:dyDescent="0.2">
      <c r="U320" s="6"/>
      <c r="V320" s="6"/>
      <c r="W320" s="6"/>
      <c r="X320" s="6"/>
      <c r="Y320" s="6"/>
      <c r="Z320" s="6"/>
      <c r="AA320" s="6"/>
    </row>
    <row r="321" spans="21:27" ht="15.75" customHeight="1" x14ac:dyDescent="0.2">
      <c r="U321" s="6"/>
      <c r="V321" s="6"/>
      <c r="W321" s="6"/>
      <c r="X321" s="6"/>
      <c r="Y321" s="6"/>
      <c r="Z321" s="6"/>
      <c r="AA321" s="6"/>
    </row>
    <row r="322" spans="21:27" ht="15.75" customHeight="1" x14ac:dyDescent="0.2">
      <c r="U322" s="6"/>
      <c r="V322" s="6"/>
      <c r="W322" s="6"/>
      <c r="X322" s="6"/>
      <c r="Y322" s="6"/>
      <c r="Z322" s="6"/>
      <c r="AA322" s="6"/>
    </row>
    <row r="323" spans="21:27" ht="15.75" customHeight="1" x14ac:dyDescent="0.2">
      <c r="U323" s="6"/>
      <c r="V323" s="6"/>
      <c r="W323" s="6"/>
      <c r="X323" s="6"/>
      <c r="Y323" s="6"/>
      <c r="Z323" s="6"/>
      <c r="AA323" s="6"/>
    </row>
    <row r="324" spans="21:27" ht="15.75" customHeight="1" x14ac:dyDescent="0.2">
      <c r="U324" s="6"/>
      <c r="V324" s="6"/>
      <c r="W324" s="6"/>
      <c r="X324" s="6"/>
      <c r="Y324" s="6"/>
      <c r="Z324" s="6"/>
      <c r="AA324" s="6"/>
    </row>
    <row r="325" spans="21:27" ht="15.75" customHeight="1" x14ac:dyDescent="0.2">
      <c r="U325" s="6"/>
      <c r="V325" s="6"/>
      <c r="W325" s="6"/>
      <c r="X325" s="6"/>
      <c r="Y325" s="6"/>
      <c r="Z325" s="6"/>
      <c r="AA325" s="6"/>
    </row>
    <row r="326" spans="21:27" ht="15.75" customHeight="1" x14ac:dyDescent="0.2">
      <c r="U326" s="6"/>
      <c r="V326" s="6"/>
      <c r="W326" s="6"/>
      <c r="X326" s="6"/>
      <c r="Y326" s="6"/>
      <c r="Z326" s="6"/>
      <c r="AA326" s="6"/>
    </row>
    <row r="327" spans="21:27" ht="15.75" customHeight="1" x14ac:dyDescent="0.2">
      <c r="U327" s="6"/>
      <c r="V327" s="6"/>
      <c r="W327" s="6"/>
      <c r="X327" s="6"/>
      <c r="Y327" s="6"/>
      <c r="Z327" s="6"/>
      <c r="AA327" s="6"/>
    </row>
    <row r="328" spans="21:27" ht="15.75" customHeight="1" x14ac:dyDescent="0.2">
      <c r="U328" s="6"/>
      <c r="V328" s="6"/>
      <c r="W328" s="6"/>
      <c r="X328" s="6"/>
      <c r="Y328" s="6"/>
      <c r="Z328" s="6"/>
      <c r="AA328" s="6"/>
    </row>
    <row r="329" spans="21:27" ht="15.75" customHeight="1" x14ac:dyDescent="0.2">
      <c r="U329" s="6"/>
      <c r="V329" s="6"/>
      <c r="W329" s="6"/>
      <c r="X329" s="6"/>
      <c r="Y329" s="6"/>
      <c r="Z329" s="6"/>
      <c r="AA329" s="6"/>
    </row>
    <row r="330" spans="21:27" ht="15.75" customHeight="1" x14ac:dyDescent="0.2">
      <c r="U330" s="6"/>
      <c r="V330" s="6"/>
      <c r="W330" s="6"/>
      <c r="X330" s="6"/>
      <c r="Y330" s="6"/>
      <c r="Z330" s="6"/>
      <c r="AA330" s="6"/>
    </row>
    <row r="331" spans="21:27" ht="15.75" customHeight="1" x14ac:dyDescent="0.2">
      <c r="U331" s="6"/>
      <c r="V331" s="6"/>
      <c r="W331" s="6"/>
      <c r="X331" s="6"/>
      <c r="Y331" s="6"/>
      <c r="Z331" s="6"/>
      <c r="AA331" s="6"/>
    </row>
    <row r="332" spans="21:27" ht="15.75" customHeight="1" x14ac:dyDescent="0.2">
      <c r="U332" s="6"/>
      <c r="V332" s="6"/>
      <c r="W332" s="6"/>
      <c r="X332" s="6"/>
      <c r="Y332" s="6"/>
      <c r="Z332" s="6"/>
      <c r="AA332" s="6"/>
    </row>
    <row r="333" spans="21:27" ht="15.75" customHeight="1" x14ac:dyDescent="0.2">
      <c r="U333" s="6"/>
      <c r="V333" s="6"/>
      <c r="W333" s="6"/>
      <c r="X333" s="6"/>
      <c r="Y333" s="6"/>
      <c r="Z333" s="6"/>
      <c r="AA333" s="6"/>
    </row>
    <row r="334" spans="21:27" ht="15.75" customHeight="1" x14ac:dyDescent="0.2">
      <c r="U334" s="6"/>
      <c r="V334" s="6"/>
      <c r="W334" s="6"/>
      <c r="X334" s="6"/>
      <c r="Y334" s="6"/>
      <c r="Z334" s="6"/>
      <c r="AA334" s="6"/>
    </row>
    <row r="335" spans="21:27" ht="15.75" customHeight="1" x14ac:dyDescent="0.2">
      <c r="U335" s="6"/>
      <c r="V335" s="6"/>
      <c r="W335" s="6"/>
      <c r="X335" s="6"/>
      <c r="Y335" s="6"/>
      <c r="Z335" s="6"/>
      <c r="AA335" s="6"/>
    </row>
    <row r="336" spans="21:27" ht="15.75" customHeight="1" x14ac:dyDescent="0.2">
      <c r="U336" s="6"/>
      <c r="V336" s="6"/>
      <c r="W336" s="6"/>
      <c r="X336" s="6"/>
      <c r="Y336" s="6"/>
      <c r="Z336" s="6"/>
      <c r="AA336" s="6"/>
    </row>
    <row r="337" spans="21:27" ht="15.75" customHeight="1" x14ac:dyDescent="0.2">
      <c r="U337" s="6"/>
      <c r="V337" s="6"/>
      <c r="W337" s="6"/>
      <c r="X337" s="6"/>
      <c r="Y337" s="6"/>
      <c r="Z337" s="6"/>
      <c r="AA337" s="6"/>
    </row>
    <row r="338" spans="21:27" ht="15.75" customHeight="1" x14ac:dyDescent="0.2">
      <c r="U338" s="6"/>
      <c r="V338" s="6"/>
      <c r="W338" s="6"/>
      <c r="X338" s="6"/>
      <c r="Y338" s="6"/>
      <c r="Z338" s="6"/>
      <c r="AA338" s="6"/>
    </row>
    <row r="339" spans="21:27" ht="15.75" customHeight="1" x14ac:dyDescent="0.2">
      <c r="U339" s="6"/>
      <c r="V339" s="6"/>
      <c r="W339" s="6"/>
      <c r="X339" s="6"/>
      <c r="Y339" s="6"/>
      <c r="Z339" s="6"/>
      <c r="AA339" s="6"/>
    </row>
    <row r="340" spans="21:27" ht="15.75" customHeight="1" x14ac:dyDescent="0.2">
      <c r="U340" s="6"/>
      <c r="V340" s="6"/>
      <c r="W340" s="6"/>
      <c r="X340" s="6"/>
      <c r="Y340" s="6"/>
      <c r="Z340" s="6"/>
      <c r="AA340" s="6"/>
    </row>
    <row r="341" spans="21:27" ht="15.75" customHeight="1" x14ac:dyDescent="0.2">
      <c r="U341" s="6"/>
      <c r="V341" s="6"/>
      <c r="W341" s="6"/>
      <c r="X341" s="6"/>
      <c r="Y341" s="6"/>
      <c r="Z341" s="6"/>
      <c r="AA341" s="6"/>
    </row>
    <row r="342" spans="21:27" ht="15.75" customHeight="1" x14ac:dyDescent="0.2">
      <c r="U342" s="6"/>
      <c r="V342" s="6"/>
      <c r="W342" s="6"/>
      <c r="X342" s="6"/>
      <c r="Y342" s="6"/>
      <c r="Z342" s="6"/>
      <c r="AA342" s="6"/>
    </row>
    <row r="343" spans="21:27" ht="15.75" customHeight="1" x14ac:dyDescent="0.2">
      <c r="U343" s="6"/>
      <c r="V343" s="6"/>
      <c r="W343" s="6"/>
      <c r="X343" s="6"/>
      <c r="Y343" s="6"/>
      <c r="Z343" s="6"/>
      <c r="AA343" s="6"/>
    </row>
    <row r="344" spans="21:27" ht="15.75" customHeight="1" x14ac:dyDescent="0.2">
      <c r="U344" s="6"/>
      <c r="V344" s="6"/>
      <c r="W344" s="6"/>
      <c r="X344" s="6"/>
      <c r="Y344" s="6"/>
      <c r="Z344" s="6"/>
      <c r="AA344" s="6"/>
    </row>
    <row r="345" spans="21:27" ht="15.75" customHeight="1" x14ac:dyDescent="0.2">
      <c r="U345" s="6"/>
      <c r="V345" s="6"/>
      <c r="W345" s="6"/>
      <c r="X345" s="6"/>
      <c r="Y345" s="6"/>
      <c r="Z345" s="6"/>
      <c r="AA345" s="6"/>
    </row>
    <row r="346" spans="21:27" ht="15.75" customHeight="1" x14ac:dyDescent="0.2">
      <c r="U346" s="6"/>
      <c r="V346" s="6"/>
      <c r="W346" s="6"/>
      <c r="X346" s="6"/>
      <c r="Y346" s="6"/>
      <c r="Z346" s="6"/>
      <c r="AA346" s="6"/>
    </row>
    <row r="347" spans="21:27" ht="15.75" customHeight="1" x14ac:dyDescent="0.2">
      <c r="U347" s="6"/>
      <c r="V347" s="6"/>
      <c r="W347" s="6"/>
      <c r="X347" s="6"/>
      <c r="Y347" s="6"/>
      <c r="Z347" s="6"/>
      <c r="AA347" s="6"/>
    </row>
    <row r="348" spans="21:27" ht="15.75" customHeight="1" x14ac:dyDescent="0.2">
      <c r="U348" s="6"/>
      <c r="V348" s="6"/>
      <c r="W348" s="6"/>
      <c r="X348" s="6"/>
      <c r="Y348" s="6"/>
      <c r="Z348" s="6"/>
      <c r="AA348" s="6"/>
    </row>
    <row r="349" spans="21:27" ht="15.75" customHeight="1" x14ac:dyDescent="0.2">
      <c r="U349" s="6"/>
      <c r="V349" s="6"/>
      <c r="W349" s="6"/>
      <c r="X349" s="6"/>
      <c r="Y349" s="6"/>
      <c r="Z349" s="6"/>
      <c r="AA349" s="6"/>
    </row>
    <row r="350" spans="21:27" ht="15.75" customHeight="1" x14ac:dyDescent="0.2">
      <c r="U350" s="6"/>
      <c r="V350" s="6"/>
      <c r="W350" s="6"/>
      <c r="X350" s="6"/>
      <c r="Y350" s="6"/>
      <c r="Z350" s="6"/>
      <c r="AA350" s="6"/>
    </row>
    <row r="351" spans="21:27" ht="15.75" customHeight="1" x14ac:dyDescent="0.2">
      <c r="U351" s="6"/>
      <c r="V351" s="6"/>
      <c r="W351" s="6"/>
      <c r="X351" s="6"/>
      <c r="Y351" s="6"/>
      <c r="Z351" s="6"/>
      <c r="AA351" s="6"/>
    </row>
    <row r="352" spans="21:27" ht="15.75" customHeight="1" x14ac:dyDescent="0.2">
      <c r="U352" s="6"/>
      <c r="V352" s="6"/>
      <c r="W352" s="6"/>
      <c r="X352" s="6"/>
      <c r="Y352" s="6"/>
      <c r="Z352" s="6"/>
      <c r="AA352" s="6"/>
    </row>
    <row r="353" spans="21:27" ht="15.75" customHeight="1" x14ac:dyDescent="0.2">
      <c r="U353" s="6"/>
      <c r="V353" s="6"/>
      <c r="W353" s="6"/>
      <c r="X353" s="6"/>
      <c r="Y353" s="6"/>
      <c r="Z353" s="6"/>
      <c r="AA353" s="6"/>
    </row>
    <row r="354" spans="21:27" ht="15.75" customHeight="1" x14ac:dyDescent="0.2">
      <c r="U354" s="6"/>
      <c r="V354" s="6"/>
      <c r="W354" s="6"/>
      <c r="X354" s="6"/>
      <c r="Y354" s="6"/>
      <c r="Z354" s="6"/>
      <c r="AA354" s="6"/>
    </row>
    <row r="355" spans="21:27" ht="15.75" customHeight="1" x14ac:dyDescent="0.2">
      <c r="U355" s="6"/>
      <c r="V355" s="6"/>
      <c r="W355" s="6"/>
      <c r="X355" s="6"/>
      <c r="Y355" s="6"/>
      <c r="Z355" s="6"/>
      <c r="AA355" s="6"/>
    </row>
    <row r="356" spans="21:27" ht="15.75" customHeight="1" x14ac:dyDescent="0.2">
      <c r="U356" s="6"/>
      <c r="V356" s="6"/>
      <c r="W356" s="6"/>
      <c r="X356" s="6"/>
      <c r="Y356" s="6"/>
      <c r="Z356" s="6"/>
      <c r="AA356" s="6"/>
    </row>
    <row r="357" spans="21:27" ht="15.75" customHeight="1" x14ac:dyDescent="0.2">
      <c r="U357" s="6"/>
      <c r="V357" s="6"/>
      <c r="W357" s="6"/>
      <c r="X357" s="6"/>
      <c r="Y357" s="6"/>
      <c r="Z357" s="6"/>
      <c r="AA357" s="6"/>
    </row>
    <row r="358" spans="21:27" ht="15.75" customHeight="1" x14ac:dyDescent="0.2">
      <c r="U358" s="6"/>
      <c r="V358" s="6"/>
      <c r="W358" s="6"/>
      <c r="X358" s="6"/>
      <c r="Y358" s="6"/>
      <c r="Z358" s="6"/>
      <c r="AA358" s="6"/>
    </row>
    <row r="359" spans="21:27" ht="15.75" customHeight="1" x14ac:dyDescent="0.2">
      <c r="U359" s="6"/>
      <c r="V359" s="6"/>
      <c r="W359" s="6"/>
      <c r="X359" s="6"/>
      <c r="Y359" s="6"/>
      <c r="Z359" s="6"/>
      <c r="AA359" s="6"/>
    </row>
    <row r="360" spans="21:27" ht="15.75" customHeight="1" x14ac:dyDescent="0.2">
      <c r="U360" s="6"/>
      <c r="V360" s="6"/>
      <c r="W360" s="6"/>
      <c r="X360" s="6"/>
      <c r="Y360" s="6"/>
      <c r="Z360" s="6"/>
      <c r="AA360" s="6"/>
    </row>
    <row r="361" spans="21:27" ht="15.75" customHeight="1" x14ac:dyDescent="0.2">
      <c r="U361" s="6"/>
      <c r="V361" s="6"/>
      <c r="W361" s="6"/>
      <c r="X361" s="6"/>
      <c r="Y361" s="6"/>
      <c r="Z361" s="6"/>
      <c r="AA361" s="6"/>
    </row>
    <row r="362" spans="21:27" ht="15.75" customHeight="1" x14ac:dyDescent="0.2">
      <c r="U362" s="6"/>
      <c r="V362" s="6"/>
      <c r="W362" s="6"/>
      <c r="X362" s="6"/>
      <c r="Y362" s="6"/>
      <c r="Z362" s="6"/>
      <c r="AA362" s="6"/>
    </row>
    <row r="363" spans="21:27" ht="15.75" customHeight="1" x14ac:dyDescent="0.2">
      <c r="U363" s="6"/>
      <c r="V363" s="6"/>
      <c r="W363" s="6"/>
      <c r="X363" s="6"/>
      <c r="Y363" s="6"/>
      <c r="Z363" s="6"/>
      <c r="AA363" s="6"/>
    </row>
    <row r="364" spans="21:27" ht="15.75" customHeight="1" x14ac:dyDescent="0.2">
      <c r="U364" s="6"/>
      <c r="V364" s="6"/>
      <c r="W364" s="6"/>
      <c r="X364" s="6"/>
      <c r="Y364" s="6"/>
      <c r="Z364" s="6"/>
      <c r="AA364" s="6"/>
    </row>
    <row r="365" spans="21:27" ht="15.75" customHeight="1" x14ac:dyDescent="0.2">
      <c r="U365" s="6"/>
      <c r="V365" s="6"/>
      <c r="W365" s="6"/>
      <c r="X365" s="6"/>
      <c r="Y365" s="6"/>
      <c r="Z365" s="6"/>
      <c r="AA365" s="6"/>
    </row>
    <row r="366" spans="21:27" ht="15.75" customHeight="1" x14ac:dyDescent="0.2">
      <c r="U366" s="6"/>
      <c r="V366" s="6"/>
      <c r="W366" s="6"/>
      <c r="X366" s="6"/>
      <c r="Y366" s="6"/>
      <c r="Z366" s="6"/>
      <c r="AA366" s="6"/>
    </row>
    <row r="367" spans="21:27" ht="15.75" customHeight="1" x14ac:dyDescent="0.2">
      <c r="U367" s="6"/>
      <c r="V367" s="6"/>
      <c r="W367" s="6"/>
      <c r="X367" s="6"/>
      <c r="Y367" s="6"/>
      <c r="Z367" s="6"/>
      <c r="AA367" s="6"/>
    </row>
    <row r="368" spans="21:27" ht="15.75" customHeight="1" x14ac:dyDescent="0.2">
      <c r="U368" s="6"/>
      <c r="V368" s="6"/>
      <c r="W368" s="6"/>
      <c r="X368" s="6"/>
      <c r="Y368" s="6"/>
      <c r="Z368" s="6"/>
      <c r="AA368" s="6"/>
    </row>
    <row r="369" spans="21:27" ht="15.75" customHeight="1" x14ac:dyDescent="0.2">
      <c r="U369" s="6"/>
      <c r="V369" s="6"/>
      <c r="W369" s="6"/>
      <c r="X369" s="6"/>
      <c r="Y369" s="6"/>
      <c r="Z369" s="6"/>
      <c r="AA369" s="6"/>
    </row>
    <row r="370" spans="21:27" ht="15.75" customHeight="1" x14ac:dyDescent="0.2">
      <c r="U370" s="6"/>
      <c r="V370" s="6"/>
      <c r="W370" s="6"/>
      <c r="X370" s="6"/>
      <c r="Y370" s="6"/>
      <c r="Z370" s="6"/>
      <c r="AA370" s="6"/>
    </row>
    <row r="371" spans="21:27" ht="15.75" customHeight="1" x14ac:dyDescent="0.2">
      <c r="U371" s="6"/>
      <c r="V371" s="6"/>
      <c r="W371" s="6"/>
      <c r="X371" s="6"/>
      <c r="Y371" s="6"/>
      <c r="Z371" s="6"/>
      <c r="AA371" s="6"/>
    </row>
    <row r="372" spans="21:27" ht="15.75" customHeight="1" x14ac:dyDescent="0.2">
      <c r="U372" s="6"/>
      <c r="V372" s="6"/>
      <c r="W372" s="6"/>
      <c r="X372" s="6"/>
      <c r="Y372" s="6"/>
      <c r="Z372" s="6"/>
      <c r="AA372" s="6"/>
    </row>
    <row r="373" spans="21:27" ht="15.75" customHeight="1" x14ac:dyDescent="0.2">
      <c r="U373" s="6"/>
      <c r="V373" s="6"/>
      <c r="W373" s="6"/>
      <c r="X373" s="6"/>
      <c r="Y373" s="6"/>
      <c r="Z373" s="6"/>
      <c r="AA373" s="6"/>
    </row>
    <row r="374" spans="21:27" ht="15.75" customHeight="1" x14ac:dyDescent="0.2">
      <c r="U374" s="6"/>
      <c r="V374" s="6"/>
      <c r="W374" s="6"/>
      <c r="X374" s="6"/>
      <c r="Y374" s="6"/>
      <c r="Z374" s="6"/>
      <c r="AA374" s="6"/>
    </row>
    <row r="375" spans="21:27" ht="15.75" customHeight="1" x14ac:dyDescent="0.2">
      <c r="U375" s="6"/>
      <c r="V375" s="6"/>
      <c r="W375" s="6"/>
      <c r="X375" s="6"/>
      <c r="Y375" s="6"/>
      <c r="Z375" s="6"/>
      <c r="AA375" s="6"/>
    </row>
    <row r="376" spans="21:27" ht="15.75" customHeight="1" x14ac:dyDescent="0.2">
      <c r="U376" s="6"/>
      <c r="V376" s="6"/>
      <c r="W376" s="6"/>
      <c r="X376" s="6"/>
      <c r="Y376" s="6"/>
      <c r="Z376" s="6"/>
      <c r="AA376" s="6"/>
    </row>
    <row r="377" spans="21:27" ht="15.75" customHeight="1" x14ac:dyDescent="0.2">
      <c r="U377" s="6"/>
      <c r="V377" s="6"/>
      <c r="W377" s="6"/>
      <c r="X377" s="6"/>
      <c r="Y377" s="6"/>
      <c r="Z377" s="6"/>
      <c r="AA377" s="6"/>
    </row>
    <row r="378" spans="21:27" ht="15.75" customHeight="1" x14ac:dyDescent="0.2">
      <c r="U378" s="6"/>
      <c r="V378" s="6"/>
      <c r="W378" s="6"/>
      <c r="X378" s="6"/>
      <c r="Y378" s="6"/>
      <c r="Z378" s="6"/>
      <c r="AA378" s="6"/>
    </row>
    <row r="379" spans="21:27" ht="15.75" customHeight="1" x14ac:dyDescent="0.2">
      <c r="U379" s="6"/>
      <c r="V379" s="6"/>
      <c r="W379" s="6"/>
      <c r="X379" s="6"/>
      <c r="Y379" s="6"/>
      <c r="Z379" s="6"/>
      <c r="AA379" s="6"/>
    </row>
    <row r="380" spans="21:27" ht="15.75" customHeight="1" x14ac:dyDescent="0.2">
      <c r="U380" s="6"/>
      <c r="V380" s="6"/>
      <c r="W380" s="6"/>
      <c r="X380" s="6"/>
      <c r="Y380" s="6"/>
      <c r="Z380" s="6"/>
      <c r="AA380" s="6"/>
    </row>
    <row r="381" spans="21:27" ht="15.75" customHeight="1" x14ac:dyDescent="0.2">
      <c r="U381" s="6"/>
      <c r="V381" s="6"/>
      <c r="W381" s="6"/>
      <c r="X381" s="6"/>
      <c r="Y381" s="6"/>
      <c r="Z381" s="6"/>
      <c r="AA381" s="6"/>
    </row>
    <row r="382" spans="21:27" ht="15.75" customHeight="1" x14ac:dyDescent="0.2">
      <c r="U382" s="6"/>
      <c r="V382" s="6"/>
      <c r="W382" s="6"/>
      <c r="X382" s="6"/>
      <c r="Y382" s="6"/>
      <c r="Z382" s="6"/>
      <c r="AA382" s="6"/>
    </row>
    <row r="383" spans="21:27" ht="15.75" customHeight="1" x14ac:dyDescent="0.2">
      <c r="U383" s="6"/>
      <c r="V383" s="6"/>
      <c r="W383" s="6"/>
      <c r="X383" s="6"/>
      <c r="Y383" s="6"/>
      <c r="Z383" s="6"/>
      <c r="AA383" s="6"/>
    </row>
    <row r="384" spans="21:27" ht="15.75" customHeight="1" x14ac:dyDescent="0.2">
      <c r="U384" s="6"/>
      <c r="V384" s="6"/>
      <c r="W384" s="6"/>
      <c r="X384" s="6"/>
      <c r="Y384" s="6"/>
      <c r="Z384" s="6"/>
      <c r="AA384" s="6"/>
    </row>
    <row r="385" spans="21:27" ht="15.75" customHeight="1" x14ac:dyDescent="0.2">
      <c r="U385" s="6"/>
      <c r="V385" s="6"/>
      <c r="W385" s="6"/>
      <c r="X385" s="6"/>
      <c r="Y385" s="6"/>
      <c r="Z385" s="6"/>
      <c r="AA385" s="6"/>
    </row>
    <row r="386" spans="21:27" ht="15.75" customHeight="1" x14ac:dyDescent="0.2">
      <c r="U386" s="6"/>
      <c r="V386" s="6"/>
      <c r="W386" s="6"/>
      <c r="X386" s="6"/>
      <c r="Y386" s="6"/>
      <c r="Z386" s="6"/>
      <c r="AA386" s="6"/>
    </row>
    <row r="387" spans="21:27" ht="15.75" customHeight="1" x14ac:dyDescent="0.2">
      <c r="U387" s="6"/>
      <c r="V387" s="6"/>
      <c r="W387" s="6"/>
      <c r="X387" s="6"/>
      <c r="Y387" s="6"/>
      <c r="Z387" s="6"/>
      <c r="AA387" s="6"/>
    </row>
    <row r="388" spans="21:27" ht="15.75" customHeight="1" x14ac:dyDescent="0.2">
      <c r="U388" s="6"/>
      <c r="V388" s="6"/>
      <c r="W388" s="6"/>
      <c r="X388" s="6"/>
      <c r="Y388" s="6"/>
      <c r="Z388" s="6"/>
      <c r="AA388" s="6"/>
    </row>
    <row r="389" spans="21:27" ht="15.75" customHeight="1" x14ac:dyDescent="0.2">
      <c r="U389" s="6"/>
      <c r="V389" s="6"/>
      <c r="W389" s="6"/>
      <c r="X389" s="6"/>
      <c r="Y389" s="6"/>
      <c r="Z389" s="6"/>
      <c r="AA389" s="6"/>
    </row>
    <row r="390" spans="21:27" ht="15.75" customHeight="1" x14ac:dyDescent="0.2">
      <c r="U390" s="6"/>
      <c r="V390" s="6"/>
      <c r="W390" s="6"/>
      <c r="X390" s="6"/>
      <c r="Y390" s="6"/>
      <c r="Z390" s="6"/>
      <c r="AA390" s="6"/>
    </row>
    <row r="391" spans="21:27" ht="15.75" customHeight="1" x14ac:dyDescent="0.2">
      <c r="U391" s="6"/>
      <c r="V391" s="6"/>
      <c r="W391" s="6"/>
      <c r="X391" s="6"/>
      <c r="Y391" s="6"/>
      <c r="Z391" s="6"/>
      <c r="AA391" s="6"/>
    </row>
    <row r="392" spans="21:27" ht="15.75" customHeight="1" x14ac:dyDescent="0.2">
      <c r="U392" s="6"/>
      <c r="V392" s="6"/>
      <c r="W392" s="6"/>
      <c r="X392" s="6"/>
      <c r="Y392" s="6"/>
      <c r="Z392" s="6"/>
      <c r="AA392" s="6"/>
    </row>
    <row r="393" spans="21:27" ht="15.75" customHeight="1" x14ac:dyDescent="0.2">
      <c r="U393" s="6"/>
      <c r="V393" s="6"/>
      <c r="W393" s="6"/>
      <c r="X393" s="6"/>
      <c r="Y393" s="6"/>
      <c r="Z393" s="6"/>
      <c r="AA393" s="6"/>
    </row>
    <row r="394" spans="21:27" ht="15.75" customHeight="1" x14ac:dyDescent="0.2">
      <c r="U394" s="6"/>
      <c r="V394" s="6"/>
      <c r="W394" s="6"/>
      <c r="X394" s="6"/>
      <c r="Y394" s="6"/>
      <c r="Z394" s="6"/>
      <c r="AA394" s="6"/>
    </row>
    <row r="395" spans="21:27" ht="15.75" customHeight="1" x14ac:dyDescent="0.2">
      <c r="U395" s="6"/>
      <c r="V395" s="6"/>
      <c r="W395" s="6"/>
      <c r="X395" s="6"/>
      <c r="Y395" s="6"/>
      <c r="Z395" s="6"/>
      <c r="AA395" s="6"/>
    </row>
    <row r="396" spans="21:27" ht="15.75" customHeight="1" x14ac:dyDescent="0.2">
      <c r="U396" s="6"/>
      <c r="V396" s="6"/>
      <c r="W396" s="6"/>
      <c r="X396" s="6"/>
      <c r="Y396" s="6"/>
      <c r="Z396" s="6"/>
      <c r="AA396" s="6"/>
    </row>
    <row r="397" spans="21:27" ht="15.75" customHeight="1" x14ac:dyDescent="0.2">
      <c r="U397" s="6"/>
      <c r="V397" s="6"/>
      <c r="W397" s="6"/>
      <c r="X397" s="6"/>
      <c r="Y397" s="6"/>
      <c r="Z397" s="6"/>
      <c r="AA397" s="6"/>
    </row>
    <row r="398" spans="21:27" ht="15.75" customHeight="1" x14ac:dyDescent="0.2">
      <c r="U398" s="6"/>
      <c r="V398" s="6"/>
      <c r="W398" s="6"/>
      <c r="X398" s="6"/>
      <c r="Y398" s="6"/>
      <c r="Z398" s="6"/>
      <c r="AA398" s="6"/>
    </row>
    <row r="399" spans="21:27" ht="15.75" customHeight="1" x14ac:dyDescent="0.2">
      <c r="U399" s="6"/>
      <c r="V399" s="6"/>
      <c r="W399" s="6"/>
      <c r="X399" s="6"/>
      <c r="Y399" s="6"/>
      <c r="Z399" s="6"/>
      <c r="AA399" s="6"/>
    </row>
    <row r="400" spans="21:27" ht="15.75" customHeight="1" x14ac:dyDescent="0.2">
      <c r="U400" s="6"/>
      <c r="V400" s="6"/>
      <c r="W400" s="6"/>
      <c r="X400" s="6"/>
      <c r="Y400" s="6"/>
      <c r="Z400" s="6"/>
      <c r="AA400" s="6"/>
    </row>
    <row r="401" spans="21:27" ht="15.75" customHeight="1" x14ac:dyDescent="0.2">
      <c r="U401" s="6"/>
      <c r="V401" s="6"/>
      <c r="W401" s="6"/>
      <c r="X401" s="6"/>
      <c r="Y401" s="6"/>
      <c r="Z401" s="6"/>
      <c r="AA401" s="6"/>
    </row>
    <row r="402" spans="21:27" ht="15.75" customHeight="1" x14ac:dyDescent="0.2">
      <c r="U402" s="6"/>
      <c r="V402" s="6"/>
      <c r="W402" s="6"/>
      <c r="X402" s="6"/>
      <c r="Y402" s="6"/>
      <c r="Z402" s="6"/>
      <c r="AA402" s="6"/>
    </row>
    <row r="403" spans="21:27" ht="15.75" customHeight="1" x14ac:dyDescent="0.2">
      <c r="U403" s="6"/>
      <c r="V403" s="6"/>
      <c r="W403" s="6"/>
      <c r="X403" s="6"/>
      <c r="Y403" s="6"/>
      <c r="Z403" s="6"/>
      <c r="AA403" s="6"/>
    </row>
    <row r="404" spans="21:27" ht="15.75" customHeight="1" x14ac:dyDescent="0.2">
      <c r="U404" s="6"/>
      <c r="V404" s="6"/>
      <c r="W404" s="6"/>
      <c r="X404" s="6"/>
      <c r="Y404" s="6"/>
      <c r="Z404" s="6"/>
      <c r="AA404" s="6"/>
    </row>
    <row r="405" spans="21:27" ht="15.75" customHeight="1" x14ac:dyDescent="0.2">
      <c r="U405" s="6"/>
      <c r="V405" s="6"/>
      <c r="W405" s="6"/>
      <c r="X405" s="6"/>
      <c r="Y405" s="6"/>
      <c r="Z405" s="6"/>
      <c r="AA405" s="6"/>
    </row>
    <row r="406" spans="21:27" ht="15.75" customHeight="1" x14ac:dyDescent="0.2">
      <c r="U406" s="6"/>
      <c r="V406" s="6"/>
      <c r="W406" s="6"/>
      <c r="X406" s="6"/>
      <c r="Y406" s="6"/>
      <c r="Z406" s="6"/>
      <c r="AA406" s="6"/>
    </row>
    <row r="407" spans="21:27" ht="15.75" customHeight="1" x14ac:dyDescent="0.2">
      <c r="U407" s="6"/>
      <c r="V407" s="6"/>
      <c r="W407" s="6"/>
      <c r="X407" s="6"/>
      <c r="Y407" s="6"/>
      <c r="Z407" s="6"/>
      <c r="AA407" s="6"/>
    </row>
    <row r="408" spans="21:27" ht="15.75" customHeight="1" x14ac:dyDescent="0.2">
      <c r="U408" s="6"/>
      <c r="V408" s="6"/>
      <c r="W408" s="6"/>
      <c r="X408" s="6"/>
      <c r="Y408" s="6"/>
      <c r="Z408" s="6"/>
      <c r="AA408" s="6"/>
    </row>
    <row r="409" spans="21:27" ht="15.75" customHeight="1" x14ac:dyDescent="0.2">
      <c r="U409" s="6"/>
      <c r="V409" s="6"/>
      <c r="W409" s="6"/>
      <c r="X409" s="6"/>
      <c r="Y409" s="6"/>
      <c r="Z409" s="6"/>
      <c r="AA409" s="6"/>
    </row>
    <row r="410" spans="21:27" ht="15.75" customHeight="1" x14ac:dyDescent="0.2">
      <c r="U410" s="6"/>
      <c r="V410" s="6"/>
      <c r="W410" s="6"/>
      <c r="X410" s="6"/>
      <c r="Y410" s="6"/>
      <c r="Z410" s="6"/>
      <c r="AA410" s="6"/>
    </row>
    <row r="411" spans="21:27" ht="15.75" customHeight="1" x14ac:dyDescent="0.2">
      <c r="U411" s="6"/>
      <c r="V411" s="6"/>
      <c r="W411" s="6"/>
      <c r="X411" s="6"/>
      <c r="Y411" s="6"/>
      <c r="Z411" s="6"/>
      <c r="AA411" s="6"/>
    </row>
    <row r="412" spans="21:27" ht="15.75" customHeight="1" x14ac:dyDescent="0.2">
      <c r="U412" s="6"/>
      <c r="V412" s="6"/>
      <c r="W412" s="6"/>
      <c r="X412" s="6"/>
      <c r="Y412" s="6"/>
      <c r="Z412" s="6"/>
      <c r="AA412" s="6"/>
    </row>
    <row r="413" spans="21:27" ht="15.75" customHeight="1" x14ac:dyDescent="0.2">
      <c r="U413" s="6"/>
      <c r="V413" s="6"/>
      <c r="W413" s="6"/>
      <c r="X413" s="6"/>
      <c r="Y413" s="6"/>
      <c r="Z413" s="6"/>
      <c r="AA413" s="6"/>
    </row>
    <row r="414" spans="21:27" ht="15.75" customHeight="1" x14ac:dyDescent="0.2">
      <c r="U414" s="6"/>
      <c r="V414" s="6"/>
      <c r="W414" s="6"/>
      <c r="X414" s="6"/>
      <c r="Y414" s="6"/>
      <c r="Z414" s="6"/>
      <c r="AA414" s="6"/>
    </row>
    <row r="415" spans="21:27" ht="15.75" customHeight="1" x14ac:dyDescent="0.2">
      <c r="U415" s="6"/>
      <c r="V415" s="6"/>
      <c r="W415" s="6"/>
      <c r="X415" s="6"/>
      <c r="Y415" s="6"/>
      <c r="Z415" s="6"/>
      <c r="AA415" s="6"/>
    </row>
    <row r="416" spans="21:27" ht="15.75" customHeight="1" x14ac:dyDescent="0.2">
      <c r="U416" s="6"/>
      <c r="V416" s="6"/>
      <c r="W416" s="6"/>
      <c r="X416" s="6"/>
      <c r="Y416" s="6"/>
      <c r="Z416" s="6"/>
      <c r="AA416" s="6"/>
    </row>
    <row r="417" spans="21:27" ht="15.75" customHeight="1" x14ac:dyDescent="0.2">
      <c r="U417" s="6"/>
      <c r="V417" s="6"/>
      <c r="W417" s="6"/>
      <c r="X417" s="6"/>
      <c r="Y417" s="6"/>
      <c r="Z417" s="6"/>
      <c r="AA417" s="6"/>
    </row>
    <row r="418" spans="21:27" ht="15.75" customHeight="1" x14ac:dyDescent="0.2">
      <c r="U418" s="6"/>
      <c r="V418" s="6"/>
      <c r="W418" s="6"/>
      <c r="X418" s="6"/>
      <c r="Y418" s="6"/>
      <c r="Z418" s="6"/>
      <c r="AA418" s="6"/>
    </row>
    <row r="419" spans="21:27" ht="15.75" customHeight="1" x14ac:dyDescent="0.2">
      <c r="U419" s="6"/>
      <c r="V419" s="6"/>
      <c r="W419" s="6"/>
      <c r="X419" s="6"/>
      <c r="Y419" s="6"/>
      <c r="Z419" s="6"/>
      <c r="AA419" s="6"/>
    </row>
    <row r="420" spans="21:27" ht="15.75" customHeight="1" x14ac:dyDescent="0.2">
      <c r="U420" s="6"/>
      <c r="V420" s="6"/>
      <c r="W420" s="6"/>
      <c r="X420" s="6"/>
      <c r="Y420" s="6"/>
      <c r="Z420" s="6"/>
      <c r="AA420" s="6"/>
    </row>
    <row r="421" spans="21:27" ht="15.75" customHeight="1" x14ac:dyDescent="0.2">
      <c r="U421" s="6"/>
      <c r="V421" s="6"/>
      <c r="W421" s="6"/>
      <c r="X421" s="6"/>
      <c r="Y421" s="6"/>
      <c r="Z421" s="6"/>
      <c r="AA421" s="6"/>
    </row>
    <row r="422" spans="21:27" ht="15.75" customHeight="1" x14ac:dyDescent="0.2">
      <c r="U422" s="6"/>
      <c r="V422" s="6"/>
      <c r="W422" s="6"/>
      <c r="X422" s="6"/>
      <c r="Y422" s="6"/>
      <c r="Z422" s="6"/>
      <c r="AA422" s="6"/>
    </row>
    <row r="423" spans="21:27" ht="15.75" customHeight="1" x14ac:dyDescent="0.2">
      <c r="U423" s="6"/>
      <c r="V423" s="6"/>
      <c r="W423" s="6"/>
      <c r="X423" s="6"/>
      <c r="Y423" s="6"/>
      <c r="Z423" s="6"/>
      <c r="AA423" s="6"/>
    </row>
    <row r="424" spans="21:27" ht="15.75" customHeight="1" x14ac:dyDescent="0.2">
      <c r="U424" s="6"/>
      <c r="V424" s="6"/>
      <c r="W424" s="6"/>
      <c r="X424" s="6"/>
      <c r="Y424" s="6"/>
      <c r="Z424" s="6"/>
      <c r="AA424" s="6"/>
    </row>
    <row r="425" spans="21:27" ht="15.75" customHeight="1" x14ac:dyDescent="0.2">
      <c r="U425" s="6"/>
      <c r="V425" s="6"/>
      <c r="W425" s="6"/>
      <c r="X425" s="6"/>
      <c r="Y425" s="6"/>
      <c r="Z425" s="6"/>
      <c r="AA425" s="6"/>
    </row>
    <row r="426" spans="21:27" ht="15.75" customHeight="1" x14ac:dyDescent="0.2">
      <c r="U426" s="6"/>
      <c r="V426" s="6"/>
      <c r="W426" s="6"/>
      <c r="X426" s="6"/>
      <c r="Y426" s="6"/>
      <c r="Z426" s="6"/>
      <c r="AA426" s="6"/>
    </row>
    <row r="427" spans="21:27" ht="15.75" customHeight="1" x14ac:dyDescent="0.2">
      <c r="U427" s="6"/>
      <c r="V427" s="6"/>
      <c r="W427" s="6"/>
      <c r="X427" s="6"/>
      <c r="Y427" s="6"/>
      <c r="Z427" s="6"/>
      <c r="AA427" s="6"/>
    </row>
    <row r="428" spans="21:27" ht="15.75" customHeight="1" x14ac:dyDescent="0.2">
      <c r="U428" s="6"/>
      <c r="V428" s="6"/>
      <c r="W428" s="6"/>
      <c r="X428" s="6"/>
      <c r="Y428" s="6"/>
      <c r="Z428" s="6"/>
      <c r="AA428" s="6"/>
    </row>
    <row r="429" spans="21:27" ht="15.75" customHeight="1" x14ac:dyDescent="0.2">
      <c r="U429" s="6"/>
      <c r="V429" s="6"/>
      <c r="W429" s="6"/>
      <c r="X429" s="6"/>
      <c r="Y429" s="6"/>
      <c r="Z429" s="6"/>
      <c r="AA429" s="6"/>
    </row>
    <row r="430" spans="21:27" ht="15.75" customHeight="1" x14ac:dyDescent="0.2">
      <c r="U430" s="6"/>
      <c r="V430" s="6"/>
      <c r="W430" s="6"/>
      <c r="X430" s="6"/>
      <c r="Y430" s="6"/>
      <c r="Z430" s="6"/>
      <c r="AA430" s="6"/>
    </row>
    <row r="431" spans="21:27" ht="15.75" customHeight="1" x14ac:dyDescent="0.2">
      <c r="U431" s="6"/>
      <c r="V431" s="6"/>
      <c r="W431" s="6"/>
      <c r="X431" s="6"/>
      <c r="Y431" s="6"/>
      <c r="Z431" s="6"/>
      <c r="AA431" s="6"/>
    </row>
    <row r="432" spans="21:27" ht="15.75" customHeight="1" x14ac:dyDescent="0.2">
      <c r="U432" s="6"/>
      <c r="V432" s="6"/>
      <c r="W432" s="6"/>
      <c r="X432" s="6"/>
      <c r="Y432" s="6"/>
      <c r="Z432" s="6"/>
      <c r="AA432" s="6"/>
    </row>
    <row r="433" spans="21:27" ht="15.75" customHeight="1" x14ac:dyDescent="0.2">
      <c r="U433" s="6"/>
      <c r="V433" s="6"/>
      <c r="W433" s="6"/>
      <c r="X433" s="6"/>
      <c r="Y433" s="6"/>
      <c r="Z433" s="6"/>
      <c r="AA433" s="6"/>
    </row>
    <row r="434" spans="21:27" ht="15.75" customHeight="1" x14ac:dyDescent="0.2">
      <c r="U434" s="6"/>
      <c r="V434" s="6"/>
      <c r="W434" s="6"/>
      <c r="X434" s="6"/>
      <c r="Y434" s="6"/>
      <c r="Z434" s="6"/>
      <c r="AA434" s="6"/>
    </row>
    <row r="435" spans="21:27" ht="15.75" customHeight="1" x14ac:dyDescent="0.2">
      <c r="U435" s="6"/>
      <c r="V435" s="6"/>
      <c r="W435" s="6"/>
      <c r="X435" s="6"/>
      <c r="Y435" s="6"/>
      <c r="Z435" s="6"/>
      <c r="AA435" s="6"/>
    </row>
    <row r="436" spans="21:27" ht="15.75" customHeight="1" x14ac:dyDescent="0.2">
      <c r="U436" s="6"/>
      <c r="V436" s="6"/>
      <c r="W436" s="6"/>
      <c r="X436" s="6"/>
      <c r="Y436" s="6"/>
      <c r="Z436" s="6"/>
      <c r="AA436" s="6"/>
    </row>
    <row r="437" spans="21:27" ht="15.75" customHeight="1" x14ac:dyDescent="0.2">
      <c r="U437" s="6"/>
      <c r="V437" s="6"/>
      <c r="W437" s="6"/>
      <c r="X437" s="6"/>
      <c r="Y437" s="6"/>
      <c r="Z437" s="6"/>
      <c r="AA437" s="6"/>
    </row>
    <row r="438" spans="21:27" ht="15.75" customHeight="1" x14ac:dyDescent="0.2">
      <c r="U438" s="6"/>
      <c r="V438" s="6"/>
      <c r="W438" s="6"/>
      <c r="X438" s="6"/>
      <c r="Y438" s="6"/>
      <c r="Z438" s="6"/>
      <c r="AA438" s="6"/>
    </row>
    <row r="439" spans="21:27" ht="15.75" customHeight="1" x14ac:dyDescent="0.2">
      <c r="U439" s="6"/>
      <c r="V439" s="6"/>
      <c r="W439" s="6"/>
      <c r="X439" s="6"/>
      <c r="Y439" s="6"/>
      <c r="Z439" s="6"/>
      <c r="AA439" s="6"/>
    </row>
    <row r="440" spans="21:27" ht="15.75" customHeight="1" x14ac:dyDescent="0.2">
      <c r="U440" s="6"/>
      <c r="V440" s="6"/>
      <c r="W440" s="6"/>
      <c r="X440" s="6"/>
      <c r="Y440" s="6"/>
      <c r="Z440" s="6"/>
      <c r="AA440" s="6"/>
    </row>
    <row r="441" spans="21:27" ht="15.75" customHeight="1" x14ac:dyDescent="0.2">
      <c r="U441" s="6"/>
      <c r="V441" s="6"/>
      <c r="W441" s="6"/>
      <c r="X441" s="6"/>
      <c r="Y441" s="6"/>
      <c r="Z441" s="6"/>
      <c r="AA441" s="6"/>
    </row>
    <row r="442" spans="21:27" ht="15.75" customHeight="1" x14ac:dyDescent="0.2">
      <c r="U442" s="6"/>
      <c r="V442" s="6"/>
      <c r="W442" s="6"/>
      <c r="X442" s="6"/>
      <c r="Y442" s="6"/>
      <c r="Z442" s="6"/>
      <c r="AA442" s="6"/>
    </row>
    <row r="443" spans="21:27" ht="15.75" customHeight="1" x14ac:dyDescent="0.2">
      <c r="U443" s="6"/>
      <c r="V443" s="6"/>
      <c r="W443" s="6"/>
      <c r="X443" s="6"/>
      <c r="Y443" s="6"/>
      <c r="Z443" s="6"/>
      <c r="AA443" s="6"/>
    </row>
    <row r="444" spans="21:27" ht="15.75" customHeight="1" x14ac:dyDescent="0.2">
      <c r="U444" s="6"/>
      <c r="V444" s="6"/>
      <c r="W444" s="6"/>
      <c r="X444" s="6"/>
      <c r="Y444" s="6"/>
      <c r="Z444" s="6"/>
      <c r="AA444" s="6"/>
    </row>
    <row r="445" spans="21:27" ht="15.75" customHeight="1" x14ac:dyDescent="0.2">
      <c r="U445" s="6"/>
      <c r="V445" s="6"/>
      <c r="W445" s="6"/>
      <c r="X445" s="6"/>
      <c r="Y445" s="6"/>
      <c r="Z445" s="6"/>
      <c r="AA445" s="6"/>
    </row>
    <row r="446" spans="21:27" ht="15.75" customHeight="1" x14ac:dyDescent="0.2">
      <c r="U446" s="6"/>
      <c r="V446" s="6"/>
      <c r="W446" s="6"/>
      <c r="X446" s="6"/>
      <c r="Y446" s="6"/>
      <c r="Z446" s="6"/>
      <c r="AA446" s="6"/>
    </row>
    <row r="447" spans="21:27" ht="15.75" customHeight="1" x14ac:dyDescent="0.2">
      <c r="U447" s="6"/>
      <c r="V447" s="6"/>
      <c r="W447" s="6"/>
      <c r="X447" s="6"/>
      <c r="Y447" s="6"/>
      <c r="Z447" s="6"/>
      <c r="AA447" s="6"/>
    </row>
    <row r="448" spans="21:27" ht="15.75" customHeight="1" x14ac:dyDescent="0.2">
      <c r="U448" s="6"/>
      <c r="V448" s="6"/>
      <c r="W448" s="6"/>
      <c r="X448" s="6"/>
      <c r="Y448" s="6"/>
      <c r="Z448" s="6"/>
      <c r="AA448" s="6"/>
    </row>
    <row r="449" spans="21:27" ht="15.75" customHeight="1" x14ac:dyDescent="0.2">
      <c r="U449" s="6"/>
      <c r="V449" s="6"/>
      <c r="W449" s="6"/>
      <c r="X449" s="6"/>
      <c r="Y449" s="6"/>
      <c r="Z449" s="6"/>
      <c r="AA449" s="6"/>
    </row>
    <row r="450" spans="21:27" ht="15.75" customHeight="1" x14ac:dyDescent="0.2">
      <c r="U450" s="6"/>
      <c r="V450" s="6"/>
      <c r="W450" s="6"/>
      <c r="X450" s="6"/>
      <c r="Y450" s="6"/>
      <c r="Z450" s="6"/>
      <c r="AA450" s="6"/>
    </row>
    <row r="451" spans="21:27" ht="15.75" customHeight="1" x14ac:dyDescent="0.2">
      <c r="U451" s="6"/>
      <c r="V451" s="6"/>
      <c r="W451" s="6"/>
      <c r="X451" s="6"/>
      <c r="Y451" s="6"/>
      <c r="Z451" s="6"/>
      <c r="AA451" s="6"/>
    </row>
    <row r="452" spans="21:27" ht="15.75" customHeight="1" x14ac:dyDescent="0.2">
      <c r="U452" s="6"/>
      <c r="V452" s="6"/>
      <c r="W452" s="6"/>
      <c r="X452" s="6"/>
      <c r="Y452" s="6"/>
      <c r="Z452" s="6"/>
      <c r="AA452" s="6"/>
    </row>
    <row r="453" spans="21:27" ht="15.75" customHeight="1" x14ac:dyDescent="0.2">
      <c r="U453" s="6"/>
      <c r="V453" s="6"/>
      <c r="W453" s="6"/>
      <c r="X453" s="6"/>
      <c r="Y453" s="6"/>
      <c r="Z453" s="6"/>
      <c r="AA453" s="6"/>
    </row>
    <row r="454" spans="21:27" ht="15.75" customHeight="1" x14ac:dyDescent="0.2">
      <c r="U454" s="6"/>
      <c r="V454" s="6"/>
      <c r="W454" s="6"/>
      <c r="X454" s="6"/>
      <c r="Y454" s="6"/>
      <c r="Z454" s="6"/>
      <c r="AA454" s="6"/>
    </row>
    <row r="455" spans="21:27" ht="15.75" customHeight="1" x14ac:dyDescent="0.2">
      <c r="U455" s="6"/>
      <c r="V455" s="6"/>
      <c r="W455" s="6"/>
      <c r="X455" s="6"/>
      <c r="Y455" s="6"/>
      <c r="Z455" s="6"/>
      <c r="AA455" s="6"/>
    </row>
    <row r="456" spans="21:27" ht="15.75" customHeight="1" x14ac:dyDescent="0.2">
      <c r="U456" s="6"/>
      <c r="V456" s="6"/>
      <c r="W456" s="6"/>
      <c r="X456" s="6"/>
      <c r="Y456" s="6"/>
      <c r="Z456" s="6"/>
      <c r="AA456" s="6"/>
    </row>
    <row r="457" spans="21:27" ht="15.75" customHeight="1" x14ac:dyDescent="0.2">
      <c r="U457" s="6"/>
      <c r="V457" s="6"/>
      <c r="W457" s="6"/>
      <c r="X457" s="6"/>
      <c r="Y457" s="6"/>
      <c r="Z457" s="6"/>
      <c r="AA457" s="6"/>
    </row>
    <row r="458" spans="21:27" ht="15.75" customHeight="1" x14ac:dyDescent="0.2">
      <c r="U458" s="6"/>
      <c r="V458" s="6"/>
      <c r="W458" s="6"/>
      <c r="X458" s="6"/>
      <c r="Y458" s="6"/>
      <c r="Z458" s="6"/>
      <c r="AA458" s="6"/>
    </row>
    <row r="459" spans="21:27" ht="15.75" customHeight="1" x14ac:dyDescent="0.2">
      <c r="U459" s="6"/>
      <c r="V459" s="6"/>
      <c r="W459" s="6"/>
      <c r="X459" s="6"/>
      <c r="Y459" s="6"/>
      <c r="Z459" s="6"/>
      <c r="AA459" s="6"/>
    </row>
    <row r="460" spans="21:27" ht="15.75" customHeight="1" x14ac:dyDescent="0.2">
      <c r="U460" s="6"/>
      <c r="V460" s="6"/>
      <c r="W460" s="6"/>
      <c r="X460" s="6"/>
      <c r="Y460" s="6"/>
      <c r="Z460" s="6"/>
      <c r="AA460" s="6"/>
    </row>
    <row r="461" spans="21:27" ht="15.75" customHeight="1" x14ac:dyDescent="0.2">
      <c r="U461" s="6"/>
      <c r="V461" s="6"/>
      <c r="W461" s="6"/>
      <c r="X461" s="6"/>
      <c r="Y461" s="6"/>
      <c r="Z461" s="6"/>
      <c r="AA461" s="6"/>
    </row>
    <row r="462" spans="21:27" ht="15.75" customHeight="1" x14ac:dyDescent="0.2">
      <c r="U462" s="6"/>
      <c r="V462" s="6"/>
      <c r="W462" s="6"/>
      <c r="X462" s="6"/>
      <c r="Y462" s="6"/>
      <c r="Z462" s="6"/>
      <c r="AA462" s="6"/>
    </row>
    <row r="463" spans="21:27" ht="15.75" customHeight="1" x14ac:dyDescent="0.2">
      <c r="U463" s="6"/>
      <c r="V463" s="6"/>
      <c r="W463" s="6"/>
      <c r="X463" s="6"/>
      <c r="Y463" s="6"/>
      <c r="Z463" s="6"/>
      <c r="AA463" s="6"/>
    </row>
    <row r="464" spans="21:27" ht="15.75" customHeight="1" x14ac:dyDescent="0.2">
      <c r="U464" s="6"/>
      <c r="V464" s="6"/>
      <c r="W464" s="6"/>
      <c r="X464" s="6"/>
      <c r="Y464" s="6"/>
      <c r="Z464" s="6"/>
      <c r="AA464" s="6"/>
    </row>
    <row r="465" spans="21:27" ht="15.75" customHeight="1" x14ac:dyDescent="0.2">
      <c r="U465" s="6"/>
      <c r="V465" s="6"/>
      <c r="W465" s="6"/>
      <c r="X465" s="6"/>
      <c r="Y465" s="6"/>
      <c r="Z465" s="6"/>
      <c r="AA465" s="6"/>
    </row>
    <row r="466" spans="21:27" ht="15.75" customHeight="1" x14ac:dyDescent="0.2">
      <c r="U466" s="6"/>
      <c r="V466" s="6"/>
      <c r="W466" s="6"/>
      <c r="X466" s="6"/>
      <c r="Y466" s="6"/>
      <c r="Z466" s="6"/>
      <c r="AA466" s="6"/>
    </row>
    <row r="467" spans="21:27" ht="15.75" customHeight="1" x14ac:dyDescent="0.2">
      <c r="U467" s="6"/>
      <c r="V467" s="6"/>
      <c r="W467" s="6"/>
      <c r="X467" s="6"/>
      <c r="Y467" s="6"/>
      <c r="Z467" s="6"/>
      <c r="AA467" s="6"/>
    </row>
    <row r="468" spans="21:27" ht="15.75" customHeight="1" x14ac:dyDescent="0.2">
      <c r="U468" s="6"/>
      <c r="V468" s="6"/>
      <c r="W468" s="6"/>
      <c r="X468" s="6"/>
      <c r="Y468" s="6"/>
      <c r="Z468" s="6"/>
      <c r="AA468" s="6"/>
    </row>
    <row r="469" spans="21:27" ht="15.75" customHeight="1" x14ac:dyDescent="0.2">
      <c r="U469" s="6"/>
      <c r="V469" s="6"/>
      <c r="W469" s="6"/>
      <c r="X469" s="6"/>
      <c r="Y469" s="6"/>
      <c r="Z469" s="6"/>
      <c r="AA469" s="6"/>
    </row>
    <row r="470" spans="21:27" ht="15.75" customHeight="1" x14ac:dyDescent="0.2">
      <c r="U470" s="6"/>
      <c r="V470" s="6"/>
      <c r="W470" s="6"/>
      <c r="X470" s="6"/>
      <c r="Y470" s="6"/>
      <c r="Z470" s="6"/>
      <c r="AA470" s="6"/>
    </row>
    <row r="471" spans="21:27" ht="15.75" customHeight="1" x14ac:dyDescent="0.2">
      <c r="U471" s="6"/>
      <c r="V471" s="6"/>
      <c r="W471" s="6"/>
      <c r="X471" s="6"/>
      <c r="Y471" s="6"/>
      <c r="Z471" s="6"/>
      <c r="AA471" s="6"/>
    </row>
    <row r="472" spans="21:27" ht="15.75" customHeight="1" x14ac:dyDescent="0.2">
      <c r="U472" s="6"/>
      <c r="V472" s="6"/>
      <c r="W472" s="6"/>
      <c r="X472" s="6"/>
      <c r="Y472" s="6"/>
      <c r="Z472" s="6"/>
      <c r="AA472" s="6"/>
    </row>
    <row r="473" spans="21:27" ht="15.75" customHeight="1" x14ac:dyDescent="0.2">
      <c r="U473" s="6"/>
      <c r="V473" s="6"/>
      <c r="W473" s="6"/>
      <c r="X473" s="6"/>
      <c r="Y473" s="6"/>
      <c r="Z473" s="6"/>
      <c r="AA473" s="6"/>
    </row>
    <row r="474" spans="21:27" ht="15.75" customHeight="1" x14ac:dyDescent="0.2">
      <c r="U474" s="6"/>
      <c r="V474" s="6"/>
      <c r="W474" s="6"/>
      <c r="X474" s="6"/>
      <c r="Y474" s="6"/>
      <c r="Z474" s="6"/>
      <c r="AA474" s="6"/>
    </row>
    <row r="475" spans="21:27" ht="15.75" customHeight="1" x14ac:dyDescent="0.2">
      <c r="U475" s="6"/>
      <c r="V475" s="6"/>
      <c r="W475" s="6"/>
      <c r="X475" s="6"/>
      <c r="Y475" s="6"/>
      <c r="Z475" s="6"/>
      <c r="AA475" s="6"/>
    </row>
    <row r="476" spans="21:27" ht="15.75" customHeight="1" x14ac:dyDescent="0.2">
      <c r="U476" s="6"/>
      <c r="V476" s="6"/>
      <c r="W476" s="6"/>
      <c r="X476" s="6"/>
      <c r="Y476" s="6"/>
      <c r="Z476" s="6"/>
      <c r="AA476" s="6"/>
    </row>
    <row r="477" spans="21:27" ht="15.75" customHeight="1" x14ac:dyDescent="0.2">
      <c r="U477" s="6"/>
      <c r="V477" s="6"/>
      <c r="W477" s="6"/>
      <c r="X477" s="6"/>
      <c r="Y477" s="6"/>
      <c r="Z477" s="6"/>
      <c r="AA477" s="6"/>
    </row>
    <row r="478" spans="21:27" ht="15.75" customHeight="1" x14ac:dyDescent="0.2">
      <c r="U478" s="6"/>
      <c r="V478" s="6"/>
      <c r="W478" s="6"/>
      <c r="X478" s="6"/>
      <c r="Y478" s="6"/>
      <c r="Z478" s="6"/>
      <c r="AA478" s="6"/>
    </row>
    <row r="479" spans="21:27" ht="15.75" customHeight="1" x14ac:dyDescent="0.2">
      <c r="U479" s="6"/>
      <c r="V479" s="6"/>
      <c r="W479" s="6"/>
      <c r="X479" s="6"/>
      <c r="Y479" s="6"/>
      <c r="Z479" s="6"/>
      <c r="AA479" s="6"/>
    </row>
    <row r="480" spans="21:27" ht="15.75" customHeight="1" x14ac:dyDescent="0.2">
      <c r="U480" s="6"/>
      <c r="V480" s="6"/>
      <c r="W480" s="6"/>
      <c r="X480" s="6"/>
      <c r="Y480" s="6"/>
      <c r="Z480" s="6"/>
      <c r="AA480" s="6"/>
    </row>
    <row r="481" spans="21:27" ht="15.75" customHeight="1" x14ac:dyDescent="0.2">
      <c r="U481" s="6"/>
      <c r="V481" s="6"/>
      <c r="W481" s="6"/>
      <c r="X481" s="6"/>
      <c r="Y481" s="6"/>
      <c r="Z481" s="6"/>
      <c r="AA481" s="6"/>
    </row>
    <row r="482" spans="21:27" ht="15.75" customHeight="1" x14ac:dyDescent="0.2">
      <c r="U482" s="6"/>
      <c r="V482" s="6"/>
      <c r="W482" s="6"/>
      <c r="X482" s="6"/>
      <c r="Y482" s="6"/>
      <c r="Z482" s="6"/>
      <c r="AA482" s="6"/>
    </row>
    <row r="483" spans="21:27" ht="15.75" customHeight="1" x14ac:dyDescent="0.2">
      <c r="U483" s="6"/>
      <c r="V483" s="6"/>
      <c r="W483" s="6"/>
      <c r="X483" s="6"/>
      <c r="Y483" s="6"/>
      <c r="Z483" s="6"/>
      <c r="AA483" s="6"/>
    </row>
    <row r="484" spans="21:27" ht="15.75" customHeight="1" x14ac:dyDescent="0.2">
      <c r="U484" s="6"/>
      <c r="V484" s="6"/>
      <c r="W484" s="6"/>
      <c r="X484" s="6"/>
      <c r="Y484" s="6"/>
      <c r="Z484" s="6"/>
      <c r="AA484" s="6"/>
    </row>
    <row r="485" spans="21:27" ht="15.75" customHeight="1" x14ac:dyDescent="0.2">
      <c r="U485" s="6"/>
      <c r="V485" s="6"/>
      <c r="W485" s="6"/>
      <c r="X485" s="6"/>
      <c r="Y485" s="6"/>
      <c r="Z485" s="6"/>
      <c r="AA485" s="6"/>
    </row>
    <row r="486" spans="21:27" ht="15.75" customHeight="1" x14ac:dyDescent="0.2">
      <c r="U486" s="6"/>
      <c r="V486" s="6"/>
      <c r="W486" s="6"/>
      <c r="X486" s="6"/>
      <c r="Y486" s="6"/>
      <c r="Z486" s="6"/>
      <c r="AA486" s="6"/>
    </row>
    <row r="487" spans="21:27" ht="15.75" customHeight="1" x14ac:dyDescent="0.2">
      <c r="U487" s="6"/>
      <c r="V487" s="6"/>
      <c r="W487" s="6"/>
      <c r="X487" s="6"/>
      <c r="Y487" s="6"/>
      <c r="Z487" s="6"/>
      <c r="AA487" s="6"/>
    </row>
    <row r="488" spans="21:27" ht="15.75" customHeight="1" x14ac:dyDescent="0.2">
      <c r="U488" s="6"/>
      <c r="V488" s="6"/>
      <c r="W488" s="6"/>
      <c r="X488" s="6"/>
      <c r="Y488" s="6"/>
      <c r="Z488" s="6"/>
      <c r="AA488" s="6"/>
    </row>
    <row r="489" spans="21:27" ht="15.75" customHeight="1" x14ac:dyDescent="0.2">
      <c r="U489" s="6"/>
      <c r="V489" s="6"/>
      <c r="W489" s="6"/>
      <c r="X489" s="6"/>
      <c r="Y489" s="6"/>
      <c r="Z489" s="6"/>
      <c r="AA489" s="6"/>
    </row>
    <row r="490" spans="21:27" ht="15.75" customHeight="1" x14ac:dyDescent="0.2">
      <c r="U490" s="6"/>
      <c r="V490" s="6"/>
      <c r="W490" s="6"/>
      <c r="X490" s="6"/>
      <c r="Y490" s="6"/>
      <c r="Z490" s="6"/>
      <c r="AA490" s="6"/>
    </row>
    <row r="491" spans="21:27" ht="15.75" customHeight="1" x14ac:dyDescent="0.2">
      <c r="U491" s="6"/>
      <c r="V491" s="6"/>
      <c r="W491" s="6"/>
      <c r="X491" s="6"/>
      <c r="Y491" s="6"/>
      <c r="Z491" s="6"/>
      <c r="AA491" s="6"/>
    </row>
    <row r="492" spans="21:27" ht="15.75" customHeight="1" x14ac:dyDescent="0.2">
      <c r="U492" s="6"/>
      <c r="V492" s="6"/>
      <c r="W492" s="6"/>
      <c r="X492" s="6"/>
      <c r="Y492" s="6"/>
      <c r="Z492" s="6"/>
      <c r="AA492" s="6"/>
    </row>
    <row r="493" spans="21:27" ht="15.75" customHeight="1" x14ac:dyDescent="0.2">
      <c r="U493" s="6"/>
      <c r="V493" s="6"/>
      <c r="W493" s="6"/>
      <c r="X493" s="6"/>
      <c r="Y493" s="6"/>
      <c r="Z493" s="6"/>
      <c r="AA493" s="6"/>
    </row>
    <row r="494" spans="21:27" ht="15.75" customHeight="1" x14ac:dyDescent="0.2">
      <c r="U494" s="6"/>
      <c r="V494" s="6"/>
      <c r="W494" s="6"/>
      <c r="X494" s="6"/>
      <c r="Y494" s="6"/>
      <c r="Z494" s="6"/>
      <c r="AA494" s="6"/>
    </row>
    <row r="495" spans="21:27" ht="15.75" customHeight="1" x14ac:dyDescent="0.2">
      <c r="U495" s="6"/>
      <c r="V495" s="6"/>
      <c r="W495" s="6"/>
      <c r="X495" s="6"/>
      <c r="Y495" s="6"/>
      <c r="Z495" s="6"/>
      <c r="AA495" s="6"/>
    </row>
    <row r="496" spans="21:27" ht="15.75" customHeight="1" x14ac:dyDescent="0.2">
      <c r="U496" s="6"/>
      <c r="V496" s="6"/>
      <c r="W496" s="6"/>
      <c r="X496" s="6"/>
      <c r="Y496" s="6"/>
      <c r="Z496" s="6"/>
      <c r="AA496" s="6"/>
    </row>
    <row r="497" spans="21:27" ht="15.75" customHeight="1" x14ac:dyDescent="0.2">
      <c r="U497" s="6"/>
      <c r="V497" s="6"/>
      <c r="W497" s="6"/>
      <c r="X497" s="6"/>
      <c r="Y497" s="6"/>
      <c r="Z497" s="6"/>
      <c r="AA497" s="6"/>
    </row>
    <row r="498" spans="21:27" ht="15.75" customHeight="1" x14ac:dyDescent="0.2">
      <c r="U498" s="6"/>
      <c r="V498" s="6"/>
      <c r="W498" s="6"/>
      <c r="X498" s="6"/>
      <c r="Y498" s="6"/>
      <c r="Z498" s="6"/>
      <c r="AA498" s="6"/>
    </row>
    <row r="499" spans="21:27" ht="15.75" customHeight="1" x14ac:dyDescent="0.2">
      <c r="U499" s="6"/>
      <c r="V499" s="6"/>
      <c r="W499" s="6"/>
      <c r="X499" s="6"/>
      <c r="Y499" s="6"/>
      <c r="Z499" s="6"/>
      <c r="AA499" s="6"/>
    </row>
    <row r="500" spans="21:27" ht="15.75" customHeight="1" x14ac:dyDescent="0.2">
      <c r="U500" s="6"/>
      <c r="V500" s="6"/>
      <c r="W500" s="6"/>
      <c r="X500" s="6"/>
      <c r="Y500" s="6"/>
      <c r="Z500" s="6"/>
      <c r="AA500" s="6"/>
    </row>
    <row r="501" spans="21:27" ht="15.75" customHeight="1" x14ac:dyDescent="0.2">
      <c r="U501" s="6"/>
      <c r="V501" s="6"/>
      <c r="W501" s="6"/>
      <c r="X501" s="6"/>
      <c r="Y501" s="6"/>
      <c r="Z501" s="6"/>
      <c r="AA501" s="6"/>
    </row>
    <row r="502" spans="21:27" ht="15.75" customHeight="1" x14ac:dyDescent="0.2">
      <c r="U502" s="6"/>
      <c r="V502" s="6"/>
      <c r="W502" s="6"/>
      <c r="X502" s="6"/>
      <c r="Y502" s="6"/>
      <c r="Z502" s="6"/>
      <c r="AA502" s="6"/>
    </row>
    <row r="503" spans="21:27" ht="15.75" customHeight="1" x14ac:dyDescent="0.2">
      <c r="U503" s="6"/>
      <c r="V503" s="6"/>
      <c r="W503" s="6"/>
      <c r="X503" s="6"/>
      <c r="Y503" s="6"/>
      <c r="Z503" s="6"/>
      <c r="AA503" s="6"/>
    </row>
    <row r="504" spans="21:27" ht="15.75" customHeight="1" x14ac:dyDescent="0.2">
      <c r="U504" s="6"/>
      <c r="V504" s="6"/>
      <c r="W504" s="6"/>
      <c r="X504" s="6"/>
      <c r="Y504" s="6"/>
      <c r="Z504" s="6"/>
      <c r="AA504" s="6"/>
    </row>
    <row r="505" spans="21:27" ht="15.75" customHeight="1" x14ac:dyDescent="0.2">
      <c r="U505" s="6"/>
      <c r="V505" s="6"/>
      <c r="W505" s="6"/>
      <c r="X505" s="6"/>
      <c r="Y505" s="6"/>
      <c r="Z505" s="6"/>
      <c r="AA505" s="6"/>
    </row>
    <row r="506" spans="21:27" ht="15.75" customHeight="1" x14ac:dyDescent="0.2">
      <c r="U506" s="6"/>
      <c r="V506" s="6"/>
      <c r="W506" s="6"/>
      <c r="X506" s="6"/>
      <c r="Y506" s="6"/>
      <c r="Z506" s="6"/>
      <c r="AA506" s="6"/>
    </row>
    <row r="507" spans="21:27" ht="15.75" customHeight="1" x14ac:dyDescent="0.2">
      <c r="U507" s="6"/>
      <c r="V507" s="6"/>
      <c r="W507" s="6"/>
      <c r="X507" s="6"/>
      <c r="Y507" s="6"/>
      <c r="Z507" s="6"/>
      <c r="AA507" s="6"/>
    </row>
    <row r="508" spans="21:27" ht="15.75" customHeight="1" x14ac:dyDescent="0.2">
      <c r="U508" s="6"/>
      <c r="V508" s="6"/>
      <c r="W508" s="6"/>
      <c r="X508" s="6"/>
      <c r="Y508" s="6"/>
      <c r="Z508" s="6"/>
      <c r="AA508" s="6"/>
    </row>
    <row r="509" spans="21:27" ht="15.75" customHeight="1" x14ac:dyDescent="0.2">
      <c r="U509" s="6"/>
      <c r="V509" s="6"/>
      <c r="W509" s="6"/>
      <c r="X509" s="6"/>
      <c r="Y509" s="6"/>
      <c r="Z509" s="6"/>
      <c r="AA509" s="6"/>
    </row>
    <row r="510" spans="21:27" ht="15.75" customHeight="1" x14ac:dyDescent="0.2">
      <c r="U510" s="6"/>
      <c r="V510" s="6"/>
      <c r="W510" s="6"/>
      <c r="X510" s="6"/>
      <c r="Y510" s="6"/>
      <c r="Z510" s="6"/>
      <c r="AA510" s="6"/>
    </row>
    <row r="511" spans="21:27" ht="15.75" customHeight="1" x14ac:dyDescent="0.2">
      <c r="U511" s="6"/>
      <c r="V511" s="6"/>
      <c r="W511" s="6"/>
      <c r="X511" s="6"/>
      <c r="Y511" s="6"/>
      <c r="Z511" s="6"/>
      <c r="AA511" s="6"/>
    </row>
    <row r="512" spans="21:27" ht="15.75" customHeight="1" x14ac:dyDescent="0.2">
      <c r="U512" s="6"/>
      <c r="V512" s="6"/>
      <c r="W512" s="6"/>
      <c r="X512" s="6"/>
      <c r="Y512" s="6"/>
      <c r="Z512" s="6"/>
      <c r="AA512" s="6"/>
    </row>
    <row r="513" spans="21:27" ht="15.75" customHeight="1" x14ac:dyDescent="0.2">
      <c r="U513" s="6"/>
      <c r="V513" s="6"/>
      <c r="W513" s="6"/>
      <c r="X513" s="6"/>
      <c r="Y513" s="6"/>
      <c r="Z513" s="6"/>
      <c r="AA513" s="6"/>
    </row>
    <row r="514" spans="21:27" ht="15.75" customHeight="1" x14ac:dyDescent="0.2">
      <c r="U514" s="6"/>
      <c r="V514" s="6"/>
      <c r="W514" s="6"/>
      <c r="X514" s="6"/>
      <c r="Y514" s="6"/>
      <c r="Z514" s="6"/>
      <c r="AA514" s="6"/>
    </row>
    <row r="515" spans="21:27" ht="15.75" customHeight="1" x14ac:dyDescent="0.2">
      <c r="U515" s="6"/>
      <c r="V515" s="6"/>
      <c r="W515" s="6"/>
      <c r="X515" s="6"/>
      <c r="Y515" s="6"/>
      <c r="Z515" s="6"/>
      <c r="AA515" s="6"/>
    </row>
    <row r="516" spans="21:27" ht="15.75" customHeight="1" x14ac:dyDescent="0.2">
      <c r="U516" s="6"/>
      <c r="V516" s="6"/>
      <c r="W516" s="6"/>
      <c r="X516" s="6"/>
      <c r="Y516" s="6"/>
      <c r="Z516" s="6"/>
      <c r="AA516" s="6"/>
    </row>
    <row r="517" spans="21:27" ht="15.75" customHeight="1" x14ac:dyDescent="0.2">
      <c r="U517" s="6"/>
      <c r="V517" s="6"/>
      <c r="W517" s="6"/>
      <c r="X517" s="6"/>
      <c r="Y517" s="6"/>
      <c r="Z517" s="6"/>
      <c r="AA517" s="6"/>
    </row>
    <row r="518" spans="21:27" ht="15.75" customHeight="1" x14ac:dyDescent="0.2">
      <c r="U518" s="6"/>
      <c r="V518" s="6"/>
      <c r="W518" s="6"/>
      <c r="X518" s="6"/>
      <c r="Y518" s="6"/>
      <c r="Z518" s="6"/>
      <c r="AA518" s="6"/>
    </row>
    <row r="519" spans="21:27" ht="15.75" customHeight="1" x14ac:dyDescent="0.2">
      <c r="U519" s="6"/>
      <c r="V519" s="6"/>
      <c r="W519" s="6"/>
      <c r="X519" s="6"/>
      <c r="Y519" s="6"/>
      <c r="Z519" s="6"/>
      <c r="AA519" s="6"/>
    </row>
    <row r="520" spans="21:27" ht="15.75" customHeight="1" x14ac:dyDescent="0.2">
      <c r="U520" s="6"/>
      <c r="V520" s="6"/>
      <c r="W520" s="6"/>
      <c r="X520" s="6"/>
      <c r="Y520" s="6"/>
      <c r="Z520" s="6"/>
      <c r="AA520" s="6"/>
    </row>
    <row r="521" spans="21:27" ht="15.75" customHeight="1" x14ac:dyDescent="0.2">
      <c r="U521" s="6"/>
      <c r="V521" s="6"/>
      <c r="W521" s="6"/>
      <c r="X521" s="6"/>
      <c r="Y521" s="6"/>
      <c r="Z521" s="6"/>
      <c r="AA521" s="6"/>
    </row>
    <row r="522" spans="21:27" ht="15.75" customHeight="1" x14ac:dyDescent="0.2">
      <c r="U522" s="6"/>
      <c r="V522" s="6"/>
      <c r="W522" s="6"/>
      <c r="X522" s="6"/>
      <c r="Y522" s="6"/>
      <c r="Z522" s="6"/>
      <c r="AA522" s="6"/>
    </row>
    <row r="523" spans="21:27" ht="15.75" customHeight="1" x14ac:dyDescent="0.2">
      <c r="U523" s="6"/>
      <c r="V523" s="6"/>
      <c r="W523" s="6"/>
      <c r="X523" s="6"/>
      <c r="Y523" s="6"/>
      <c r="Z523" s="6"/>
      <c r="AA523" s="6"/>
    </row>
    <row r="524" spans="21:27" ht="15.75" customHeight="1" x14ac:dyDescent="0.2">
      <c r="U524" s="6"/>
      <c r="V524" s="6"/>
      <c r="W524" s="6"/>
      <c r="X524" s="6"/>
      <c r="Y524" s="6"/>
      <c r="Z524" s="6"/>
      <c r="AA524" s="6"/>
    </row>
    <row r="525" spans="21:27" ht="15.75" customHeight="1" x14ac:dyDescent="0.2">
      <c r="U525" s="6"/>
      <c r="V525" s="6"/>
      <c r="W525" s="6"/>
      <c r="X525" s="6"/>
      <c r="Y525" s="6"/>
      <c r="Z525" s="6"/>
      <c r="AA525" s="6"/>
    </row>
    <row r="526" spans="21:27" ht="15.75" customHeight="1" x14ac:dyDescent="0.2">
      <c r="U526" s="6"/>
      <c r="V526" s="6"/>
      <c r="W526" s="6"/>
      <c r="X526" s="6"/>
      <c r="Y526" s="6"/>
      <c r="Z526" s="6"/>
      <c r="AA526" s="6"/>
    </row>
    <row r="527" spans="21:27" ht="15.75" customHeight="1" x14ac:dyDescent="0.2">
      <c r="U527" s="6"/>
      <c r="V527" s="6"/>
      <c r="W527" s="6"/>
      <c r="X527" s="6"/>
      <c r="Y527" s="6"/>
      <c r="Z527" s="6"/>
      <c r="AA527" s="6"/>
    </row>
    <row r="528" spans="21:27" ht="15.75" customHeight="1" x14ac:dyDescent="0.2">
      <c r="U528" s="6"/>
      <c r="V528" s="6"/>
      <c r="W528" s="6"/>
      <c r="X528" s="6"/>
      <c r="Y528" s="6"/>
      <c r="Z528" s="6"/>
      <c r="AA528" s="6"/>
    </row>
    <row r="529" spans="21:27" ht="15.75" customHeight="1" x14ac:dyDescent="0.2">
      <c r="U529" s="6"/>
      <c r="V529" s="6"/>
      <c r="W529" s="6"/>
      <c r="X529" s="6"/>
      <c r="Y529" s="6"/>
      <c r="Z529" s="6"/>
      <c r="AA529" s="6"/>
    </row>
    <row r="530" spans="21:27" ht="15.75" customHeight="1" x14ac:dyDescent="0.2">
      <c r="U530" s="6"/>
      <c r="V530" s="6"/>
      <c r="W530" s="6"/>
      <c r="X530" s="6"/>
      <c r="Y530" s="6"/>
      <c r="Z530" s="6"/>
      <c r="AA530" s="6"/>
    </row>
    <row r="531" spans="21:27" ht="15.75" customHeight="1" x14ac:dyDescent="0.2">
      <c r="U531" s="6"/>
      <c r="V531" s="6"/>
      <c r="W531" s="6"/>
      <c r="X531" s="6"/>
      <c r="Y531" s="6"/>
      <c r="Z531" s="6"/>
      <c r="AA531" s="6"/>
    </row>
    <row r="532" spans="21:27" ht="15.75" customHeight="1" x14ac:dyDescent="0.2">
      <c r="U532" s="6"/>
      <c r="V532" s="6"/>
      <c r="W532" s="6"/>
      <c r="X532" s="6"/>
      <c r="Y532" s="6"/>
      <c r="Z532" s="6"/>
      <c r="AA532" s="6"/>
    </row>
    <row r="533" spans="21:27" ht="15.75" customHeight="1" x14ac:dyDescent="0.2">
      <c r="U533" s="6"/>
      <c r="V533" s="6"/>
      <c r="W533" s="6"/>
      <c r="X533" s="6"/>
      <c r="Y533" s="6"/>
      <c r="Z533" s="6"/>
      <c r="AA533" s="6"/>
    </row>
    <row r="534" spans="21:27" ht="15.75" customHeight="1" x14ac:dyDescent="0.2">
      <c r="U534" s="6"/>
      <c r="V534" s="6"/>
      <c r="W534" s="6"/>
      <c r="X534" s="6"/>
      <c r="Y534" s="6"/>
      <c r="Z534" s="6"/>
      <c r="AA534" s="6"/>
    </row>
    <row r="535" spans="21:27" ht="15.75" customHeight="1" x14ac:dyDescent="0.2">
      <c r="U535" s="6"/>
      <c r="V535" s="6"/>
      <c r="W535" s="6"/>
      <c r="X535" s="6"/>
      <c r="Y535" s="6"/>
      <c r="Z535" s="6"/>
      <c r="AA535" s="6"/>
    </row>
    <row r="536" spans="21:27" ht="15.75" customHeight="1" x14ac:dyDescent="0.2">
      <c r="U536" s="6"/>
      <c r="V536" s="6"/>
      <c r="W536" s="6"/>
      <c r="X536" s="6"/>
      <c r="Y536" s="6"/>
      <c r="Z536" s="6"/>
      <c r="AA536" s="6"/>
    </row>
    <row r="537" spans="21:27" ht="15.75" customHeight="1" x14ac:dyDescent="0.2">
      <c r="U537" s="6"/>
      <c r="V537" s="6"/>
      <c r="W537" s="6"/>
      <c r="X537" s="6"/>
      <c r="Y537" s="6"/>
      <c r="Z537" s="6"/>
      <c r="AA537" s="6"/>
    </row>
    <row r="538" spans="21:27" ht="15.75" customHeight="1" x14ac:dyDescent="0.2">
      <c r="U538" s="6"/>
      <c r="V538" s="6"/>
      <c r="W538" s="6"/>
      <c r="X538" s="6"/>
      <c r="Y538" s="6"/>
      <c r="Z538" s="6"/>
      <c r="AA538" s="6"/>
    </row>
    <row r="539" spans="21:27" ht="15.75" customHeight="1" x14ac:dyDescent="0.2">
      <c r="U539" s="6"/>
      <c r="V539" s="6"/>
      <c r="W539" s="6"/>
      <c r="X539" s="6"/>
      <c r="Y539" s="6"/>
      <c r="Z539" s="6"/>
      <c r="AA539" s="6"/>
    </row>
    <row r="540" spans="21:27" ht="15.75" customHeight="1" x14ac:dyDescent="0.2">
      <c r="U540" s="6"/>
      <c r="V540" s="6"/>
      <c r="W540" s="6"/>
      <c r="X540" s="6"/>
      <c r="Y540" s="6"/>
      <c r="Z540" s="6"/>
      <c r="AA540" s="6"/>
    </row>
    <row r="541" spans="21:27" ht="15.75" customHeight="1" x14ac:dyDescent="0.2">
      <c r="U541" s="6"/>
      <c r="V541" s="6"/>
      <c r="W541" s="6"/>
      <c r="X541" s="6"/>
      <c r="Y541" s="6"/>
      <c r="Z541" s="6"/>
      <c r="AA541" s="6"/>
    </row>
    <row r="542" spans="21:27" ht="15.75" customHeight="1" x14ac:dyDescent="0.2">
      <c r="U542" s="6"/>
      <c r="V542" s="6"/>
      <c r="W542" s="6"/>
      <c r="X542" s="6"/>
      <c r="Y542" s="6"/>
      <c r="Z542" s="6"/>
      <c r="AA542" s="6"/>
    </row>
    <row r="543" spans="21:27" ht="15.75" customHeight="1" x14ac:dyDescent="0.2">
      <c r="U543" s="6"/>
      <c r="V543" s="6"/>
      <c r="W543" s="6"/>
      <c r="X543" s="6"/>
      <c r="Y543" s="6"/>
      <c r="Z543" s="6"/>
      <c r="AA543" s="6"/>
    </row>
    <row r="544" spans="21:27" ht="15.75" customHeight="1" x14ac:dyDescent="0.2">
      <c r="U544" s="6"/>
      <c r="V544" s="6"/>
      <c r="W544" s="6"/>
      <c r="X544" s="6"/>
      <c r="Y544" s="6"/>
      <c r="Z544" s="6"/>
      <c r="AA544" s="6"/>
    </row>
    <row r="545" spans="21:27" ht="15.75" customHeight="1" x14ac:dyDescent="0.2">
      <c r="U545" s="6"/>
      <c r="V545" s="6"/>
      <c r="W545" s="6"/>
      <c r="X545" s="6"/>
      <c r="Y545" s="6"/>
      <c r="Z545" s="6"/>
      <c r="AA545" s="6"/>
    </row>
    <row r="546" spans="21:27" ht="15.75" customHeight="1" x14ac:dyDescent="0.2">
      <c r="U546" s="6"/>
      <c r="V546" s="6"/>
      <c r="W546" s="6"/>
      <c r="X546" s="6"/>
      <c r="Y546" s="6"/>
      <c r="Z546" s="6"/>
      <c r="AA546" s="6"/>
    </row>
    <row r="547" spans="21:27" ht="15.75" customHeight="1" x14ac:dyDescent="0.2">
      <c r="U547" s="6"/>
      <c r="V547" s="6"/>
      <c r="W547" s="6"/>
      <c r="X547" s="6"/>
      <c r="Y547" s="6"/>
      <c r="Z547" s="6"/>
      <c r="AA547" s="6"/>
    </row>
    <row r="548" spans="21:27" ht="15.75" customHeight="1" x14ac:dyDescent="0.2">
      <c r="U548" s="6"/>
      <c r="V548" s="6"/>
      <c r="W548" s="6"/>
      <c r="X548" s="6"/>
      <c r="Y548" s="6"/>
      <c r="Z548" s="6"/>
      <c r="AA548" s="6"/>
    </row>
    <row r="549" spans="21:27" ht="15.75" customHeight="1" x14ac:dyDescent="0.2">
      <c r="U549" s="6"/>
      <c r="V549" s="6"/>
      <c r="W549" s="6"/>
      <c r="X549" s="6"/>
      <c r="Y549" s="6"/>
      <c r="Z549" s="6"/>
      <c r="AA549" s="6"/>
    </row>
    <row r="550" spans="21:27" ht="15.75" customHeight="1" x14ac:dyDescent="0.2">
      <c r="U550" s="6"/>
      <c r="V550" s="6"/>
      <c r="W550" s="6"/>
      <c r="X550" s="6"/>
      <c r="Y550" s="6"/>
      <c r="Z550" s="6"/>
      <c r="AA550" s="6"/>
    </row>
    <row r="551" spans="21:27" ht="15.75" customHeight="1" x14ac:dyDescent="0.2">
      <c r="U551" s="6"/>
      <c r="V551" s="6"/>
      <c r="W551" s="6"/>
      <c r="X551" s="6"/>
      <c r="Y551" s="6"/>
      <c r="Z551" s="6"/>
      <c r="AA551" s="6"/>
    </row>
    <row r="552" spans="21:27" ht="15.75" customHeight="1" x14ac:dyDescent="0.2">
      <c r="U552" s="6"/>
      <c r="V552" s="6"/>
      <c r="W552" s="6"/>
      <c r="X552" s="6"/>
      <c r="Y552" s="6"/>
      <c r="Z552" s="6"/>
      <c r="AA552" s="6"/>
    </row>
    <row r="553" spans="21:27" ht="15.75" customHeight="1" x14ac:dyDescent="0.2">
      <c r="U553" s="6"/>
      <c r="V553" s="6"/>
      <c r="W553" s="6"/>
      <c r="X553" s="6"/>
      <c r="Y553" s="6"/>
      <c r="Z553" s="6"/>
      <c r="AA553" s="6"/>
    </row>
    <row r="554" spans="21:27" ht="15.75" customHeight="1" x14ac:dyDescent="0.2">
      <c r="U554" s="6"/>
      <c r="V554" s="6"/>
      <c r="W554" s="6"/>
      <c r="X554" s="6"/>
      <c r="Y554" s="6"/>
      <c r="Z554" s="6"/>
      <c r="AA554" s="6"/>
    </row>
    <row r="555" spans="21:27" ht="15.75" customHeight="1" x14ac:dyDescent="0.2">
      <c r="U555" s="6"/>
      <c r="V555" s="6"/>
      <c r="W555" s="6"/>
      <c r="X555" s="6"/>
      <c r="Y555" s="6"/>
      <c r="Z555" s="6"/>
      <c r="AA555" s="6"/>
    </row>
    <row r="556" spans="21:27" ht="15.75" customHeight="1" x14ac:dyDescent="0.2">
      <c r="U556" s="6"/>
      <c r="V556" s="6"/>
      <c r="W556" s="6"/>
      <c r="X556" s="6"/>
      <c r="Y556" s="6"/>
      <c r="Z556" s="6"/>
      <c r="AA556" s="6"/>
    </row>
    <row r="557" spans="21:27" ht="15.75" customHeight="1" x14ac:dyDescent="0.2">
      <c r="U557" s="6"/>
      <c r="V557" s="6"/>
      <c r="W557" s="6"/>
      <c r="X557" s="6"/>
      <c r="Y557" s="6"/>
      <c r="Z557" s="6"/>
      <c r="AA557" s="6"/>
    </row>
    <row r="558" spans="21:27" ht="15.75" customHeight="1" x14ac:dyDescent="0.2">
      <c r="U558" s="6"/>
      <c r="V558" s="6"/>
      <c r="W558" s="6"/>
      <c r="X558" s="6"/>
      <c r="Y558" s="6"/>
      <c r="Z558" s="6"/>
      <c r="AA558" s="6"/>
    </row>
    <row r="559" spans="21:27" ht="15.75" customHeight="1" x14ac:dyDescent="0.2">
      <c r="U559" s="6"/>
      <c r="V559" s="6"/>
      <c r="W559" s="6"/>
      <c r="X559" s="6"/>
      <c r="Y559" s="6"/>
      <c r="Z559" s="6"/>
      <c r="AA559" s="6"/>
    </row>
    <row r="560" spans="21:27" ht="15.75" customHeight="1" x14ac:dyDescent="0.2">
      <c r="U560" s="6"/>
      <c r="V560" s="6"/>
      <c r="W560" s="6"/>
      <c r="X560" s="6"/>
      <c r="Y560" s="6"/>
      <c r="Z560" s="6"/>
      <c r="AA560" s="6"/>
    </row>
    <row r="561" spans="21:27" ht="15.75" customHeight="1" x14ac:dyDescent="0.2">
      <c r="U561" s="6"/>
      <c r="V561" s="6"/>
      <c r="W561" s="6"/>
      <c r="X561" s="6"/>
      <c r="Y561" s="6"/>
      <c r="Z561" s="6"/>
      <c r="AA561" s="6"/>
    </row>
    <row r="562" spans="21:27" ht="15.75" customHeight="1" x14ac:dyDescent="0.2">
      <c r="U562" s="6"/>
      <c r="V562" s="6"/>
      <c r="W562" s="6"/>
      <c r="X562" s="6"/>
      <c r="Y562" s="6"/>
      <c r="Z562" s="6"/>
      <c r="AA562" s="6"/>
    </row>
    <row r="563" spans="21:27" ht="15.75" customHeight="1" x14ac:dyDescent="0.2">
      <c r="U563" s="6"/>
      <c r="V563" s="6"/>
      <c r="W563" s="6"/>
      <c r="X563" s="6"/>
      <c r="Y563" s="6"/>
      <c r="Z563" s="6"/>
      <c r="AA563" s="6"/>
    </row>
    <row r="564" spans="21:27" ht="15.75" customHeight="1" x14ac:dyDescent="0.2">
      <c r="U564" s="6"/>
      <c r="V564" s="6"/>
      <c r="W564" s="6"/>
      <c r="X564" s="6"/>
      <c r="Y564" s="6"/>
      <c r="Z564" s="6"/>
      <c r="AA564" s="6"/>
    </row>
    <row r="565" spans="21:27" ht="15.75" customHeight="1" x14ac:dyDescent="0.2">
      <c r="U565" s="6"/>
      <c r="V565" s="6"/>
      <c r="W565" s="6"/>
      <c r="X565" s="6"/>
      <c r="Y565" s="6"/>
      <c r="Z565" s="6"/>
      <c r="AA565" s="6"/>
    </row>
    <row r="566" spans="21:27" ht="15.75" customHeight="1" x14ac:dyDescent="0.2">
      <c r="U566" s="6"/>
      <c r="V566" s="6"/>
      <c r="W566" s="6"/>
      <c r="X566" s="6"/>
      <c r="Y566" s="6"/>
      <c r="Z566" s="6"/>
      <c r="AA566" s="6"/>
    </row>
    <row r="567" spans="21:27" ht="15.75" customHeight="1" x14ac:dyDescent="0.2">
      <c r="U567" s="6"/>
      <c r="V567" s="6"/>
      <c r="W567" s="6"/>
      <c r="X567" s="6"/>
      <c r="Y567" s="6"/>
      <c r="Z567" s="6"/>
      <c r="AA567" s="6"/>
    </row>
    <row r="568" spans="21:27" ht="15.75" customHeight="1" x14ac:dyDescent="0.2">
      <c r="U568" s="6"/>
      <c r="V568" s="6"/>
      <c r="W568" s="6"/>
      <c r="X568" s="6"/>
      <c r="Y568" s="6"/>
      <c r="Z568" s="6"/>
      <c r="AA568" s="6"/>
    </row>
    <row r="569" spans="21:27" ht="15.75" customHeight="1" x14ac:dyDescent="0.2">
      <c r="U569" s="6"/>
      <c r="V569" s="6"/>
      <c r="W569" s="6"/>
      <c r="X569" s="6"/>
      <c r="Y569" s="6"/>
      <c r="Z569" s="6"/>
      <c r="AA569" s="6"/>
    </row>
    <row r="570" spans="21:27" ht="15.75" customHeight="1" x14ac:dyDescent="0.2">
      <c r="U570" s="6"/>
      <c r="V570" s="6"/>
      <c r="W570" s="6"/>
      <c r="X570" s="6"/>
      <c r="Y570" s="6"/>
      <c r="Z570" s="6"/>
      <c r="AA570" s="6"/>
    </row>
    <row r="571" spans="21:27" ht="15.75" customHeight="1" x14ac:dyDescent="0.2">
      <c r="U571" s="6"/>
      <c r="V571" s="6"/>
      <c r="W571" s="6"/>
      <c r="X571" s="6"/>
      <c r="Y571" s="6"/>
      <c r="Z571" s="6"/>
      <c r="AA571" s="6"/>
    </row>
    <row r="572" spans="21:27" ht="15.75" customHeight="1" x14ac:dyDescent="0.2">
      <c r="U572" s="6"/>
      <c r="V572" s="6"/>
      <c r="W572" s="6"/>
      <c r="X572" s="6"/>
      <c r="Y572" s="6"/>
      <c r="Z572" s="6"/>
      <c r="AA572" s="6"/>
    </row>
    <row r="573" spans="21:27" ht="15.75" customHeight="1" x14ac:dyDescent="0.2">
      <c r="U573" s="6"/>
      <c r="V573" s="6"/>
      <c r="W573" s="6"/>
      <c r="X573" s="6"/>
      <c r="Y573" s="6"/>
      <c r="Z573" s="6"/>
      <c r="AA573" s="6"/>
    </row>
    <row r="574" spans="21:27" ht="15.75" customHeight="1" x14ac:dyDescent="0.2">
      <c r="U574" s="6"/>
      <c r="V574" s="6"/>
      <c r="W574" s="6"/>
      <c r="X574" s="6"/>
      <c r="Y574" s="6"/>
      <c r="Z574" s="6"/>
      <c r="AA574" s="6"/>
    </row>
    <row r="575" spans="21:27" ht="15.75" customHeight="1" x14ac:dyDescent="0.2">
      <c r="U575" s="6"/>
      <c r="V575" s="6"/>
      <c r="W575" s="6"/>
      <c r="X575" s="6"/>
      <c r="Y575" s="6"/>
      <c r="Z575" s="6"/>
      <c r="AA575" s="6"/>
    </row>
    <row r="576" spans="21:27" ht="15.75" customHeight="1" x14ac:dyDescent="0.2">
      <c r="U576" s="6"/>
      <c r="V576" s="6"/>
      <c r="W576" s="6"/>
      <c r="X576" s="6"/>
      <c r="Y576" s="6"/>
      <c r="Z576" s="6"/>
      <c r="AA576" s="6"/>
    </row>
    <row r="577" spans="21:27" ht="15.75" customHeight="1" x14ac:dyDescent="0.2">
      <c r="U577" s="6"/>
      <c r="V577" s="6"/>
      <c r="W577" s="6"/>
      <c r="X577" s="6"/>
      <c r="Y577" s="6"/>
      <c r="Z577" s="6"/>
      <c r="AA577" s="6"/>
    </row>
    <row r="578" spans="21:27" ht="15.75" customHeight="1" x14ac:dyDescent="0.2">
      <c r="U578" s="6"/>
      <c r="V578" s="6"/>
      <c r="W578" s="6"/>
      <c r="X578" s="6"/>
      <c r="Y578" s="6"/>
      <c r="Z578" s="6"/>
      <c r="AA578" s="6"/>
    </row>
    <row r="579" spans="21:27" ht="15.75" customHeight="1" x14ac:dyDescent="0.2">
      <c r="U579" s="6"/>
      <c r="V579" s="6"/>
      <c r="W579" s="6"/>
      <c r="X579" s="6"/>
      <c r="Y579" s="6"/>
      <c r="Z579" s="6"/>
      <c r="AA579" s="6"/>
    </row>
    <row r="580" spans="21:27" ht="15.75" customHeight="1" x14ac:dyDescent="0.2">
      <c r="U580" s="6"/>
      <c r="V580" s="6"/>
      <c r="W580" s="6"/>
      <c r="X580" s="6"/>
      <c r="Y580" s="6"/>
      <c r="Z580" s="6"/>
      <c r="AA580" s="6"/>
    </row>
    <row r="581" spans="21:27" ht="15.75" customHeight="1" x14ac:dyDescent="0.2">
      <c r="U581" s="6"/>
      <c r="V581" s="6"/>
      <c r="W581" s="6"/>
      <c r="X581" s="6"/>
      <c r="Y581" s="6"/>
      <c r="Z581" s="6"/>
      <c r="AA581" s="6"/>
    </row>
    <row r="582" spans="21:27" ht="15.75" customHeight="1" x14ac:dyDescent="0.2">
      <c r="U582" s="6"/>
      <c r="V582" s="6"/>
      <c r="W582" s="6"/>
      <c r="X582" s="6"/>
      <c r="Y582" s="6"/>
      <c r="Z582" s="6"/>
      <c r="AA582" s="6"/>
    </row>
    <row r="583" spans="21:27" ht="15.75" customHeight="1" x14ac:dyDescent="0.2">
      <c r="U583" s="6"/>
      <c r="V583" s="6"/>
      <c r="W583" s="6"/>
      <c r="X583" s="6"/>
      <c r="Y583" s="6"/>
      <c r="Z583" s="6"/>
      <c r="AA583" s="6"/>
    </row>
    <row r="584" spans="21:27" ht="15.75" customHeight="1" x14ac:dyDescent="0.2">
      <c r="U584" s="6"/>
      <c r="V584" s="6"/>
      <c r="W584" s="6"/>
      <c r="X584" s="6"/>
      <c r="Y584" s="6"/>
      <c r="Z584" s="6"/>
      <c r="AA584" s="6"/>
    </row>
    <row r="585" spans="21:27" ht="15.75" customHeight="1" x14ac:dyDescent="0.2">
      <c r="U585" s="6"/>
      <c r="V585" s="6"/>
      <c r="W585" s="6"/>
      <c r="X585" s="6"/>
      <c r="Y585" s="6"/>
      <c r="Z585" s="6"/>
      <c r="AA585" s="6"/>
    </row>
    <row r="586" spans="21:27" ht="15.75" customHeight="1" x14ac:dyDescent="0.2">
      <c r="U586" s="6"/>
      <c r="V586" s="6"/>
      <c r="W586" s="6"/>
      <c r="X586" s="6"/>
      <c r="Y586" s="6"/>
      <c r="Z586" s="6"/>
      <c r="AA586" s="6"/>
    </row>
    <row r="587" spans="21:27" ht="15.75" customHeight="1" x14ac:dyDescent="0.2">
      <c r="U587" s="6"/>
      <c r="V587" s="6"/>
      <c r="W587" s="6"/>
      <c r="X587" s="6"/>
      <c r="Y587" s="6"/>
      <c r="Z587" s="6"/>
      <c r="AA587" s="6"/>
    </row>
    <row r="588" spans="21:27" ht="15.75" customHeight="1" x14ac:dyDescent="0.2">
      <c r="U588" s="6"/>
      <c r="V588" s="6"/>
      <c r="W588" s="6"/>
      <c r="X588" s="6"/>
      <c r="Y588" s="6"/>
      <c r="Z588" s="6"/>
      <c r="AA588" s="6"/>
    </row>
    <row r="589" spans="21:27" ht="15.75" customHeight="1" x14ac:dyDescent="0.2">
      <c r="U589" s="6"/>
      <c r="V589" s="6"/>
      <c r="W589" s="6"/>
      <c r="X589" s="6"/>
      <c r="Y589" s="6"/>
      <c r="Z589" s="6"/>
      <c r="AA589" s="6"/>
    </row>
    <row r="590" spans="21:27" ht="15.75" customHeight="1" x14ac:dyDescent="0.2">
      <c r="U590" s="6"/>
      <c r="V590" s="6"/>
      <c r="W590" s="6"/>
      <c r="X590" s="6"/>
      <c r="Y590" s="6"/>
      <c r="Z590" s="6"/>
      <c r="AA590" s="6"/>
    </row>
    <row r="591" spans="21:27" ht="15.75" customHeight="1" x14ac:dyDescent="0.2">
      <c r="U591" s="6"/>
      <c r="V591" s="6"/>
      <c r="W591" s="6"/>
      <c r="X591" s="6"/>
      <c r="Y591" s="6"/>
      <c r="Z591" s="6"/>
      <c r="AA591" s="6"/>
    </row>
    <row r="592" spans="21:27" ht="15.75" customHeight="1" x14ac:dyDescent="0.2">
      <c r="U592" s="6"/>
      <c r="V592" s="6"/>
      <c r="W592" s="6"/>
      <c r="X592" s="6"/>
      <c r="Y592" s="6"/>
      <c r="Z592" s="6"/>
      <c r="AA592" s="6"/>
    </row>
    <row r="593" spans="21:27" ht="15.75" customHeight="1" x14ac:dyDescent="0.2">
      <c r="U593" s="6"/>
      <c r="V593" s="6"/>
      <c r="W593" s="6"/>
      <c r="X593" s="6"/>
      <c r="Y593" s="6"/>
      <c r="Z593" s="6"/>
      <c r="AA593" s="6"/>
    </row>
    <row r="594" spans="21:27" ht="15.75" customHeight="1" x14ac:dyDescent="0.2">
      <c r="U594" s="6"/>
      <c r="V594" s="6"/>
      <c r="W594" s="6"/>
      <c r="X594" s="6"/>
      <c r="Y594" s="6"/>
      <c r="Z594" s="6"/>
      <c r="AA594" s="6"/>
    </row>
    <row r="595" spans="21:27" ht="15.75" customHeight="1" x14ac:dyDescent="0.2">
      <c r="U595" s="6"/>
      <c r="V595" s="6"/>
      <c r="W595" s="6"/>
      <c r="X595" s="6"/>
      <c r="Y595" s="6"/>
      <c r="Z595" s="6"/>
      <c r="AA595" s="6"/>
    </row>
    <row r="596" spans="21:27" ht="15.75" customHeight="1" x14ac:dyDescent="0.2">
      <c r="U596" s="6"/>
      <c r="V596" s="6"/>
      <c r="W596" s="6"/>
      <c r="X596" s="6"/>
      <c r="Y596" s="6"/>
      <c r="Z596" s="6"/>
      <c r="AA596" s="6"/>
    </row>
    <row r="597" spans="21:27" ht="15.75" customHeight="1" x14ac:dyDescent="0.2">
      <c r="U597" s="6"/>
      <c r="V597" s="6"/>
      <c r="W597" s="6"/>
      <c r="X597" s="6"/>
      <c r="Y597" s="6"/>
      <c r="Z597" s="6"/>
      <c r="AA597" s="6"/>
    </row>
    <row r="598" spans="21:27" ht="15.75" customHeight="1" x14ac:dyDescent="0.2">
      <c r="U598" s="6"/>
      <c r="V598" s="6"/>
      <c r="W598" s="6"/>
      <c r="X598" s="6"/>
      <c r="Y598" s="6"/>
      <c r="Z598" s="6"/>
      <c r="AA598" s="6"/>
    </row>
    <row r="599" spans="21:27" ht="15.75" customHeight="1" x14ac:dyDescent="0.2">
      <c r="U599" s="6"/>
      <c r="V599" s="6"/>
      <c r="W599" s="6"/>
      <c r="X599" s="6"/>
      <c r="Y599" s="6"/>
      <c r="Z599" s="6"/>
      <c r="AA599" s="6"/>
    </row>
    <row r="600" spans="21:27" ht="15.75" customHeight="1" x14ac:dyDescent="0.2">
      <c r="U600" s="6"/>
      <c r="V600" s="6"/>
      <c r="W600" s="6"/>
      <c r="X600" s="6"/>
      <c r="Y600" s="6"/>
      <c r="Z600" s="6"/>
      <c r="AA600" s="6"/>
    </row>
    <row r="601" spans="21:27" ht="15.75" customHeight="1" x14ac:dyDescent="0.2">
      <c r="U601" s="6"/>
      <c r="V601" s="6"/>
      <c r="W601" s="6"/>
      <c r="X601" s="6"/>
      <c r="Y601" s="6"/>
      <c r="Z601" s="6"/>
      <c r="AA601" s="6"/>
    </row>
    <row r="602" spans="21:27" ht="15.75" customHeight="1" x14ac:dyDescent="0.2">
      <c r="U602" s="6"/>
      <c r="V602" s="6"/>
      <c r="W602" s="6"/>
      <c r="X602" s="6"/>
      <c r="Y602" s="6"/>
      <c r="Z602" s="6"/>
      <c r="AA602" s="6"/>
    </row>
    <row r="603" spans="21:27" ht="15.75" customHeight="1" x14ac:dyDescent="0.2">
      <c r="U603" s="6"/>
      <c r="V603" s="6"/>
      <c r="W603" s="6"/>
      <c r="X603" s="6"/>
      <c r="Y603" s="6"/>
      <c r="Z603" s="6"/>
      <c r="AA603" s="6"/>
    </row>
    <row r="604" spans="21:27" ht="15.75" customHeight="1" x14ac:dyDescent="0.2">
      <c r="U604" s="6"/>
      <c r="V604" s="6"/>
      <c r="W604" s="6"/>
      <c r="X604" s="6"/>
      <c r="Y604" s="6"/>
      <c r="Z604" s="6"/>
      <c r="AA604" s="6"/>
    </row>
    <row r="605" spans="21:27" ht="15.75" customHeight="1" x14ac:dyDescent="0.2">
      <c r="U605" s="6"/>
      <c r="V605" s="6"/>
      <c r="W605" s="6"/>
      <c r="X605" s="6"/>
      <c r="Y605" s="6"/>
      <c r="Z605" s="6"/>
      <c r="AA605" s="6"/>
    </row>
    <row r="606" spans="21:27" ht="15.75" customHeight="1" x14ac:dyDescent="0.2">
      <c r="U606" s="6"/>
      <c r="V606" s="6"/>
      <c r="W606" s="6"/>
      <c r="X606" s="6"/>
      <c r="Y606" s="6"/>
      <c r="Z606" s="6"/>
      <c r="AA606" s="6"/>
    </row>
    <row r="607" spans="21:27" ht="15.75" customHeight="1" x14ac:dyDescent="0.2">
      <c r="U607" s="6"/>
      <c r="V607" s="6"/>
      <c r="W607" s="6"/>
      <c r="X607" s="6"/>
      <c r="Y607" s="6"/>
      <c r="Z607" s="6"/>
      <c r="AA607" s="6"/>
    </row>
    <row r="608" spans="21:27" ht="15.75" customHeight="1" x14ac:dyDescent="0.2">
      <c r="U608" s="6"/>
      <c r="V608" s="6"/>
      <c r="W608" s="6"/>
      <c r="X608" s="6"/>
      <c r="Y608" s="6"/>
      <c r="Z608" s="6"/>
      <c r="AA608" s="6"/>
    </row>
    <row r="609" spans="21:27" ht="15.75" customHeight="1" x14ac:dyDescent="0.2">
      <c r="U609" s="6"/>
      <c r="V609" s="6"/>
      <c r="W609" s="6"/>
      <c r="X609" s="6"/>
      <c r="Y609" s="6"/>
      <c r="Z609" s="6"/>
      <c r="AA609" s="6"/>
    </row>
    <row r="610" spans="21:27" ht="15.75" customHeight="1" x14ac:dyDescent="0.2">
      <c r="U610" s="6"/>
      <c r="V610" s="6"/>
      <c r="W610" s="6"/>
      <c r="X610" s="6"/>
      <c r="Y610" s="6"/>
      <c r="Z610" s="6"/>
      <c r="AA610" s="6"/>
    </row>
    <row r="611" spans="21:27" ht="15.75" customHeight="1" x14ac:dyDescent="0.2">
      <c r="U611" s="6"/>
      <c r="V611" s="6"/>
      <c r="W611" s="6"/>
      <c r="X611" s="6"/>
      <c r="Y611" s="6"/>
      <c r="Z611" s="6"/>
      <c r="AA611" s="6"/>
    </row>
    <row r="612" spans="21:27" ht="15.75" customHeight="1" x14ac:dyDescent="0.2">
      <c r="U612" s="6"/>
      <c r="V612" s="6"/>
      <c r="W612" s="6"/>
      <c r="X612" s="6"/>
      <c r="Y612" s="6"/>
      <c r="Z612" s="6"/>
      <c r="AA612" s="6"/>
    </row>
    <row r="613" spans="21:27" ht="15.75" customHeight="1" x14ac:dyDescent="0.2">
      <c r="U613" s="6"/>
      <c r="V613" s="6"/>
      <c r="W613" s="6"/>
      <c r="X613" s="6"/>
      <c r="Y613" s="6"/>
      <c r="Z613" s="6"/>
      <c r="AA613" s="6"/>
    </row>
    <row r="614" spans="21:27" ht="15.75" customHeight="1" x14ac:dyDescent="0.2">
      <c r="U614" s="6"/>
      <c r="V614" s="6"/>
      <c r="W614" s="6"/>
      <c r="X614" s="6"/>
      <c r="Y614" s="6"/>
      <c r="Z614" s="6"/>
      <c r="AA614" s="6"/>
    </row>
    <row r="615" spans="21:27" ht="15.75" customHeight="1" x14ac:dyDescent="0.2">
      <c r="U615" s="6"/>
      <c r="V615" s="6"/>
      <c r="W615" s="6"/>
      <c r="X615" s="6"/>
      <c r="Y615" s="6"/>
      <c r="Z615" s="6"/>
      <c r="AA615" s="6"/>
    </row>
    <row r="616" spans="21:27" ht="15.75" customHeight="1" x14ac:dyDescent="0.2">
      <c r="U616" s="6"/>
      <c r="V616" s="6"/>
      <c r="W616" s="6"/>
      <c r="X616" s="6"/>
      <c r="Y616" s="6"/>
      <c r="Z616" s="6"/>
      <c r="AA616" s="6"/>
    </row>
    <row r="617" spans="21:27" ht="15.75" customHeight="1" x14ac:dyDescent="0.2">
      <c r="U617" s="6"/>
      <c r="V617" s="6"/>
      <c r="W617" s="6"/>
      <c r="X617" s="6"/>
      <c r="Y617" s="6"/>
      <c r="Z617" s="6"/>
      <c r="AA617" s="6"/>
    </row>
    <row r="618" spans="21:27" ht="15.75" customHeight="1" x14ac:dyDescent="0.2">
      <c r="U618" s="6"/>
      <c r="V618" s="6"/>
      <c r="W618" s="6"/>
      <c r="X618" s="6"/>
      <c r="Y618" s="6"/>
      <c r="Z618" s="6"/>
      <c r="AA618" s="6"/>
    </row>
    <row r="619" spans="21:27" ht="15.75" customHeight="1" x14ac:dyDescent="0.2">
      <c r="U619" s="6"/>
      <c r="V619" s="6"/>
      <c r="W619" s="6"/>
      <c r="X619" s="6"/>
      <c r="Y619" s="6"/>
      <c r="Z619" s="6"/>
      <c r="AA619" s="6"/>
    </row>
    <row r="620" spans="21:27" ht="15.75" customHeight="1" x14ac:dyDescent="0.2">
      <c r="U620" s="6"/>
      <c r="V620" s="6"/>
      <c r="W620" s="6"/>
      <c r="X620" s="6"/>
      <c r="Y620" s="6"/>
      <c r="Z620" s="6"/>
      <c r="AA620" s="6"/>
    </row>
    <row r="621" spans="21:27" ht="15.75" customHeight="1" x14ac:dyDescent="0.2">
      <c r="U621" s="6"/>
      <c r="V621" s="6"/>
      <c r="W621" s="6"/>
      <c r="X621" s="6"/>
      <c r="Y621" s="6"/>
      <c r="Z621" s="6"/>
      <c r="AA621" s="6"/>
    </row>
    <row r="622" spans="21:27" ht="15.75" customHeight="1" x14ac:dyDescent="0.2">
      <c r="U622" s="6"/>
      <c r="V622" s="6"/>
      <c r="W622" s="6"/>
      <c r="X622" s="6"/>
      <c r="Y622" s="6"/>
      <c r="Z622" s="6"/>
      <c r="AA622" s="6"/>
    </row>
    <row r="623" spans="21:27" ht="15.75" customHeight="1" x14ac:dyDescent="0.2">
      <c r="U623" s="6"/>
      <c r="V623" s="6"/>
      <c r="W623" s="6"/>
      <c r="X623" s="6"/>
      <c r="Y623" s="6"/>
      <c r="Z623" s="6"/>
      <c r="AA623" s="6"/>
    </row>
    <row r="624" spans="21:27" ht="15.75" customHeight="1" x14ac:dyDescent="0.2">
      <c r="U624" s="6"/>
      <c r="V624" s="6"/>
      <c r="W624" s="6"/>
      <c r="X624" s="6"/>
      <c r="Y624" s="6"/>
      <c r="Z624" s="6"/>
      <c r="AA624" s="6"/>
    </row>
    <row r="625" spans="21:27" ht="15.75" customHeight="1" x14ac:dyDescent="0.2">
      <c r="U625" s="6"/>
      <c r="V625" s="6"/>
      <c r="W625" s="6"/>
      <c r="X625" s="6"/>
      <c r="Y625" s="6"/>
      <c r="Z625" s="6"/>
      <c r="AA625" s="6"/>
    </row>
    <row r="626" spans="21:27" ht="15.75" customHeight="1" x14ac:dyDescent="0.2">
      <c r="U626" s="6"/>
      <c r="V626" s="6"/>
      <c r="W626" s="6"/>
      <c r="X626" s="6"/>
      <c r="Y626" s="6"/>
      <c r="Z626" s="6"/>
      <c r="AA626" s="6"/>
    </row>
    <row r="627" spans="21:27" ht="15.75" customHeight="1" x14ac:dyDescent="0.2">
      <c r="U627" s="6"/>
      <c r="V627" s="6"/>
      <c r="W627" s="6"/>
      <c r="X627" s="6"/>
      <c r="Y627" s="6"/>
      <c r="Z627" s="6"/>
      <c r="AA627" s="6"/>
    </row>
    <row r="628" spans="21:27" ht="15.75" customHeight="1" x14ac:dyDescent="0.2">
      <c r="U628" s="6"/>
      <c r="V628" s="6"/>
      <c r="W628" s="6"/>
      <c r="X628" s="6"/>
      <c r="Y628" s="6"/>
      <c r="Z628" s="6"/>
      <c r="AA628" s="6"/>
    </row>
    <row r="629" spans="21:27" ht="15.75" customHeight="1" x14ac:dyDescent="0.2">
      <c r="U629" s="6"/>
      <c r="V629" s="6"/>
      <c r="W629" s="6"/>
      <c r="X629" s="6"/>
      <c r="Y629" s="6"/>
      <c r="Z629" s="6"/>
      <c r="AA629" s="6"/>
    </row>
    <row r="630" spans="21:27" ht="15.75" customHeight="1" x14ac:dyDescent="0.2">
      <c r="U630" s="6"/>
      <c r="V630" s="6"/>
      <c r="W630" s="6"/>
      <c r="X630" s="6"/>
      <c r="Y630" s="6"/>
      <c r="Z630" s="6"/>
      <c r="AA630" s="6"/>
    </row>
    <row r="631" spans="21:27" ht="15.75" customHeight="1" x14ac:dyDescent="0.2">
      <c r="U631" s="6"/>
      <c r="V631" s="6"/>
      <c r="W631" s="6"/>
      <c r="X631" s="6"/>
      <c r="Y631" s="6"/>
      <c r="Z631" s="6"/>
      <c r="AA631" s="6"/>
    </row>
    <row r="632" spans="21:27" ht="15.75" customHeight="1" x14ac:dyDescent="0.2">
      <c r="U632" s="6"/>
      <c r="V632" s="6"/>
      <c r="W632" s="6"/>
      <c r="X632" s="6"/>
      <c r="Y632" s="6"/>
      <c r="Z632" s="6"/>
      <c r="AA632" s="6"/>
    </row>
    <row r="633" spans="21:27" ht="15.75" customHeight="1" x14ac:dyDescent="0.2">
      <c r="U633" s="6"/>
      <c r="V633" s="6"/>
      <c r="W633" s="6"/>
      <c r="X633" s="6"/>
      <c r="Y633" s="6"/>
      <c r="Z633" s="6"/>
      <c r="AA633" s="6"/>
    </row>
    <row r="634" spans="21:27" ht="15.75" customHeight="1" x14ac:dyDescent="0.2">
      <c r="U634" s="6"/>
      <c r="V634" s="6"/>
      <c r="W634" s="6"/>
      <c r="X634" s="6"/>
      <c r="Y634" s="6"/>
      <c r="Z634" s="6"/>
      <c r="AA634" s="6"/>
    </row>
    <row r="635" spans="21:27" ht="15.75" customHeight="1" x14ac:dyDescent="0.2">
      <c r="U635" s="6"/>
      <c r="V635" s="6"/>
      <c r="W635" s="6"/>
      <c r="X635" s="6"/>
      <c r="Y635" s="6"/>
      <c r="Z635" s="6"/>
      <c r="AA635" s="6"/>
    </row>
    <row r="636" spans="21:27" ht="15.75" customHeight="1" x14ac:dyDescent="0.2">
      <c r="U636" s="6"/>
      <c r="V636" s="6"/>
      <c r="W636" s="6"/>
      <c r="X636" s="6"/>
      <c r="Y636" s="6"/>
      <c r="Z636" s="6"/>
      <c r="AA636" s="6"/>
    </row>
    <row r="637" spans="21:27" ht="15.75" customHeight="1" x14ac:dyDescent="0.2">
      <c r="U637" s="6"/>
      <c r="V637" s="6"/>
      <c r="W637" s="6"/>
      <c r="X637" s="6"/>
      <c r="Y637" s="6"/>
      <c r="Z637" s="6"/>
      <c r="AA637" s="6"/>
    </row>
    <row r="638" spans="21:27" ht="15.75" customHeight="1" x14ac:dyDescent="0.2">
      <c r="U638" s="6"/>
      <c r="V638" s="6"/>
      <c r="W638" s="6"/>
      <c r="X638" s="6"/>
      <c r="Y638" s="6"/>
      <c r="Z638" s="6"/>
      <c r="AA638" s="6"/>
    </row>
    <row r="639" spans="21:27" ht="15.75" customHeight="1" x14ac:dyDescent="0.2">
      <c r="U639" s="6"/>
      <c r="V639" s="6"/>
      <c r="W639" s="6"/>
      <c r="X639" s="6"/>
      <c r="Y639" s="6"/>
      <c r="Z639" s="6"/>
      <c r="AA639" s="6"/>
    </row>
    <row r="640" spans="21:27" ht="15.75" customHeight="1" x14ac:dyDescent="0.2">
      <c r="U640" s="6"/>
      <c r="V640" s="6"/>
      <c r="W640" s="6"/>
      <c r="X640" s="6"/>
      <c r="Y640" s="6"/>
      <c r="Z640" s="6"/>
      <c r="AA640" s="6"/>
    </row>
    <row r="641" spans="21:27" ht="15.75" customHeight="1" x14ac:dyDescent="0.2">
      <c r="U641" s="6"/>
      <c r="V641" s="6"/>
      <c r="W641" s="6"/>
      <c r="X641" s="6"/>
      <c r="Y641" s="6"/>
      <c r="Z641" s="6"/>
      <c r="AA641" s="6"/>
    </row>
    <row r="642" spans="21:27" ht="15.75" customHeight="1" x14ac:dyDescent="0.2">
      <c r="U642" s="6"/>
      <c r="V642" s="6"/>
      <c r="W642" s="6"/>
      <c r="X642" s="6"/>
      <c r="Y642" s="6"/>
      <c r="Z642" s="6"/>
      <c r="AA642" s="6"/>
    </row>
    <row r="643" spans="21:27" ht="15.75" customHeight="1" x14ac:dyDescent="0.2">
      <c r="U643" s="6"/>
      <c r="V643" s="6"/>
      <c r="W643" s="6"/>
      <c r="X643" s="6"/>
      <c r="Y643" s="6"/>
      <c r="Z643" s="6"/>
      <c r="AA643" s="6"/>
    </row>
    <row r="644" spans="21:27" ht="15.75" customHeight="1" x14ac:dyDescent="0.2">
      <c r="U644" s="6"/>
      <c r="V644" s="6"/>
      <c r="W644" s="6"/>
      <c r="X644" s="6"/>
      <c r="Y644" s="6"/>
      <c r="Z644" s="6"/>
      <c r="AA644" s="6"/>
    </row>
    <row r="645" spans="21:27" ht="15.75" customHeight="1" x14ac:dyDescent="0.2">
      <c r="U645" s="6"/>
      <c r="V645" s="6"/>
      <c r="W645" s="6"/>
      <c r="X645" s="6"/>
      <c r="Y645" s="6"/>
      <c r="Z645" s="6"/>
      <c r="AA645" s="6"/>
    </row>
    <row r="646" spans="21:27" ht="15.75" customHeight="1" x14ac:dyDescent="0.2">
      <c r="U646" s="6"/>
      <c r="V646" s="6"/>
      <c r="W646" s="6"/>
      <c r="X646" s="6"/>
      <c r="Y646" s="6"/>
      <c r="Z646" s="6"/>
      <c r="AA646" s="6"/>
    </row>
    <row r="647" spans="21:27" ht="15.75" customHeight="1" x14ac:dyDescent="0.2">
      <c r="U647" s="6"/>
      <c r="V647" s="6"/>
      <c r="W647" s="6"/>
      <c r="X647" s="6"/>
      <c r="Y647" s="6"/>
      <c r="Z647" s="6"/>
      <c r="AA647" s="6"/>
    </row>
    <row r="648" spans="21:27" ht="15.75" customHeight="1" x14ac:dyDescent="0.2">
      <c r="U648" s="6"/>
      <c r="V648" s="6"/>
      <c r="W648" s="6"/>
      <c r="X648" s="6"/>
      <c r="Y648" s="6"/>
      <c r="Z648" s="6"/>
      <c r="AA648" s="6"/>
    </row>
    <row r="649" spans="21:27" ht="15.75" customHeight="1" x14ac:dyDescent="0.2">
      <c r="U649" s="6"/>
      <c r="V649" s="6"/>
      <c r="W649" s="6"/>
      <c r="X649" s="6"/>
      <c r="Y649" s="6"/>
      <c r="Z649" s="6"/>
      <c r="AA649" s="6"/>
    </row>
    <row r="650" spans="21:27" ht="15.75" customHeight="1" x14ac:dyDescent="0.2">
      <c r="U650" s="6"/>
      <c r="V650" s="6"/>
      <c r="W650" s="6"/>
      <c r="X650" s="6"/>
      <c r="Y650" s="6"/>
      <c r="Z650" s="6"/>
      <c r="AA650" s="6"/>
    </row>
    <row r="651" spans="21:27" ht="15.75" customHeight="1" x14ac:dyDescent="0.2">
      <c r="U651" s="6"/>
      <c r="V651" s="6"/>
      <c r="W651" s="6"/>
      <c r="X651" s="6"/>
      <c r="Y651" s="6"/>
      <c r="Z651" s="6"/>
      <c r="AA651" s="6"/>
    </row>
    <row r="652" spans="21:27" ht="15.75" customHeight="1" x14ac:dyDescent="0.2">
      <c r="U652" s="6"/>
      <c r="V652" s="6"/>
      <c r="W652" s="6"/>
      <c r="X652" s="6"/>
      <c r="Y652" s="6"/>
      <c r="Z652" s="6"/>
      <c r="AA652" s="6"/>
    </row>
    <row r="653" spans="21:27" ht="15.75" customHeight="1" x14ac:dyDescent="0.2">
      <c r="U653" s="6"/>
      <c r="V653" s="6"/>
      <c r="W653" s="6"/>
      <c r="X653" s="6"/>
      <c r="Y653" s="6"/>
      <c r="Z653" s="6"/>
      <c r="AA653" s="6"/>
    </row>
    <row r="654" spans="21:27" ht="15.75" customHeight="1" x14ac:dyDescent="0.2">
      <c r="U654" s="6"/>
      <c r="V654" s="6"/>
      <c r="W654" s="6"/>
      <c r="X654" s="6"/>
      <c r="Y654" s="6"/>
      <c r="Z654" s="6"/>
      <c r="AA654" s="6"/>
    </row>
    <row r="655" spans="21:27" ht="15.75" customHeight="1" x14ac:dyDescent="0.2">
      <c r="U655" s="6"/>
      <c r="V655" s="6"/>
      <c r="W655" s="6"/>
      <c r="X655" s="6"/>
      <c r="Y655" s="6"/>
      <c r="Z655" s="6"/>
      <c r="AA655" s="6"/>
    </row>
    <row r="656" spans="21:27" ht="15.75" customHeight="1" x14ac:dyDescent="0.2">
      <c r="U656" s="6"/>
      <c r="V656" s="6"/>
      <c r="W656" s="6"/>
      <c r="X656" s="6"/>
      <c r="Y656" s="6"/>
      <c r="Z656" s="6"/>
      <c r="AA656" s="6"/>
    </row>
    <row r="657" spans="21:27" ht="15.75" customHeight="1" x14ac:dyDescent="0.2">
      <c r="U657" s="6"/>
      <c r="V657" s="6"/>
      <c r="W657" s="6"/>
      <c r="X657" s="6"/>
      <c r="Y657" s="6"/>
      <c r="Z657" s="6"/>
      <c r="AA657" s="6"/>
    </row>
    <row r="658" spans="21:27" ht="15.75" customHeight="1" x14ac:dyDescent="0.2">
      <c r="U658" s="6"/>
      <c r="V658" s="6"/>
      <c r="W658" s="6"/>
      <c r="X658" s="6"/>
      <c r="Y658" s="6"/>
      <c r="Z658" s="6"/>
      <c r="AA658" s="6"/>
    </row>
    <row r="659" spans="21:27" ht="15.75" customHeight="1" x14ac:dyDescent="0.2">
      <c r="U659" s="6"/>
      <c r="V659" s="6"/>
      <c r="W659" s="6"/>
      <c r="X659" s="6"/>
      <c r="Y659" s="6"/>
      <c r="Z659" s="6"/>
      <c r="AA659" s="6"/>
    </row>
    <row r="660" spans="21:27" ht="15.75" customHeight="1" x14ac:dyDescent="0.2">
      <c r="U660" s="6"/>
      <c r="V660" s="6"/>
      <c r="W660" s="6"/>
      <c r="X660" s="6"/>
      <c r="Y660" s="6"/>
      <c r="Z660" s="6"/>
      <c r="AA660" s="6"/>
    </row>
    <row r="661" spans="21:27" ht="15.75" customHeight="1" x14ac:dyDescent="0.2">
      <c r="U661" s="6"/>
      <c r="V661" s="6"/>
      <c r="W661" s="6"/>
      <c r="X661" s="6"/>
      <c r="Y661" s="6"/>
      <c r="Z661" s="6"/>
      <c r="AA661" s="6"/>
    </row>
    <row r="662" spans="21:27" ht="15.75" customHeight="1" x14ac:dyDescent="0.2">
      <c r="U662" s="6"/>
      <c r="V662" s="6"/>
      <c r="W662" s="6"/>
      <c r="X662" s="6"/>
      <c r="Y662" s="6"/>
      <c r="Z662" s="6"/>
      <c r="AA662" s="6"/>
    </row>
    <row r="663" spans="21:27" ht="15.75" customHeight="1" x14ac:dyDescent="0.2">
      <c r="U663" s="6"/>
      <c r="V663" s="6"/>
      <c r="W663" s="6"/>
      <c r="X663" s="6"/>
      <c r="Y663" s="6"/>
      <c r="Z663" s="6"/>
      <c r="AA663" s="6"/>
    </row>
    <row r="664" spans="21:27" ht="15.75" customHeight="1" x14ac:dyDescent="0.2">
      <c r="U664" s="6"/>
      <c r="V664" s="6"/>
      <c r="W664" s="6"/>
      <c r="X664" s="6"/>
      <c r="Y664" s="6"/>
      <c r="Z664" s="6"/>
      <c r="AA664" s="6"/>
    </row>
    <row r="665" spans="21:27" ht="15.75" customHeight="1" x14ac:dyDescent="0.2">
      <c r="U665" s="6"/>
      <c r="V665" s="6"/>
      <c r="W665" s="6"/>
      <c r="X665" s="6"/>
      <c r="Y665" s="6"/>
      <c r="Z665" s="6"/>
      <c r="AA665" s="6"/>
    </row>
    <row r="666" spans="21:27" ht="15.75" customHeight="1" x14ac:dyDescent="0.2">
      <c r="U666" s="6"/>
      <c r="V666" s="6"/>
      <c r="W666" s="6"/>
      <c r="X666" s="6"/>
      <c r="Y666" s="6"/>
      <c r="Z666" s="6"/>
      <c r="AA666" s="6"/>
    </row>
    <row r="667" spans="21:27" ht="15.75" customHeight="1" x14ac:dyDescent="0.2">
      <c r="U667" s="6"/>
      <c r="V667" s="6"/>
      <c r="W667" s="6"/>
      <c r="X667" s="6"/>
      <c r="Y667" s="6"/>
      <c r="Z667" s="6"/>
      <c r="AA667" s="6"/>
    </row>
    <row r="668" spans="21:27" ht="15.75" customHeight="1" x14ac:dyDescent="0.2">
      <c r="U668" s="6"/>
      <c r="V668" s="6"/>
      <c r="W668" s="6"/>
      <c r="X668" s="6"/>
      <c r="Y668" s="6"/>
      <c r="Z668" s="6"/>
      <c r="AA668" s="6"/>
    </row>
    <row r="669" spans="21:27" ht="15.75" customHeight="1" x14ac:dyDescent="0.2">
      <c r="U669" s="6"/>
      <c r="V669" s="6"/>
      <c r="W669" s="6"/>
      <c r="X669" s="6"/>
      <c r="Y669" s="6"/>
      <c r="Z669" s="6"/>
      <c r="AA669" s="6"/>
    </row>
    <row r="670" spans="21:27" ht="15.75" customHeight="1" x14ac:dyDescent="0.2">
      <c r="U670" s="6"/>
      <c r="V670" s="6"/>
      <c r="W670" s="6"/>
      <c r="X670" s="6"/>
      <c r="Y670" s="6"/>
      <c r="Z670" s="6"/>
      <c r="AA670" s="6"/>
    </row>
    <row r="671" spans="21:27" ht="15.75" customHeight="1" x14ac:dyDescent="0.2">
      <c r="U671" s="6"/>
      <c r="V671" s="6"/>
      <c r="W671" s="6"/>
      <c r="X671" s="6"/>
      <c r="Y671" s="6"/>
      <c r="Z671" s="6"/>
      <c r="AA671" s="6"/>
    </row>
    <row r="672" spans="21:27" ht="15.75" customHeight="1" x14ac:dyDescent="0.2">
      <c r="U672" s="6"/>
      <c r="V672" s="6"/>
      <c r="W672" s="6"/>
      <c r="X672" s="6"/>
      <c r="Y672" s="6"/>
      <c r="Z672" s="6"/>
      <c r="AA672" s="6"/>
    </row>
    <row r="673" spans="21:27" ht="15.75" customHeight="1" x14ac:dyDescent="0.2">
      <c r="U673" s="6"/>
      <c r="V673" s="6"/>
      <c r="W673" s="6"/>
      <c r="X673" s="6"/>
      <c r="Y673" s="6"/>
      <c r="Z673" s="6"/>
      <c r="AA673" s="6"/>
    </row>
    <row r="674" spans="21:27" ht="15.75" customHeight="1" x14ac:dyDescent="0.2">
      <c r="U674" s="6"/>
      <c r="V674" s="6"/>
      <c r="W674" s="6"/>
      <c r="X674" s="6"/>
      <c r="Y674" s="6"/>
      <c r="Z674" s="6"/>
      <c r="AA674" s="6"/>
    </row>
    <row r="675" spans="21:27" ht="15.75" customHeight="1" x14ac:dyDescent="0.2">
      <c r="U675" s="6"/>
      <c r="V675" s="6"/>
      <c r="W675" s="6"/>
      <c r="X675" s="6"/>
      <c r="Y675" s="6"/>
      <c r="Z675" s="6"/>
      <c r="AA675" s="6"/>
    </row>
    <row r="676" spans="21:27" ht="15.75" customHeight="1" x14ac:dyDescent="0.2">
      <c r="U676" s="6"/>
      <c r="V676" s="6"/>
      <c r="W676" s="6"/>
      <c r="X676" s="6"/>
      <c r="Y676" s="6"/>
      <c r="Z676" s="6"/>
      <c r="AA676" s="6"/>
    </row>
    <row r="677" spans="21:27" ht="15.75" customHeight="1" x14ac:dyDescent="0.2">
      <c r="U677" s="6"/>
      <c r="V677" s="6"/>
      <c r="W677" s="6"/>
      <c r="X677" s="6"/>
      <c r="Y677" s="6"/>
      <c r="Z677" s="6"/>
      <c r="AA677" s="6"/>
    </row>
    <row r="678" spans="21:27" ht="15.75" customHeight="1" x14ac:dyDescent="0.2">
      <c r="U678" s="6"/>
      <c r="V678" s="6"/>
      <c r="W678" s="6"/>
      <c r="X678" s="6"/>
      <c r="Y678" s="6"/>
      <c r="Z678" s="6"/>
      <c r="AA678" s="6"/>
    </row>
    <row r="679" spans="21:27" ht="15.75" customHeight="1" x14ac:dyDescent="0.2">
      <c r="U679" s="6"/>
      <c r="V679" s="6"/>
      <c r="W679" s="6"/>
      <c r="X679" s="6"/>
      <c r="Y679" s="6"/>
      <c r="Z679" s="6"/>
      <c r="AA679" s="6"/>
    </row>
    <row r="680" spans="21:27" ht="15.75" customHeight="1" x14ac:dyDescent="0.2">
      <c r="U680" s="6"/>
      <c r="V680" s="6"/>
      <c r="W680" s="6"/>
      <c r="X680" s="6"/>
      <c r="Y680" s="6"/>
      <c r="Z680" s="6"/>
      <c r="AA680" s="6"/>
    </row>
    <row r="681" spans="21:27" ht="15.75" customHeight="1" x14ac:dyDescent="0.2">
      <c r="U681" s="6"/>
      <c r="V681" s="6"/>
      <c r="W681" s="6"/>
      <c r="X681" s="6"/>
      <c r="Y681" s="6"/>
      <c r="Z681" s="6"/>
      <c r="AA681" s="6"/>
    </row>
    <row r="682" spans="21:27" ht="15.75" customHeight="1" x14ac:dyDescent="0.2">
      <c r="U682" s="6"/>
      <c r="V682" s="6"/>
      <c r="W682" s="6"/>
      <c r="X682" s="6"/>
      <c r="Y682" s="6"/>
      <c r="Z682" s="6"/>
      <c r="AA682" s="6"/>
    </row>
    <row r="683" spans="21:27" ht="15.75" customHeight="1" x14ac:dyDescent="0.2">
      <c r="U683" s="6"/>
      <c r="V683" s="6"/>
      <c r="W683" s="6"/>
      <c r="X683" s="6"/>
      <c r="Y683" s="6"/>
      <c r="Z683" s="6"/>
      <c r="AA683" s="6"/>
    </row>
    <row r="684" spans="21:27" ht="15.75" customHeight="1" x14ac:dyDescent="0.2">
      <c r="U684" s="6"/>
      <c r="V684" s="6"/>
      <c r="W684" s="6"/>
      <c r="X684" s="6"/>
      <c r="Y684" s="6"/>
      <c r="Z684" s="6"/>
      <c r="AA684" s="6"/>
    </row>
    <row r="685" spans="21:27" ht="15.75" customHeight="1" x14ac:dyDescent="0.2">
      <c r="U685" s="6"/>
      <c r="V685" s="6"/>
      <c r="W685" s="6"/>
      <c r="X685" s="6"/>
      <c r="Y685" s="6"/>
      <c r="Z685" s="6"/>
      <c r="AA685" s="6"/>
    </row>
    <row r="686" spans="21:27" ht="15.75" customHeight="1" x14ac:dyDescent="0.2">
      <c r="U686" s="6"/>
      <c r="V686" s="6"/>
      <c r="W686" s="6"/>
      <c r="X686" s="6"/>
      <c r="Y686" s="6"/>
      <c r="Z686" s="6"/>
      <c r="AA686" s="6"/>
    </row>
    <row r="687" spans="21:27" ht="15.75" customHeight="1" x14ac:dyDescent="0.2">
      <c r="U687" s="6"/>
      <c r="V687" s="6"/>
      <c r="W687" s="6"/>
      <c r="X687" s="6"/>
      <c r="Y687" s="6"/>
      <c r="Z687" s="6"/>
      <c r="AA687" s="6"/>
    </row>
    <row r="688" spans="21:27" ht="15.75" customHeight="1" x14ac:dyDescent="0.2">
      <c r="U688" s="6"/>
      <c r="V688" s="6"/>
      <c r="W688" s="6"/>
      <c r="X688" s="6"/>
      <c r="Y688" s="6"/>
      <c r="Z688" s="6"/>
      <c r="AA688" s="6"/>
    </row>
    <row r="689" spans="21:27" ht="15.75" customHeight="1" x14ac:dyDescent="0.2">
      <c r="U689" s="6"/>
      <c r="V689" s="6"/>
      <c r="W689" s="6"/>
      <c r="X689" s="6"/>
      <c r="Y689" s="6"/>
      <c r="Z689" s="6"/>
      <c r="AA689" s="6"/>
    </row>
    <row r="690" spans="21:27" ht="15.75" customHeight="1" x14ac:dyDescent="0.2">
      <c r="U690" s="6"/>
      <c r="V690" s="6"/>
      <c r="W690" s="6"/>
      <c r="X690" s="6"/>
      <c r="Y690" s="6"/>
      <c r="Z690" s="6"/>
      <c r="AA690" s="6"/>
    </row>
    <row r="691" spans="21:27" ht="15.75" customHeight="1" x14ac:dyDescent="0.2">
      <c r="U691" s="6"/>
      <c r="V691" s="6"/>
      <c r="W691" s="6"/>
      <c r="X691" s="6"/>
      <c r="Y691" s="6"/>
      <c r="Z691" s="6"/>
      <c r="AA691" s="6"/>
    </row>
    <row r="692" spans="21:27" ht="15.75" customHeight="1" x14ac:dyDescent="0.2">
      <c r="U692" s="6"/>
      <c r="V692" s="6"/>
      <c r="W692" s="6"/>
      <c r="X692" s="6"/>
      <c r="Y692" s="6"/>
      <c r="Z692" s="6"/>
      <c r="AA692" s="6"/>
    </row>
    <row r="693" spans="21:27" ht="15.75" customHeight="1" x14ac:dyDescent="0.2">
      <c r="U693" s="6"/>
      <c r="V693" s="6"/>
      <c r="W693" s="6"/>
      <c r="X693" s="6"/>
      <c r="Y693" s="6"/>
      <c r="Z693" s="6"/>
      <c r="AA693" s="6"/>
    </row>
    <row r="694" spans="21:27" ht="15.75" customHeight="1" x14ac:dyDescent="0.2">
      <c r="U694" s="6"/>
      <c r="V694" s="6"/>
      <c r="W694" s="6"/>
      <c r="X694" s="6"/>
      <c r="Y694" s="6"/>
      <c r="Z694" s="6"/>
      <c r="AA694" s="6"/>
    </row>
    <row r="695" spans="21:27" ht="15.75" customHeight="1" x14ac:dyDescent="0.2">
      <c r="U695" s="6"/>
      <c r="V695" s="6"/>
      <c r="W695" s="6"/>
      <c r="X695" s="6"/>
      <c r="Y695" s="6"/>
      <c r="Z695" s="6"/>
      <c r="AA695" s="6"/>
    </row>
    <row r="696" spans="21:27" ht="15.75" customHeight="1" x14ac:dyDescent="0.2">
      <c r="U696" s="6"/>
      <c r="V696" s="6"/>
      <c r="W696" s="6"/>
      <c r="X696" s="6"/>
      <c r="Y696" s="6"/>
      <c r="Z696" s="6"/>
      <c r="AA696" s="6"/>
    </row>
    <row r="697" spans="21:27" ht="15.75" customHeight="1" x14ac:dyDescent="0.2">
      <c r="U697" s="6"/>
      <c r="V697" s="6"/>
      <c r="W697" s="6"/>
      <c r="X697" s="6"/>
      <c r="Y697" s="6"/>
      <c r="Z697" s="6"/>
      <c r="AA697" s="6"/>
    </row>
    <row r="698" spans="21:27" ht="15.75" customHeight="1" x14ac:dyDescent="0.2">
      <c r="U698" s="6"/>
      <c r="V698" s="6"/>
      <c r="W698" s="6"/>
      <c r="X698" s="6"/>
      <c r="Y698" s="6"/>
      <c r="Z698" s="6"/>
      <c r="AA698" s="6"/>
    </row>
    <row r="699" spans="21:27" ht="15.75" customHeight="1" x14ac:dyDescent="0.2">
      <c r="U699" s="6"/>
      <c r="V699" s="6"/>
      <c r="W699" s="6"/>
      <c r="X699" s="6"/>
      <c r="Y699" s="6"/>
      <c r="Z699" s="6"/>
      <c r="AA699" s="6"/>
    </row>
    <row r="700" spans="21:27" ht="15.75" customHeight="1" x14ac:dyDescent="0.2">
      <c r="U700" s="6"/>
      <c r="V700" s="6"/>
      <c r="W700" s="6"/>
      <c r="X700" s="6"/>
      <c r="Y700" s="6"/>
      <c r="Z700" s="6"/>
      <c r="AA700" s="6"/>
    </row>
    <row r="701" spans="21:27" ht="15.75" customHeight="1" x14ac:dyDescent="0.2">
      <c r="U701" s="6"/>
      <c r="V701" s="6"/>
      <c r="W701" s="6"/>
      <c r="X701" s="6"/>
      <c r="Y701" s="6"/>
      <c r="Z701" s="6"/>
      <c r="AA701" s="6"/>
    </row>
    <row r="702" spans="21:27" ht="15.75" customHeight="1" x14ac:dyDescent="0.2">
      <c r="U702" s="6"/>
      <c r="V702" s="6"/>
      <c r="W702" s="6"/>
      <c r="X702" s="6"/>
      <c r="Y702" s="6"/>
      <c r="Z702" s="6"/>
      <c r="AA702" s="6"/>
    </row>
    <row r="703" spans="21:27" ht="15.75" customHeight="1" x14ac:dyDescent="0.2">
      <c r="U703" s="6"/>
      <c r="V703" s="6"/>
      <c r="W703" s="6"/>
      <c r="X703" s="6"/>
      <c r="Y703" s="6"/>
      <c r="Z703" s="6"/>
      <c r="AA703" s="6"/>
    </row>
    <row r="704" spans="21:27" ht="15.75" customHeight="1" x14ac:dyDescent="0.2">
      <c r="U704" s="6"/>
      <c r="V704" s="6"/>
      <c r="W704" s="6"/>
      <c r="X704" s="6"/>
      <c r="Y704" s="6"/>
      <c r="Z704" s="6"/>
      <c r="AA704" s="6"/>
    </row>
    <row r="705" spans="21:27" ht="15.75" customHeight="1" x14ac:dyDescent="0.2">
      <c r="U705" s="6"/>
      <c r="V705" s="6"/>
      <c r="W705" s="6"/>
      <c r="X705" s="6"/>
      <c r="Y705" s="6"/>
      <c r="Z705" s="6"/>
      <c r="AA705" s="6"/>
    </row>
    <row r="706" spans="21:27" ht="15.75" customHeight="1" x14ac:dyDescent="0.2">
      <c r="U706" s="6"/>
      <c r="V706" s="6"/>
      <c r="W706" s="6"/>
      <c r="X706" s="6"/>
      <c r="Y706" s="6"/>
      <c r="Z706" s="6"/>
      <c r="AA706" s="6"/>
    </row>
    <row r="707" spans="21:27" ht="15.75" customHeight="1" x14ac:dyDescent="0.2">
      <c r="U707" s="6"/>
      <c r="V707" s="6"/>
      <c r="W707" s="6"/>
      <c r="X707" s="6"/>
      <c r="Y707" s="6"/>
      <c r="Z707" s="6"/>
      <c r="AA707" s="6"/>
    </row>
    <row r="708" spans="21:27" ht="15.75" customHeight="1" x14ac:dyDescent="0.2">
      <c r="U708" s="6"/>
      <c r="V708" s="6"/>
      <c r="W708" s="6"/>
      <c r="X708" s="6"/>
      <c r="Y708" s="6"/>
      <c r="Z708" s="6"/>
      <c r="AA708" s="6"/>
    </row>
    <row r="709" spans="21:27" ht="15.75" customHeight="1" x14ac:dyDescent="0.2">
      <c r="U709" s="6"/>
      <c r="V709" s="6"/>
      <c r="W709" s="6"/>
      <c r="X709" s="6"/>
      <c r="Y709" s="6"/>
      <c r="Z709" s="6"/>
      <c r="AA709" s="6"/>
    </row>
    <row r="710" spans="21:27" ht="15.75" customHeight="1" x14ac:dyDescent="0.2">
      <c r="U710" s="6"/>
      <c r="V710" s="6"/>
      <c r="W710" s="6"/>
      <c r="X710" s="6"/>
      <c r="Y710" s="6"/>
      <c r="Z710" s="6"/>
      <c r="AA710" s="6"/>
    </row>
    <row r="711" spans="21:27" ht="15.75" customHeight="1" x14ac:dyDescent="0.2">
      <c r="U711" s="6"/>
      <c r="V711" s="6"/>
      <c r="W711" s="6"/>
      <c r="X711" s="6"/>
      <c r="Y711" s="6"/>
      <c r="Z711" s="6"/>
      <c r="AA711" s="6"/>
    </row>
    <row r="712" spans="21:27" ht="15.75" customHeight="1" x14ac:dyDescent="0.2">
      <c r="U712" s="6"/>
      <c r="V712" s="6"/>
      <c r="W712" s="6"/>
      <c r="X712" s="6"/>
      <c r="Y712" s="6"/>
      <c r="Z712" s="6"/>
      <c r="AA712" s="6"/>
    </row>
    <row r="713" spans="21:27" ht="15.75" customHeight="1" x14ac:dyDescent="0.2">
      <c r="U713" s="6"/>
      <c r="V713" s="6"/>
      <c r="W713" s="6"/>
      <c r="X713" s="6"/>
      <c r="Y713" s="6"/>
      <c r="Z713" s="6"/>
      <c r="AA713" s="6"/>
    </row>
    <row r="714" spans="21:27" ht="15.75" customHeight="1" x14ac:dyDescent="0.2">
      <c r="U714" s="6"/>
      <c r="V714" s="6"/>
      <c r="W714" s="6"/>
      <c r="X714" s="6"/>
      <c r="Y714" s="6"/>
      <c r="Z714" s="6"/>
      <c r="AA714" s="6"/>
    </row>
    <row r="715" spans="21:27" ht="15.75" customHeight="1" x14ac:dyDescent="0.2">
      <c r="U715" s="6"/>
      <c r="V715" s="6"/>
      <c r="W715" s="6"/>
      <c r="X715" s="6"/>
      <c r="Y715" s="6"/>
      <c r="Z715" s="6"/>
      <c r="AA715" s="6"/>
    </row>
    <row r="716" spans="21:27" ht="15.75" customHeight="1" x14ac:dyDescent="0.2">
      <c r="U716" s="6"/>
      <c r="V716" s="6"/>
      <c r="W716" s="6"/>
      <c r="X716" s="6"/>
      <c r="Y716" s="6"/>
      <c r="Z716" s="6"/>
      <c r="AA716" s="6"/>
    </row>
    <row r="717" spans="21:27" ht="15.75" customHeight="1" x14ac:dyDescent="0.2">
      <c r="U717" s="6"/>
      <c r="V717" s="6"/>
      <c r="W717" s="6"/>
      <c r="X717" s="6"/>
      <c r="Y717" s="6"/>
      <c r="Z717" s="6"/>
      <c r="AA717" s="6"/>
    </row>
    <row r="718" spans="21:27" ht="15.75" customHeight="1" x14ac:dyDescent="0.2">
      <c r="U718" s="6"/>
      <c r="V718" s="6"/>
      <c r="W718" s="6"/>
      <c r="X718" s="6"/>
      <c r="Y718" s="6"/>
      <c r="Z718" s="6"/>
      <c r="AA718" s="6"/>
    </row>
    <row r="719" spans="21:27" ht="15.75" customHeight="1" x14ac:dyDescent="0.2">
      <c r="U719" s="6"/>
      <c r="V719" s="6"/>
      <c r="W719" s="6"/>
      <c r="X719" s="6"/>
      <c r="Y719" s="6"/>
      <c r="Z719" s="6"/>
      <c r="AA719" s="6"/>
    </row>
    <row r="720" spans="21:27" ht="15.75" customHeight="1" x14ac:dyDescent="0.2">
      <c r="U720" s="6"/>
      <c r="V720" s="6"/>
      <c r="W720" s="6"/>
      <c r="X720" s="6"/>
      <c r="Y720" s="6"/>
      <c r="Z720" s="6"/>
      <c r="AA720" s="6"/>
    </row>
    <row r="721" spans="21:27" ht="15.75" customHeight="1" x14ac:dyDescent="0.2">
      <c r="U721" s="6"/>
      <c r="V721" s="6"/>
      <c r="W721" s="6"/>
      <c r="X721" s="6"/>
      <c r="Y721" s="6"/>
      <c r="Z721" s="6"/>
      <c r="AA721" s="6"/>
    </row>
    <row r="722" spans="21:27" ht="15.75" customHeight="1" x14ac:dyDescent="0.2">
      <c r="U722" s="6"/>
      <c r="V722" s="6"/>
      <c r="W722" s="6"/>
      <c r="X722" s="6"/>
      <c r="Y722" s="6"/>
      <c r="Z722" s="6"/>
      <c r="AA722" s="6"/>
    </row>
    <row r="723" spans="21:27" ht="15.75" customHeight="1" x14ac:dyDescent="0.2">
      <c r="U723" s="6"/>
      <c r="V723" s="6"/>
      <c r="W723" s="6"/>
      <c r="X723" s="6"/>
      <c r="Y723" s="6"/>
      <c r="Z723" s="6"/>
      <c r="AA723" s="6"/>
    </row>
    <row r="724" spans="21:27" ht="15.75" customHeight="1" x14ac:dyDescent="0.2">
      <c r="U724" s="6"/>
      <c r="V724" s="6"/>
      <c r="W724" s="6"/>
      <c r="X724" s="6"/>
      <c r="Y724" s="6"/>
      <c r="Z724" s="6"/>
      <c r="AA724" s="6"/>
    </row>
    <row r="725" spans="21:27" ht="15.75" customHeight="1" x14ac:dyDescent="0.2">
      <c r="U725" s="6"/>
      <c r="V725" s="6"/>
      <c r="W725" s="6"/>
      <c r="X725" s="6"/>
      <c r="Y725" s="6"/>
      <c r="Z725" s="6"/>
      <c r="AA725" s="6"/>
    </row>
    <row r="726" spans="21:27" ht="15.75" customHeight="1" x14ac:dyDescent="0.2">
      <c r="U726" s="6"/>
      <c r="V726" s="6"/>
      <c r="W726" s="6"/>
      <c r="X726" s="6"/>
      <c r="Y726" s="6"/>
      <c r="Z726" s="6"/>
      <c r="AA726" s="6"/>
    </row>
    <row r="727" spans="21:27" ht="15.75" customHeight="1" x14ac:dyDescent="0.2">
      <c r="U727" s="6"/>
      <c r="V727" s="6"/>
      <c r="W727" s="6"/>
      <c r="X727" s="6"/>
      <c r="Y727" s="6"/>
      <c r="Z727" s="6"/>
      <c r="AA727" s="6"/>
    </row>
    <row r="728" spans="21:27" ht="15.75" customHeight="1" x14ac:dyDescent="0.2">
      <c r="U728" s="6"/>
      <c r="V728" s="6"/>
      <c r="W728" s="6"/>
      <c r="X728" s="6"/>
      <c r="Y728" s="6"/>
      <c r="Z728" s="6"/>
      <c r="AA728" s="6"/>
    </row>
    <row r="729" spans="21:27" ht="15.75" customHeight="1" x14ac:dyDescent="0.2">
      <c r="U729" s="6"/>
      <c r="V729" s="6"/>
      <c r="W729" s="6"/>
      <c r="X729" s="6"/>
      <c r="Y729" s="6"/>
      <c r="Z729" s="6"/>
      <c r="AA729" s="6"/>
    </row>
    <row r="730" spans="21:27" ht="15.75" customHeight="1" x14ac:dyDescent="0.2">
      <c r="U730" s="6"/>
      <c r="V730" s="6"/>
      <c r="W730" s="6"/>
      <c r="X730" s="6"/>
      <c r="Y730" s="6"/>
      <c r="Z730" s="6"/>
      <c r="AA730" s="6"/>
    </row>
    <row r="731" spans="21:27" ht="15.75" customHeight="1" x14ac:dyDescent="0.2">
      <c r="U731" s="6"/>
      <c r="V731" s="6"/>
      <c r="W731" s="6"/>
      <c r="X731" s="6"/>
      <c r="Y731" s="6"/>
      <c r="Z731" s="6"/>
      <c r="AA731" s="6"/>
    </row>
    <row r="732" spans="21:27" ht="15.75" customHeight="1" x14ac:dyDescent="0.2">
      <c r="U732" s="6"/>
      <c r="V732" s="6"/>
      <c r="W732" s="6"/>
      <c r="X732" s="6"/>
      <c r="Y732" s="6"/>
      <c r="Z732" s="6"/>
      <c r="AA732" s="6"/>
    </row>
    <row r="733" spans="21:27" ht="15.75" customHeight="1" x14ac:dyDescent="0.2">
      <c r="U733" s="6"/>
      <c r="V733" s="6"/>
      <c r="W733" s="6"/>
      <c r="X733" s="6"/>
      <c r="Y733" s="6"/>
      <c r="Z733" s="6"/>
      <c r="AA733" s="6"/>
    </row>
    <row r="734" spans="21:27" ht="15.75" customHeight="1" x14ac:dyDescent="0.2">
      <c r="U734" s="6"/>
      <c r="V734" s="6"/>
      <c r="W734" s="6"/>
      <c r="X734" s="6"/>
      <c r="Y734" s="6"/>
      <c r="Z734" s="6"/>
      <c r="AA734" s="6"/>
    </row>
    <row r="735" spans="21:27" ht="15.75" customHeight="1" x14ac:dyDescent="0.2">
      <c r="U735" s="6"/>
      <c r="V735" s="6"/>
      <c r="W735" s="6"/>
      <c r="X735" s="6"/>
      <c r="Y735" s="6"/>
      <c r="Z735" s="6"/>
      <c r="AA735" s="6"/>
    </row>
    <row r="736" spans="21:27" ht="15.75" customHeight="1" x14ac:dyDescent="0.2">
      <c r="U736" s="6"/>
      <c r="V736" s="6"/>
      <c r="W736" s="6"/>
      <c r="X736" s="6"/>
      <c r="Y736" s="6"/>
      <c r="Z736" s="6"/>
      <c r="AA736" s="6"/>
    </row>
    <row r="737" spans="21:27" ht="15.75" customHeight="1" x14ac:dyDescent="0.2">
      <c r="U737" s="6"/>
      <c r="V737" s="6"/>
      <c r="W737" s="6"/>
      <c r="X737" s="6"/>
      <c r="Y737" s="6"/>
      <c r="Z737" s="6"/>
      <c r="AA737" s="6"/>
    </row>
    <row r="738" spans="21:27" ht="15.75" customHeight="1" x14ac:dyDescent="0.2">
      <c r="U738" s="6"/>
      <c r="V738" s="6"/>
      <c r="W738" s="6"/>
      <c r="X738" s="6"/>
      <c r="Y738" s="6"/>
      <c r="Z738" s="6"/>
      <c r="AA738" s="6"/>
    </row>
    <row r="739" spans="21:27" ht="15.75" customHeight="1" x14ac:dyDescent="0.2">
      <c r="U739" s="6"/>
      <c r="V739" s="6"/>
      <c r="W739" s="6"/>
      <c r="X739" s="6"/>
      <c r="Y739" s="6"/>
      <c r="Z739" s="6"/>
      <c r="AA739" s="6"/>
    </row>
    <row r="740" spans="21:27" ht="15.75" customHeight="1" x14ac:dyDescent="0.2">
      <c r="U740" s="6"/>
      <c r="V740" s="6"/>
      <c r="W740" s="6"/>
      <c r="X740" s="6"/>
      <c r="Y740" s="6"/>
      <c r="Z740" s="6"/>
      <c r="AA740" s="6"/>
    </row>
    <row r="741" spans="21:27" ht="15.75" customHeight="1" x14ac:dyDescent="0.2">
      <c r="U741" s="6"/>
      <c r="V741" s="6"/>
      <c r="W741" s="6"/>
      <c r="X741" s="6"/>
      <c r="Y741" s="6"/>
      <c r="Z741" s="6"/>
      <c r="AA741" s="6"/>
    </row>
    <row r="742" spans="21:27" ht="15.75" customHeight="1" x14ac:dyDescent="0.2">
      <c r="U742" s="6"/>
      <c r="V742" s="6"/>
      <c r="W742" s="6"/>
      <c r="X742" s="6"/>
      <c r="Y742" s="6"/>
      <c r="Z742" s="6"/>
      <c r="AA742" s="6"/>
    </row>
    <row r="743" spans="21:27" ht="15.75" customHeight="1" x14ac:dyDescent="0.2">
      <c r="U743" s="6"/>
      <c r="V743" s="6"/>
      <c r="W743" s="6"/>
      <c r="X743" s="6"/>
      <c r="Y743" s="6"/>
      <c r="Z743" s="6"/>
      <c r="AA743" s="6"/>
    </row>
    <row r="744" spans="21:27" ht="15.75" customHeight="1" x14ac:dyDescent="0.2">
      <c r="U744" s="6"/>
      <c r="V744" s="6"/>
      <c r="W744" s="6"/>
      <c r="X744" s="6"/>
      <c r="Y744" s="6"/>
      <c r="Z744" s="6"/>
      <c r="AA744" s="6"/>
    </row>
    <row r="745" spans="21:27" ht="15.75" customHeight="1" x14ac:dyDescent="0.2">
      <c r="U745" s="6"/>
      <c r="V745" s="6"/>
      <c r="W745" s="6"/>
      <c r="X745" s="6"/>
      <c r="Y745" s="6"/>
      <c r="Z745" s="6"/>
      <c r="AA745" s="6"/>
    </row>
    <row r="746" spans="21:27" ht="15.75" customHeight="1" x14ac:dyDescent="0.2">
      <c r="U746" s="6"/>
      <c r="V746" s="6"/>
      <c r="W746" s="6"/>
      <c r="X746" s="6"/>
      <c r="Y746" s="6"/>
      <c r="Z746" s="6"/>
      <c r="AA746" s="6"/>
    </row>
    <row r="747" spans="21:27" ht="15.75" customHeight="1" x14ac:dyDescent="0.2">
      <c r="U747" s="6"/>
      <c r="V747" s="6"/>
      <c r="W747" s="6"/>
      <c r="X747" s="6"/>
      <c r="Y747" s="6"/>
      <c r="Z747" s="6"/>
      <c r="AA747" s="6"/>
    </row>
    <row r="748" spans="21:27" ht="15.75" customHeight="1" x14ac:dyDescent="0.2">
      <c r="U748" s="6"/>
      <c r="V748" s="6"/>
      <c r="W748" s="6"/>
      <c r="X748" s="6"/>
      <c r="Y748" s="6"/>
      <c r="Z748" s="6"/>
      <c r="AA748" s="6"/>
    </row>
    <row r="749" spans="21:27" ht="15.75" customHeight="1" x14ac:dyDescent="0.2">
      <c r="U749" s="6"/>
      <c r="V749" s="6"/>
      <c r="W749" s="6"/>
      <c r="X749" s="6"/>
      <c r="Y749" s="6"/>
      <c r="Z749" s="6"/>
      <c r="AA749" s="6"/>
    </row>
    <row r="750" spans="21:27" ht="15.75" customHeight="1" x14ac:dyDescent="0.2">
      <c r="U750" s="6"/>
      <c r="V750" s="6"/>
      <c r="W750" s="6"/>
      <c r="X750" s="6"/>
      <c r="Y750" s="6"/>
      <c r="Z750" s="6"/>
      <c r="AA750" s="6"/>
    </row>
    <row r="751" spans="21:27" ht="15.75" customHeight="1" x14ac:dyDescent="0.2">
      <c r="U751" s="6"/>
      <c r="V751" s="6"/>
      <c r="W751" s="6"/>
      <c r="X751" s="6"/>
      <c r="Y751" s="6"/>
      <c r="Z751" s="6"/>
      <c r="AA751" s="6"/>
    </row>
    <row r="752" spans="21:27" ht="15.75" customHeight="1" x14ac:dyDescent="0.2">
      <c r="U752" s="6"/>
      <c r="V752" s="6"/>
      <c r="W752" s="6"/>
      <c r="X752" s="6"/>
      <c r="Y752" s="6"/>
      <c r="Z752" s="6"/>
      <c r="AA752" s="6"/>
    </row>
    <row r="753" spans="21:27" ht="15.75" customHeight="1" x14ac:dyDescent="0.2">
      <c r="U753" s="6"/>
      <c r="V753" s="6"/>
      <c r="W753" s="6"/>
      <c r="X753" s="6"/>
      <c r="Y753" s="6"/>
      <c r="Z753" s="6"/>
      <c r="AA753" s="6"/>
    </row>
    <row r="754" spans="21:27" ht="15.75" customHeight="1" x14ac:dyDescent="0.2">
      <c r="U754" s="6"/>
      <c r="V754" s="6"/>
      <c r="W754" s="6"/>
      <c r="X754" s="6"/>
      <c r="Y754" s="6"/>
      <c r="Z754" s="6"/>
      <c r="AA754" s="6"/>
    </row>
    <row r="755" spans="21:27" ht="15.75" customHeight="1" x14ac:dyDescent="0.2">
      <c r="U755" s="6"/>
      <c r="V755" s="6"/>
      <c r="W755" s="6"/>
      <c r="X755" s="6"/>
      <c r="Y755" s="6"/>
      <c r="Z755" s="6"/>
      <c r="AA755" s="6"/>
    </row>
    <row r="756" spans="21:27" ht="15.75" customHeight="1" x14ac:dyDescent="0.2">
      <c r="U756" s="6"/>
      <c r="V756" s="6"/>
      <c r="W756" s="6"/>
      <c r="X756" s="6"/>
      <c r="Y756" s="6"/>
      <c r="Z756" s="6"/>
      <c r="AA756" s="6"/>
    </row>
    <row r="757" spans="21:27" ht="15.75" customHeight="1" x14ac:dyDescent="0.2">
      <c r="U757" s="6"/>
      <c r="V757" s="6"/>
      <c r="W757" s="6"/>
      <c r="X757" s="6"/>
      <c r="Y757" s="6"/>
      <c r="Z757" s="6"/>
      <c r="AA757" s="6"/>
    </row>
    <row r="758" spans="21:27" ht="15.75" customHeight="1" x14ac:dyDescent="0.2">
      <c r="U758" s="6"/>
      <c r="V758" s="6"/>
      <c r="W758" s="6"/>
      <c r="X758" s="6"/>
      <c r="Y758" s="6"/>
      <c r="Z758" s="6"/>
      <c r="AA758" s="6"/>
    </row>
    <row r="759" spans="21:27" ht="15.75" customHeight="1" x14ac:dyDescent="0.2">
      <c r="U759" s="6"/>
      <c r="V759" s="6"/>
      <c r="W759" s="6"/>
      <c r="X759" s="6"/>
      <c r="Y759" s="6"/>
      <c r="Z759" s="6"/>
      <c r="AA759" s="6"/>
    </row>
    <row r="760" spans="21:27" ht="15.75" customHeight="1" x14ac:dyDescent="0.2">
      <c r="U760" s="6"/>
      <c r="V760" s="6"/>
      <c r="W760" s="6"/>
      <c r="X760" s="6"/>
      <c r="Y760" s="6"/>
      <c r="Z760" s="6"/>
      <c r="AA760" s="6"/>
    </row>
    <row r="761" spans="21:27" ht="15.75" customHeight="1" x14ac:dyDescent="0.2">
      <c r="U761" s="6"/>
      <c r="V761" s="6"/>
      <c r="W761" s="6"/>
      <c r="X761" s="6"/>
      <c r="Y761" s="6"/>
      <c r="Z761" s="6"/>
      <c r="AA761" s="6"/>
    </row>
    <row r="762" spans="21:27" ht="15.75" customHeight="1" x14ac:dyDescent="0.2">
      <c r="U762" s="6"/>
      <c r="V762" s="6"/>
      <c r="W762" s="6"/>
      <c r="X762" s="6"/>
      <c r="Y762" s="6"/>
      <c r="Z762" s="6"/>
      <c r="AA762" s="6"/>
    </row>
    <row r="763" spans="21:27" ht="15.75" customHeight="1" x14ac:dyDescent="0.2">
      <c r="U763" s="6"/>
      <c r="V763" s="6"/>
      <c r="W763" s="6"/>
      <c r="X763" s="6"/>
      <c r="Y763" s="6"/>
      <c r="Z763" s="6"/>
      <c r="AA763" s="6"/>
    </row>
    <row r="764" spans="21:27" ht="15.75" customHeight="1" x14ac:dyDescent="0.2">
      <c r="U764" s="6"/>
      <c r="V764" s="6"/>
      <c r="W764" s="6"/>
      <c r="X764" s="6"/>
      <c r="Y764" s="6"/>
      <c r="Z764" s="6"/>
      <c r="AA764" s="6"/>
    </row>
    <row r="765" spans="21:27" ht="15.75" customHeight="1" x14ac:dyDescent="0.2">
      <c r="U765" s="6"/>
      <c r="V765" s="6"/>
      <c r="W765" s="6"/>
      <c r="X765" s="6"/>
      <c r="Y765" s="6"/>
      <c r="Z765" s="6"/>
      <c r="AA765" s="6"/>
    </row>
    <row r="766" spans="21:27" ht="15.75" customHeight="1" x14ac:dyDescent="0.2">
      <c r="U766" s="6"/>
      <c r="V766" s="6"/>
      <c r="W766" s="6"/>
      <c r="X766" s="6"/>
      <c r="Y766" s="6"/>
      <c r="Z766" s="6"/>
      <c r="AA766" s="6"/>
    </row>
    <row r="767" spans="21:27" ht="15.75" customHeight="1" x14ac:dyDescent="0.2">
      <c r="U767" s="6"/>
      <c r="V767" s="6"/>
      <c r="W767" s="6"/>
      <c r="X767" s="6"/>
      <c r="Y767" s="6"/>
      <c r="Z767" s="6"/>
      <c r="AA767" s="6"/>
    </row>
    <row r="768" spans="21:27" ht="15.75" customHeight="1" x14ac:dyDescent="0.2">
      <c r="U768" s="6"/>
      <c r="V768" s="6"/>
      <c r="W768" s="6"/>
      <c r="X768" s="6"/>
      <c r="Y768" s="6"/>
      <c r="Z768" s="6"/>
      <c r="AA768" s="6"/>
    </row>
    <row r="769" spans="21:27" ht="15.75" customHeight="1" x14ac:dyDescent="0.2">
      <c r="U769" s="6"/>
      <c r="V769" s="6"/>
      <c r="W769" s="6"/>
      <c r="X769" s="6"/>
      <c r="Y769" s="6"/>
      <c r="Z769" s="6"/>
      <c r="AA769" s="6"/>
    </row>
    <row r="770" spans="21:27" ht="15.75" customHeight="1" x14ac:dyDescent="0.2">
      <c r="U770" s="6"/>
      <c r="V770" s="6"/>
      <c r="W770" s="6"/>
      <c r="X770" s="6"/>
      <c r="Y770" s="6"/>
      <c r="Z770" s="6"/>
      <c r="AA770" s="6"/>
    </row>
    <row r="771" spans="21:27" ht="15.75" customHeight="1" x14ac:dyDescent="0.2">
      <c r="U771" s="6"/>
      <c r="V771" s="6"/>
      <c r="W771" s="6"/>
      <c r="X771" s="6"/>
      <c r="Y771" s="6"/>
      <c r="Z771" s="6"/>
      <c r="AA771" s="6"/>
    </row>
    <row r="772" spans="21:27" ht="15.75" customHeight="1" x14ac:dyDescent="0.2">
      <c r="U772" s="6"/>
      <c r="V772" s="6"/>
      <c r="W772" s="6"/>
      <c r="X772" s="6"/>
      <c r="Y772" s="6"/>
      <c r="Z772" s="6"/>
      <c r="AA772" s="6"/>
    </row>
    <row r="773" spans="21:27" ht="15.75" customHeight="1" x14ac:dyDescent="0.2">
      <c r="U773" s="6"/>
      <c r="V773" s="6"/>
      <c r="W773" s="6"/>
      <c r="X773" s="6"/>
      <c r="Y773" s="6"/>
      <c r="Z773" s="6"/>
      <c r="AA773" s="6"/>
    </row>
    <row r="774" spans="21:27" ht="15.75" customHeight="1" x14ac:dyDescent="0.2">
      <c r="U774" s="6"/>
      <c r="V774" s="6"/>
      <c r="W774" s="6"/>
      <c r="X774" s="6"/>
      <c r="Y774" s="6"/>
      <c r="Z774" s="6"/>
      <c r="AA774" s="6"/>
    </row>
    <row r="775" spans="21:27" ht="15.75" customHeight="1" x14ac:dyDescent="0.2">
      <c r="U775" s="6"/>
      <c r="V775" s="6"/>
      <c r="W775" s="6"/>
      <c r="X775" s="6"/>
      <c r="Y775" s="6"/>
      <c r="Z775" s="6"/>
      <c r="AA775" s="6"/>
    </row>
    <row r="776" spans="21:27" ht="15.75" customHeight="1" x14ac:dyDescent="0.2">
      <c r="U776" s="6"/>
      <c r="V776" s="6"/>
      <c r="W776" s="6"/>
      <c r="X776" s="6"/>
      <c r="Y776" s="6"/>
      <c r="Z776" s="6"/>
      <c r="AA776" s="6"/>
    </row>
    <row r="777" spans="21:27" ht="15.75" customHeight="1" x14ac:dyDescent="0.2">
      <c r="U777" s="6"/>
      <c r="V777" s="6"/>
      <c r="W777" s="6"/>
      <c r="X777" s="6"/>
      <c r="Y777" s="6"/>
      <c r="Z777" s="6"/>
      <c r="AA777" s="6"/>
    </row>
    <row r="778" spans="21:27" ht="15.75" customHeight="1" x14ac:dyDescent="0.2">
      <c r="U778" s="6"/>
      <c r="V778" s="6"/>
      <c r="W778" s="6"/>
      <c r="X778" s="6"/>
      <c r="Y778" s="6"/>
      <c r="Z778" s="6"/>
      <c r="AA778" s="6"/>
    </row>
    <row r="779" spans="21:27" ht="15.75" customHeight="1" x14ac:dyDescent="0.2">
      <c r="U779" s="6"/>
      <c r="V779" s="6"/>
      <c r="W779" s="6"/>
      <c r="X779" s="6"/>
      <c r="Y779" s="6"/>
      <c r="Z779" s="6"/>
      <c r="AA779" s="6"/>
    </row>
    <row r="780" spans="21:27" ht="15.75" customHeight="1" x14ac:dyDescent="0.2">
      <c r="U780" s="6"/>
      <c r="V780" s="6"/>
      <c r="W780" s="6"/>
      <c r="X780" s="6"/>
      <c r="Y780" s="6"/>
      <c r="Z780" s="6"/>
      <c r="AA780" s="6"/>
    </row>
    <row r="781" spans="21:27" ht="15.75" customHeight="1" x14ac:dyDescent="0.2">
      <c r="U781" s="6"/>
      <c r="V781" s="6"/>
      <c r="W781" s="6"/>
      <c r="X781" s="6"/>
      <c r="Y781" s="6"/>
      <c r="Z781" s="6"/>
      <c r="AA781" s="6"/>
    </row>
    <row r="782" spans="21:27" ht="15.75" customHeight="1" x14ac:dyDescent="0.2">
      <c r="U782" s="6"/>
      <c r="V782" s="6"/>
      <c r="W782" s="6"/>
      <c r="X782" s="6"/>
      <c r="Y782" s="6"/>
      <c r="Z782" s="6"/>
      <c r="AA782" s="6"/>
    </row>
    <row r="783" spans="21:27" ht="15.75" customHeight="1" x14ac:dyDescent="0.2">
      <c r="U783" s="6"/>
      <c r="V783" s="6"/>
      <c r="W783" s="6"/>
      <c r="X783" s="6"/>
      <c r="Y783" s="6"/>
      <c r="Z783" s="6"/>
      <c r="AA783" s="6"/>
    </row>
    <row r="784" spans="21:27" ht="15.75" customHeight="1" x14ac:dyDescent="0.2">
      <c r="U784" s="6"/>
      <c r="V784" s="6"/>
      <c r="W784" s="6"/>
      <c r="X784" s="6"/>
      <c r="Y784" s="6"/>
      <c r="Z784" s="6"/>
      <c r="AA784" s="6"/>
    </row>
    <row r="785" spans="21:27" ht="15.75" customHeight="1" x14ac:dyDescent="0.2">
      <c r="U785" s="6"/>
      <c r="V785" s="6"/>
      <c r="W785" s="6"/>
      <c r="X785" s="6"/>
      <c r="Y785" s="6"/>
      <c r="Z785" s="6"/>
      <c r="AA785" s="6"/>
    </row>
    <row r="786" spans="21:27" ht="15.75" customHeight="1" x14ac:dyDescent="0.2">
      <c r="U786" s="6"/>
      <c r="V786" s="6"/>
      <c r="W786" s="6"/>
      <c r="X786" s="6"/>
      <c r="Y786" s="6"/>
      <c r="Z786" s="6"/>
      <c r="AA786" s="6"/>
    </row>
    <row r="787" spans="21:27" ht="15.75" customHeight="1" x14ac:dyDescent="0.2">
      <c r="U787" s="6"/>
      <c r="V787" s="6"/>
      <c r="W787" s="6"/>
      <c r="X787" s="6"/>
      <c r="Y787" s="6"/>
      <c r="Z787" s="6"/>
      <c r="AA787" s="6"/>
    </row>
    <row r="788" spans="21:27" ht="15.75" customHeight="1" x14ac:dyDescent="0.2">
      <c r="U788" s="6"/>
      <c r="V788" s="6"/>
      <c r="W788" s="6"/>
      <c r="X788" s="6"/>
      <c r="Y788" s="6"/>
      <c r="Z788" s="6"/>
      <c r="AA788" s="6"/>
    </row>
    <row r="789" spans="21:27" ht="15.75" customHeight="1" x14ac:dyDescent="0.2">
      <c r="U789" s="6"/>
      <c r="V789" s="6"/>
      <c r="W789" s="6"/>
      <c r="X789" s="6"/>
      <c r="Y789" s="6"/>
      <c r="Z789" s="6"/>
      <c r="AA789" s="6"/>
    </row>
    <row r="790" spans="21:27" ht="15.75" customHeight="1" x14ac:dyDescent="0.2">
      <c r="U790" s="6"/>
      <c r="V790" s="6"/>
      <c r="W790" s="6"/>
      <c r="X790" s="6"/>
      <c r="Y790" s="6"/>
      <c r="Z790" s="6"/>
      <c r="AA790" s="6"/>
    </row>
    <row r="791" spans="21:27" ht="15.75" customHeight="1" x14ac:dyDescent="0.2">
      <c r="U791" s="6"/>
      <c r="V791" s="6"/>
      <c r="W791" s="6"/>
      <c r="X791" s="6"/>
      <c r="Y791" s="6"/>
      <c r="Z791" s="6"/>
      <c r="AA791" s="6"/>
    </row>
    <row r="792" spans="21:27" ht="15.75" customHeight="1" x14ac:dyDescent="0.2">
      <c r="U792" s="6"/>
      <c r="V792" s="6"/>
      <c r="W792" s="6"/>
      <c r="X792" s="6"/>
      <c r="Y792" s="6"/>
      <c r="Z792" s="6"/>
      <c r="AA792" s="6"/>
    </row>
    <row r="793" spans="21:27" ht="15.75" customHeight="1" x14ac:dyDescent="0.2">
      <c r="U793" s="6"/>
      <c r="V793" s="6"/>
      <c r="W793" s="6"/>
      <c r="X793" s="6"/>
      <c r="Y793" s="6"/>
      <c r="Z793" s="6"/>
      <c r="AA793" s="6"/>
    </row>
    <row r="794" spans="21:27" ht="15.75" customHeight="1" x14ac:dyDescent="0.2">
      <c r="U794" s="6"/>
      <c r="V794" s="6"/>
      <c r="W794" s="6"/>
      <c r="X794" s="6"/>
      <c r="Y794" s="6"/>
      <c r="Z794" s="6"/>
      <c r="AA794" s="6"/>
    </row>
    <row r="795" spans="21:27" ht="15.75" customHeight="1" x14ac:dyDescent="0.2">
      <c r="U795" s="6"/>
      <c r="V795" s="6"/>
      <c r="W795" s="6"/>
      <c r="X795" s="6"/>
      <c r="Y795" s="6"/>
      <c r="Z795" s="6"/>
      <c r="AA795" s="6"/>
    </row>
    <row r="796" spans="21:27" ht="15.75" customHeight="1" x14ac:dyDescent="0.2">
      <c r="U796" s="6"/>
      <c r="V796" s="6"/>
      <c r="W796" s="6"/>
      <c r="X796" s="6"/>
      <c r="Y796" s="6"/>
      <c r="Z796" s="6"/>
      <c r="AA796" s="6"/>
    </row>
    <row r="797" spans="21:27" ht="15.75" customHeight="1" x14ac:dyDescent="0.2">
      <c r="U797" s="6"/>
      <c r="V797" s="6"/>
      <c r="W797" s="6"/>
      <c r="X797" s="6"/>
      <c r="Y797" s="6"/>
      <c r="Z797" s="6"/>
      <c r="AA797" s="6"/>
    </row>
    <row r="798" spans="21:27" ht="15.75" customHeight="1" x14ac:dyDescent="0.2">
      <c r="U798" s="6"/>
      <c r="V798" s="6"/>
      <c r="W798" s="6"/>
      <c r="X798" s="6"/>
      <c r="Y798" s="6"/>
      <c r="Z798" s="6"/>
      <c r="AA798" s="6"/>
    </row>
    <row r="799" spans="21:27" ht="15.75" customHeight="1" x14ac:dyDescent="0.2">
      <c r="U799" s="6"/>
      <c r="V799" s="6"/>
      <c r="W799" s="6"/>
      <c r="X799" s="6"/>
      <c r="Y799" s="6"/>
      <c r="Z799" s="6"/>
      <c r="AA799" s="6"/>
    </row>
    <row r="800" spans="21:27" ht="15.75" customHeight="1" x14ac:dyDescent="0.2">
      <c r="U800" s="6"/>
      <c r="V800" s="6"/>
      <c r="W800" s="6"/>
      <c r="X800" s="6"/>
      <c r="Y800" s="6"/>
      <c r="Z800" s="6"/>
      <c r="AA800" s="6"/>
    </row>
    <row r="801" spans="21:27" ht="15.75" customHeight="1" x14ac:dyDescent="0.2">
      <c r="U801" s="6"/>
      <c r="V801" s="6"/>
      <c r="W801" s="6"/>
      <c r="X801" s="6"/>
      <c r="Y801" s="6"/>
      <c r="Z801" s="6"/>
      <c r="AA801" s="6"/>
    </row>
    <row r="802" spans="21:27" ht="15.75" customHeight="1" x14ac:dyDescent="0.2">
      <c r="U802" s="6"/>
      <c r="V802" s="6"/>
      <c r="W802" s="6"/>
      <c r="X802" s="6"/>
      <c r="Y802" s="6"/>
      <c r="Z802" s="6"/>
      <c r="AA802" s="6"/>
    </row>
    <row r="803" spans="21:27" ht="15.75" customHeight="1" x14ac:dyDescent="0.2">
      <c r="U803" s="6"/>
      <c r="V803" s="6"/>
      <c r="W803" s="6"/>
      <c r="X803" s="6"/>
      <c r="Y803" s="6"/>
      <c r="Z803" s="6"/>
      <c r="AA803" s="6"/>
    </row>
    <row r="804" spans="21:27" ht="15.75" customHeight="1" x14ac:dyDescent="0.2">
      <c r="U804" s="6"/>
      <c r="V804" s="6"/>
      <c r="W804" s="6"/>
      <c r="X804" s="6"/>
      <c r="Y804" s="6"/>
      <c r="Z804" s="6"/>
      <c r="AA804" s="6"/>
    </row>
    <row r="805" spans="21:27" ht="15.75" customHeight="1" x14ac:dyDescent="0.2">
      <c r="U805" s="6"/>
      <c r="V805" s="6"/>
      <c r="W805" s="6"/>
      <c r="X805" s="6"/>
      <c r="Y805" s="6"/>
      <c r="Z805" s="6"/>
      <c r="AA805" s="6"/>
    </row>
    <row r="806" spans="21:27" ht="15.75" customHeight="1" x14ac:dyDescent="0.2">
      <c r="U806" s="6"/>
      <c r="V806" s="6"/>
      <c r="W806" s="6"/>
      <c r="X806" s="6"/>
      <c r="Y806" s="6"/>
      <c r="Z806" s="6"/>
      <c r="AA806" s="6"/>
    </row>
    <row r="807" spans="21:27" ht="15.75" customHeight="1" x14ac:dyDescent="0.2">
      <c r="U807" s="6"/>
      <c r="V807" s="6"/>
      <c r="W807" s="6"/>
      <c r="X807" s="6"/>
      <c r="Y807" s="6"/>
      <c r="Z807" s="6"/>
      <c r="AA807" s="6"/>
    </row>
    <row r="808" spans="21:27" ht="15.75" customHeight="1" x14ac:dyDescent="0.2">
      <c r="U808" s="6"/>
      <c r="V808" s="6"/>
      <c r="W808" s="6"/>
      <c r="X808" s="6"/>
      <c r="Y808" s="6"/>
      <c r="Z808" s="6"/>
      <c r="AA808" s="6"/>
    </row>
    <row r="809" spans="21:27" ht="15.75" customHeight="1" x14ac:dyDescent="0.2">
      <c r="U809" s="6"/>
      <c r="V809" s="6"/>
      <c r="W809" s="6"/>
      <c r="X809" s="6"/>
      <c r="Y809" s="6"/>
      <c r="Z809" s="6"/>
      <c r="AA809" s="6"/>
    </row>
    <row r="810" spans="21:27" ht="15.75" customHeight="1" x14ac:dyDescent="0.2">
      <c r="U810" s="6"/>
      <c r="V810" s="6"/>
      <c r="W810" s="6"/>
      <c r="X810" s="6"/>
      <c r="Y810" s="6"/>
      <c r="Z810" s="6"/>
      <c r="AA810" s="6"/>
    </row>
    <row r="811" spans="21:27" ht="15.75" customHeight="1" x14ac:dyDescent="0.2">
      <c r="U811" s="6"/>
      <c r="V811" s="6"/>
      <c r="W811" s="6"/>
      <c r="X811" s="6"/>
      <c r="Y811" s="6"/>
      <c r="Z811" s="6"/>
      <c r="AA811" s="6"/>
    </row>
    <row r="812" spans="21:27" ht="15.75" customHeight="1" x14ac:dyDescent="0.2">
      <c r="U812" s="6"/>
      <c r="V812" s="6"/>
      <c r="W812" s="6"/>
      <c r="X812" s="6"/>
      <c r="Y812" s="6"/>
      <c r="Z812" s="6"/>
      <c r="AA812" s="6"/>
    </row>
    <row r="813" spans="21:27" ht="15.75" customHeight="1" x14ac:dyDescent="0.2">
      <c r="U813" s="6"/>
      <c r="V813" s="6"/>
      <c r="W813" s="6"/>
      <c r="X813" s="6"/>
      <c r="Y813" s="6"/>
      <c r="Z813" s="6"/>
      <c r="AA813" s="6"/>
    </row>
    <row r="814" spans="21:27" ht="15.75" customHeight="1" x14ac:dyDescent="0.2">
      <c r="U814" s="6"/>
      <c r="V814" s="6"/>
      <c r="W814" s="6"/>
      <c r="X814" s="6"/>
      <c r="Y814" s="6"/>
      <c r="Z814" s="6"/>
      <c r="AA814" s="6"/>
    </row>
    <row r="815" spans="21:27" ht="15.75" customHeight="1" x14ac:dyDescent="0.2">
      <c r="U815" s="6"/>
      <c r="V815" s="6"/>
      <c r="W815" s="6"/>
      <c r="X815" s="6"/>
      <c r="Y815" s="6"/>
      <c r="Z815" s="6"/>
      <c r="AA815" s="6"/>
    </row>
    <row r="816" spans="21:27" ht="15.75" customHeight="1" x14ac:dyDescent="0.2">
      <c r="U816" s="6"/>
      <c r="V816" s="6"/>
      <c r="W816" s="6"/>
      <c r="X816" s="6"/>
      <c r="Y816" s="6"/>
      <c r="Z816" s="6"/>
      <c r="AA816" s="6"/>
    </row>
    <row r="817" spans="21:27" ht="15.75" customHeight="1" x14ac:dyDescent="0.2">
      <c r="U817" s="6"/>
      <c r="V817" s="6"/>
      <c r="W817" s="6"/>
      <c r="X817" s="6"/>
      <c r="Y817" s="6"/>
      <c r="Z817" s="6"/>
      <c r="AA817" s="6"/>
    </row>
    <row r="818" spans="21:27" ht="15.75" customHeight="1" x14ac:dyDescent="0.2">
      <c r="U818" s="6"/>
      <c r="V818" s="6"/>
      <c r="W818" s="6"/>
      <c r="X818" s="6"/>
      <c r="Y818" s="6"/>
      <c r="Z818" s="6"/>
      <c r="AA818" s="6"/>
    </row>
    <row r="819" spans="21:27" ht="15.75" customHeight="1" x14ac:dyDescent="0.2">
      <c r="U819" s="6"/>
      <c r="V819" s="6"/>
      <c r="W819" s="6"/>
      <c r="X819" s="6"/>
      <c r="Y819" s="6"/>
      <c r="Z819" s="6"/>
      <c r="AA819" s="6"/>
    </row>
    <row r="820" spans="21:27" ht="15.75" customHeight="1" x14ac:dyDescent="0.2">
      <c r="U820" s="6"/>
      <c r="V820" s="6"/>
      <c r="W820" s="6"/>
      <c r="X820" s="6"/>
      <c r="Y820" s="6"/>
      <c r="Z820" s="6"/>
      <c r="AA820" s="6"/>
    </row>
    <row r="821" spans="21:27" ht="15.75" customHeight="1" x14ac:dyDescent="0.2">
      <c r="U821" s="6"/>
      <c r="V821" s="6"/>
      <c r="W821" s="6"/>
      <c r="X821" s="6"/>
      <c r="Y821" s="6"/>
      <c r="Z821" s="6"/>
      <c r="AA821" s="6"/>
    </row>
    <row r="822" spans="21:27" ht="15.75" customHeight="1" x14ac:dyDescent="0.2">
      <c r="U822" s="6"/>
      <c r="V822" s="6"/>
      <c r="W822" s="6"/>
      <c r="X822" s="6"/>
      <c r="Y822" s="6"/>
      <c r="Z822" s="6"/>
      <c r="AA822" s="6"/>
    </row>
    <row r="823" spans="21:27" ht="15.75" customHeight="1" x14ac:dyDescent="0.2">
      <c r="U823" s="6"/>
      <c r="V823" s="6"/>
      <c r="W823" s="6"/>
      <c r="X823" s="6"/>
      <c r="Y823" s="6"/>
      <c r="Z823" s="6"/>
      <c r="AA823" s="6"/>
    </row>
    <row r="824" spans="21:27" ht="15.75" customHeight="1" x14ac:dyDescent="0.2">
      <c r="U824" s="6"/>
      <c r="V824" s="6"/>
      <c r="W824" s="6"/>
      <c r="X824" s="6"/>
      <c r="Y824" s="6"/>
      <c r="Z824" s="6"/>
      <c r="AA824" s="6"/>
    </row>
    <row r="825" spans="21:27" ht="15.75" customHeight="1" x14ac:dyDescent="0.2">
      <c r="U825" s="6"/>
      <c r="V825" s="6"/>
      <c r="W825" s="6"/>
      <c r="X825" s="6"/>
      <c r="Y825" s="6"/>
      <c r="Z825" s="6"/>
      <c r="AA825" s="6"/>
    </row>
    <row r="826" spans="21:27" ht="15.75" customHeight="1" x14ac:dyDescent="0.2">
      <c r="U826" s="6"/>
      <c r="V826" s="6"/>
      <c r="W826" s="6"/>
      <c r="X826" s="6"/>
      <c r="Y826" s="6"/>
      <c r="Z826" s="6"/>
      <c r="AA826" s="6"/>
    </row>
    <row r="827" spans="21:27" ht="15.75" customHeight="1" x14ac:dyDescent="0.2">
      <c r="U827" s="6"/>
      <c r="V827" s="6"/>
      <c r="W827" s="6"/>
      <c r="X827" s="6"/>
      <c r="Y827" s="6"/>
      <c r="Z827" s="6"/>
      <c r="AA827" s="6"/>
    </row>
    <row r="828" spans="21:27" ht="15.75" customHeight="1" x14ac:dyDescent="0.2">
      <c r="U828" s="6"/>
      <c r="V828" s="6"/>
      <c r="W828" s="6"/>
      <c r="X828" s="6"/>
      <c r="Y828" s="6"/>
      <c r="Z828" s="6"/>
      <c r="AA828" s="6"/>
    </row>
    <row r="829" spans="21:27" ht="15.75" customHeight="1" x14ac:dyDescent="0.2">
      <c r="U829" s="6"/>
      <c r="V829" s="6"/>
      <c r="W829" s="6"/>
      <c r="X829" s="6"/>
      <c r="Y829" s="6"/>
      <c r="Z829" s="6"/>
      <c r="AA829" s="6"/>
    </row>
    <row r="830" spans="21:27" ht="15.75" customHeight="1" x14ac:dyDescent="0.2">
      <c r="U830" s="6"/>
      <c r="V830" s="6"/>
      <c r="W830" s="6"/>
      <c r="X830" s="6"/>
      <c r="Y830" s="6"/>
      <c r="Z830" s="6"/>
      <c r="AA830" s="6"/>
    </row>
    <row r="831" spans="21:27" ht="15.75" customHeight="1" x14ac:dyDescent="0.2">
      <c r="U831" s="6"/>
      <c r="V831" s="6"/>
      <c r="W831" s="6"/>
      <c r="X831" s="6"/>
      <c r="Y831" s="6"/>
      <c r="Z831" s="6"/>
      <c r="AA831" s="6"/>
    </row>
    <row r="832" spans="21:27" ht="15.75" customHeight="1" x14ac:dyDescent="0.2">
      <c r="U832" s="6"/>
      <c r="V832" s="6"/>
      <c r="W832" s="6"/>
      <c r="X832" s="6"/>
      <c r="Y832" s="6"/>
      <c r="Z832" s="6"/>
      <c r="AA832" s="6"/>
    </row>
    <row r="833" spans="21:27" ht="15.75" customHeight="1" x14ac:dyDescent="0.2">
      <c r="U833" s="6"/>
      <c r="V833" s="6"/>
      <c r="W833" s="6"/>
      <c r="X833" s="6"/>
      <c r="Y833" s="6"/>
      <c r="Z833" s="6"/>
      <c r="AA833" s="6"/>
    </row>
    <row r="834" spans="21:27" ht="15.75" customHeight="1" x14ac:dyDescent="0.2">
      <c r="U834" s="6"/>
      <c r="V834" s="6"/>
      <c r="W834" s="6"/>
      <c r="X834" s="6"/>
      <c r="Y834" s="6"/>
      <c r="Z834" s="6"/>
      <c r="AA834" s="6"/>
    </row>
    <row r="835" spans="21:27" ht="15.75" customHeight="1" x14ac:dyDescent="0.2">
      <c r="U835" s="6"/>
      <c r="V835" s="6"/>
      <c r="W835" s="6"/>
      <c r="X835" s="6"/>
      <c r="Y835" s="6"/>
      <c r="Z835" s="6"/>
      <c r="AA835" s="6"/>
    </row>
    <row r="836" spans="21:27" ht="15.75" customHeight="1" x14ac:dyDescent="0.2">
      <c r="U836" s="6"/>
      <c r="V836" s="6"/>
      <c r="W836" s="6"/>
      <c r="X836" s="6"/>
      <c r="Y836" s="6"/>
      <c r="Z836" s="6"/>
      <c r="AA836" s="6"/>
    </row>
    <row r="837" spans="21:27" ht="15.75" customHeight="1" x14ac:dyDescent="0.2">
      <c r="U837" s="6"/>
      <c r="V837" s="6"/>
      <c r="W837" s="6"/>
      <c r="X837" s="6"/>
      <c r="Y837" s="6"/>
      <c r="Z837" s="6"/>
      <c r="AA837" s="6"/>
    </row>
    <row r="838" spans="21:27" ht="15.75" customHeight="1" x14ac:dyDescent="0.2">
      <c r="U838" s="6"/>
      <c r="V838" s="6"/>
      <c r="W838" s="6"/>
      <c r="X838" s="6"/>
      <c r="Y838" s="6"/>
      <c r="Z838" s="6"/>
      <c r="AA838" s="6"/>
    </row>
    <row r="839" spans="21:27" ht="15.75" customHeight="1" x14ac:dyDescent="0.2">
      <c r="U839" s="6"/>
      <c r="V839" s="6"/>
      <c r="W839" s="6"/>
      <c r="X839" s="6"/>
      <c r="Y839" s="6"/>
      <c r="Z839" s="6"/>
      <c r="AA839" s="6"/>
    </row>
    <row r="840" spans="21:27" ht="15.75" customHeight="1" x14ac:dyDescent="0.2">
      <c r="U840" s="6"/>
      <c r="V840" s="6"/>
      <c r="W840" s="6"/>
      <c r="X840" s="6"/>
      <c r="Y840" s="6"/>
      <c r="Z840" s="6"/>
      <c r="AA840" s="6"/>
    </row>
    <row r="841" spans="21:27" ht="15.75" customHeight="1" x14ac:dyDescent="0.2">
      <c r="U841" s="6"/>
      <c r="V841" s="6"/>
      <c r="W841" s="6"/>
      <c r="X841" s="6"/>
      <c r="Y841" s="6"/>
      <c r="Z841" s="6"/>
      <c r="AA841" s="6"/>
    </row>
    <row r="842" spans="21:27" ht="15.75" customHeight="1" x14ac:dyDescent="0.2">
      <c r="U842" s="6"/>
      <c r="V842" s="6"/>
      <c r="W842" s="6"/>
      <c r="X842" s="6"/>
      <c r="Y842" s="6"/>
      <c r="Z842" s="6"/>
      <c r="AA842" s="6"/>
    </row>
    <row r="843" spans="21:27" ht="15.75" customHeight="1" x14ac:dyDescent="0.2">
      <c r="U843" s="6"/>
      <c r="V843" s="6"/>
      <c r="W843" s="6"/>
      <c r="X843" s="6"/>
      <c r="Y843" s="6"/>
      <c r="Z843" s="6"/>
      <c r="AA843" s="6"/>
    </row>
    <row r="844" spans="21:27" ht="15.75" customHeight="1" x14ac:dyDescent="0.2">
      <c r="U844" s="6"/>
      <c r="V844" s="6"/>
      <c r="W844" s="6"/>
      <c r="X844" s="6"/>
      <c r="Y844" s="6"/>
      <c r="Z844" s="6"/>
      <c r="AA844" s="6"/>
    </row>
    <row r="845" spans="21:27" ht="15.75" customHeight="1" x14ac:dyDescent="0.2">
      <c r="U845" s="6"/>
      <c r="V845" s="6"/>
      <c r="W845" s="6"/>
      <c r="X845" s="6"/>
      <c r="Y845" s="6"/>
      <c r="Z845" s="6"/>
      <c r="AA845" s="6"/>
    </row>
    <row r="846" spans="21:27" ht="15.75" customHeight="1" x14ac:dyDescent="0.2">
      <c r="U846" s="6"/>
      <c r="V846" s="6"/>
      <c r="W846" s="6"/>
      <c r="X846" s="6"/>
      <c r="Y846" s="6"/>
      <c r="Z846" s="6"/>
      <c r="AA846" s="6"/>
    </row>
    <row r="847" spans="21:27" ht="15.75" customHeight="1" x14ac:dyDescent="0.2">
      <c r="U847" s="6"/>
      <c r="V847" s="6"/>
      <c r="W847" s="6"/>
      <c r="X847" s="6"/>
      <c r="Y847" s="6"/>
      <c r="Z847" s="6"/>
      <c r="AA847" s="6"/>
    </row>
    <row r="848" spans="21:27" ht="15.75" customHeight="1" x14ac:dyDescent="0.2">
      <c r="U848" s="6"/>
      <c r="V848" s="6"/>
      <c r="W848" s="6"/>
      <c r="X848" s="6"/>
      <c r="Y848" s="6"/>
      <c r="Z848" s="6"/>
      <c r="AA848" s="6"/>
    </row>
    <row r="849" spans="21:27" ht="15.75" customHeight="1" x14ac:dyDescent="0.2">
      <c r="U849" s="6"/>
      <c r="V849" s="6"/>
      <c r="W849" s="6"/>
      <c r="X849" s="6"/>
      <c r="Y849" s="6"/>
      <c r="Z849" s="6"/>
      <c r="AA849" s="6"/>
    </row>
    <row r="850" spans="21:27" ht="15.75" customHeight="1" x14ac:dyDescent="0.2">
      <c r="U850" s="6"/>
      <c r="V850" s="6"/>
      <c r="W850" s="6"/>
      <c r="X850" s="6"/>
      <c r="Y850" s="6"/>
      <c r="Z850" s="6"/>
      <c r="AA850" s="6"/>
    </row>
    <row r="851" spans="21:27" ht="15.75" customHeight="1" x14ac:dyDescent="0.2">
      <c r="U851" s="6"/>
      <c r="V851" s="6"/>
      <c r="W851" s="6"/>
      <c r="X851" s="6"/>
      <c r="Y851" s="6"/>
      <c r="Z851" s="6"/>
      <c r="AA851" s="6"/>
    </row>
    <row r="852" spans="21:27" ht="15.75" customHeight="1" x14ac:dyDescent="0.2">
      <c r="U852" s="6"/>
      <c r="V852" s="6"/>
      <c r="W852" s="6"/>
      <c r="X852" s="6"/>
      <c r="Y852" s="6"/>
      <c r="Z852" s="6"/>
      <c r="AA852" s="6"/>
    </row>
    <row r="853" spans="21:27" ht="15.75" customHeight="1" x14ac:dyDescent="0.2">
      <c r="U853" s="6"/>
      <c r="V853" s="6"/>
      <c r="W853" s="6"/>
      <c r="X853" s="6"/>
      <c r="Y853" s="6"/>
      <c r="Z853" s="6"/>
      <c r="AA853" s="6"/>
    </row>
    <row r="854" spans="21:27" ht="15.75" customHeight="1" x14ac:dyDescent="0.2">
      <c r="U854" s="6"/>
      <c r="V854" s="6"/>
      <c r="W854" s="6"/>
      <c r="X854" s="6"/>
      <c r="Y854" s="6"/>
      <c r="Z854" s="6"/>
      <c r="AA854" s="6"/>
    </row>
    <row r="855" spans="21:27" ht="15.75" customHeight="1" x14ac:dyDescent="0.2">
      <c r="U855" s="6"/>
      <c r="V855" s="6"/>
      <c r="W855" s="6"/>
      <c r="X855" s="6"/>
      <c r="Y855" s="6"/>
      <c r="Z855" s="6"/>
      <c r="AA855" s="6"/>
    </row>
    <row r="856" spans="21:27" ht="15.75" customHeight="1" x14ac:dyDescent="0.2">
      <c r="U856" s="6"/>
      <c r="V856" s="6"/>
      <c r="W856" s="6"/>
      <c r="X856" s="6"/>
      <c r="Y856" s="6"/>
      <c r="Z856" s="6"/>
      <c r="AA856" s="6"/>
    </row>
    <row r="857" spans="21:27" ht="15.75" customHeight="1" x14ac:dyDescent="0.2">
      <c r="U857" s="6"/>
      <c r="V857" s="6"/>
      <c r="W857" s="6"/>
      <c r="X857" s="6"/>
      <c r="Y857" s="6"/>
      <c r="Z857" s="6"/>
      <c r="AA857" s="6"/>
    </row>
    <row r="858" spans="21:27" ht="15.75" customHeight="1" x14ac:dyDescent="0.2">
      <c r="U858" s="6"/>
      <c r="V858" s="6"/>
      <c r="W858" s="6"/>
      <c r="X858" s="6"/>
      <c r="Y858" s="6"/>
      <c r="Z858" s="6"/>
      <c r="AA858" s="6"/>
    </row>
    <row r="859" spans="21:27" ht="15.75" customHeight="1" x14ac:dyDescent="0.2">
      <c r="U859" s="6"/>
      <c r="V859" s="6"/>
      <c r="W859" s="6"/>
      <c r="X859" s="6"/>
      <c r="Y859" s="6"/>
      <c r="Z859" s="6"/>
      <c r="AA859" s="6"/>
    </row>
    <row r="860" spans="21:27" ht="15.75" customHeight="1" x14ac:dyDescent="0.2">
      <c r="U860" s="6"/>
      <c r="V860" s="6"/>
      <c r="W860" s="6"/>
      <c r="X860" s="6"/>
      <c r="Y860" s="6"/>
      <c r="Z860" s="6"/>
      <c r="AA860" s="6"/>
    </row>
    <row r="861" spans="21:27" ht="15.75" customHeight="1" x14ac:dyDescent="0.2">
      <c r="U861" s="6"/>
      <c r="V861" s="6"/>
      <c r="W861" s="6"/>
      <c r="X861" s="6"/>
      <c r="Y861" s="6"/>
      <c r="Z861" s="6"/>
      <c r="AA861" s="6"/>
    </row>
    <row r="862" spans="21:27" ht="15.75" customHeight="1" x14ac:dyDescent="0.2">
      <c r="U862" s="6"/>
      <c r="V862" s="6"/>
      <c r="W862" s="6"/>
      <c r="X862" s="6"/>
      <c r="Y862" s="6"/>
      <c r="Z862" s="6"/>
      <c r="AA862" s="6"/>
    </row>
    <row r="863" spans="21:27" ht="15.75" customHeight="1" x14ac:dyDescent="0.2">
      <c r="U863" s="6"/>
      <c r="V863" s="6"/>
      <c r="W863" s="6"/>
      <c r="X863" s="6"/>
      <c r="Y863" s="6"/>
      <c r="Z863" s="6"/>
      <c r="AA863" s="6"/>
    </row>
    <row r="864" spans="21:27" ht="15.75" customHeight="1" x14ac:dyDescent="0.2">
      <c r="U864" s="6"/>
      <c r="V864" s="6"/>
      <c r="W864" s="6"/>
      <c r="X864" s="6"/>
      <c r="Y864" s="6"/>
      <c r="Z864" s="6"/>
      <c r="AA864" s="6"/>
    </row>
    <row r="865" spans="21:27" ht="15.75" customHeight="1" x14ac:dyDescent="0.2">
      <c r="U865" s="6"/>
      <c r="V865" s="6"/>
      <c r="W865" s="6"/>
      <c r="X865" s="6"/>
      <c r="Y865" s="6"/>
      <c r="Z865" s="6"/>
      <c r="AA865" s="6"/>
    </row>
    <row r="866" spans="21:27" ht="15.75" customHeight="1" x14ac:dyDescent="0.2">
      <c r="U866" s="6"/>
      <c r="V866" s="6"/>
      <c r="W866" s="6"/>
      <c r="X866" s="6"/>
      <c r="Y866" s="6"/>
      <c r="Z866" s="6"/>
      <c r="AA866" s="6"/>
    </row>
    <row r="867" spans="21:27" ht="15.75" customHeight="1" x14ac:dyDescent="0.2">
      <c r="U867" s="6"/>
      <c r="V867" s="6"/>
      <c r="W867" s="6"/>
      <c r="X867" s="6"/>
      <c r="Y867" s="6"/>
      <c r="Z867" s="6"/>
      <c r="AA867" s="6"/>
    </row>
    <row r="868" spans="21:27" ht="15.75" customHeight="1" x14ac:dyDescent="0.2">
      <c r="U868" s="6"/>
      <c r="V868" s="6"/>
      <c r="W868" s="6"/>
      <c r="X868" s="6"/>
      <c r="Y868" s="6"/>
      <c r="Z868" s="6"/>
      <c r="AA868" s="6"/>
    </row>
    <row r="869" spans="21:27" ht="15.75" customHeight="1" x14ac:dyDescent="0.2">
      <c r="U869" s="6"/>
      <c r="V869" s="6"/>
      <c r="W869" s="6"/>
      <c r="X869" s="6"/>
      <c r="Y869" s="6"/>
      <c r="Z869" s="6"/>
      <c r="AA869" s="6"/>
    </row>
    <row r="870" spans="21:27" ht="15.75" customHeight="1" x14ac:dyDescent="0.2">
      <c r="U870" s="6"/>
      <c r="V870" s="6"/>
      <c r="W870" s="6"/>
      <c r="X870" s="6"/>
      <c r="Y870" s="6"/>
      <c r="Z870" s="6"/>
      <c r="AA870" s="6"/>
    </row>
    <row r="871" spans="21:27" ht="15.75" customHeight="1" x14ac:dyDescent="0.2">
      <c r="U871" s="6"/>
      <c r="V871" s="6"/>
      <c r="W871" s="6"/>
      <c r="X871" s="6"/>
      <c r="Y871" s="6"/>
      <c r="Z871" s="6"/>
      <c r="AA871" s="6"/>
    </row>
    <row r="872" spans="21:27" ht="15.75" customHeight="1" x14ac:dyDescent="0.2">
      <c r="U872" s="6"/>
      <c r="V872" s="6"/>
      <c r="W872" s="6"/>
      <c r="X872" s="6"/>
      <c r="Y872" s="6"/>
      <c r="Z872" s="6"/>
      <c r="AA872" s="6"/>
    </row>
    <row r="873" spans="21:27" ht="15.75" customHeight="1" x14ac:dyDescent="0.2">
      <c r="U873" s="6"/>
      <c r="V873" s="6"/>
      <c r="W873" s="6"/>
      <c r="X873" s="6"/>
      <c r="Y873" s="6"/>
      <c r="Z873" s="6"/>
      <c r="AA873" s="6"/>
    </row>
    <row r="874" spans="21:27" ht="15.75" customHeight="1" x14ac:dyDescent="0.2">
      <c r="U874" s="6"/>
      <c r="V874" s="6"/>
      <c r="W874" s="6"/>
      <c r="X874" s="6"/>
      <c r="Y874" s="6"/>
      <c r="Z874" s="6"/>
      <c r="AA874" s="6"/>
    </row>
    <row r="875" spans="21:27" ht="15.75" customHeight="1" x14ac:dyDescent="0.2">
      <c r="U875" s="6"/>
      <c r="V875" s="6"/>
      <c r="W875" s="6"/>
      <c r="X875" s="6"/>
      <c r="Y875" s="6"/>
      <c r="Z875" s="6"/>
      <c r="AA875" s="6"/>
    </row>
    <row r="876" spans="21:27" ht="15.75" customHeight="1" x14ac:dyDescent="0.2">
      <c r="U876" s="6"/>
      <c r="V876" s="6"/>
      <c r="W876" s="6"/>
      <c r="X876" s="6"/>
      <c r="Y876" s="6"/>
      <c r="Z876" s="6"/>
      <c r="AA876" s="6"/>
    </row>
    <row r="877" spans="21:27" ht="15.75" customHeight="1" x14ac:dyDescent="0.2">
      <c r="U877" s="6"/>
      <c r="V877" s="6"/>
      <c r="W877" s="6"/>
      <c r="X877" s="6"/>
      <c r="Y877" s="6"/>
      <c r="Z877" s="6"/>
      <c r="AA877" s="6"/>
    </row>
    <row r="878" spans="21:27" ht="15.75" customHeight="1" x14ac:dyDescent="0.2">
      <c r="U878" s="6"/>
      <c r="V878" s="6"/>
      <c r="W878" s="6"/>
      <c r="X878" s="6"/>
      <c r="Y878" s="6"/>
      <c r="Z878" s="6"/>
      <c r="AA878" s="6"/>
    </row>
    <row r="879" spans="21:27" ht="15.75" customHeight="1" x14ac:dyDescent="0.2">
      <c r="U879" s="6"/>
      <c r="V879" s="6"/>
      <c r="W879" s="6"/>
      <c r="X879" s="6"/>
      <c r="Y879" s="6"/>
      <c r="Z879" s="6"/>
      <c r="AA879" s="6"/>
    </row>
    <row r="880" spans="21:27" ht="15.75" customHeight="1" x14ac:dyDescent="0.2">
      <c r="U880" s="6"/>
      <c r="V880" s="6"/>
      <c r="W880" s="6"/>
      <c r="X880" s="6"/>
      <c r="Y880" s="6"/>
      <c r="Z880" s="6"/>
      <c r="AA880" s="6"/>
    </row>
    <row r="881" spans="21:27" ht="15.75" customHeight="1" x14ac:dyDescent="0.2">
      <c r="U881" s="6"/>
      <c r="V881" s="6"/>
      <c r="W881" s="6"/>
      <c r="X881" s="6"/>
      <c r="Y881" s="6"/>
      <c r="Z881" s="6"/>
      <c r="AA881" s="6"/>
    </row>
    <row r="882" spans="21:27" ht="15.75" customHeight="1" x14ac:dyDescent="0.2">
      <c r="U882" s="6"/>
      <c r="V882" s="6"/>
      <c r="W882" s="6"/>
      <c r="X882" s="6"/>
      <c r="Y882" s="6"/>
      <c r="Z882" s="6"/>
      <c r="AA882" s="6"/>
    </row>
    <row r="883" spans="21:27" ht="15.75" customHeight="1" x14ac:dyDescent="0.2">
      <c r="U883" s="6"/>
      <c r="V883" s="6"/>
      <c r="W883" s="6"/>
      <c r="X883" s="6"/>
      <c r="Y883" s="6"/>
      <c r="Z883" s="6"/>
      <c r="AA883" s="6"/>
    </row>
    <row r="884" spans="21:27" ht="15.75" customHeight="1" x14ac:dyDescent="0.2">
      <c r="U884" s="6"/>
      <c r="V884" s="6"/>
      <c r="W884" s="6"/>
      <c r="X884" s="6"/>
      <c r="Y884" s="6"/>
      <c r="Z884" s="6"/>
      <c r="AA884" s="6"/>
    </row>
    <row r="885" spans="21:27" ht="15.75" customHeight="1" x14ac:dyDescent="0.2">
      <c r="U885" s="6"/>
      <c r="V885" s="6"/>
      <c r="W885" s="6"/>
      <c r="X885" s="6"/>
      <c r="Y885" s="6"/>
      <c r="Z885" s="6"/>
      <c r="AA885" s="6"/>
    </row>
    <row r="886" spans="21:27" ht="15.75" customHeight="1" x14ac:dyDescent="0.2">
      <c r="U886" s="6"/>
      <c r="V886" s="6"/>
      <c r="W886" s="6"/>
      <c r="X886" s="6"/>
      <c r="Y886" s="6"/>
      <c r="Z886" s="6"/>
      <c r="AA886" s="6"/>
    </row>
    <row r="887" spans="21:27" ht="15.75" customHeight="1" x14ac:dyDescent="0.2">
      <c r="U887" s="6"/>
      <c r="V887" s="6"/>
      <c r="W887" s="6"/>
      <c r="X887" s="6"/>
      <c r="Y887" s="6"/>
      <c r="Z887" s="6"/>
      <c r="AA887" s="6"/>
    </row>
    <row r="888" spans="21:27" ht="15.75" customHeight="1" x14ac:dyDescent="0.2">
      <c r="U888" s="6"/>
      <c r="V888" s="6"/>
      <c r="W888" s="6"/>
      <c r="X888" s="6"/>
      <c r="Y888" s="6"/>
      <c r="Z888" s="6"/>
      <c r="AA888" s="6"/>
    </row>
    <row r="889" spans="21:27" ht="15.75" customHeight="1" x14ac:dyDescent="0.2">
      <c r="U889" s="6"/>
      <c r="V889" s="6"/>
      <c r="W889" s="6"/>
      <c r="X889" s="6"/>
      <c r="Y889" s="6"/>
      <c r="Z889" s="6"/>
      <c r="AA889" s="6"/>
    </row>
    <row r="890" spans="21:27" ht="15.75" customHeight="1" x14ac:dyDescent="0.2">
      <c r="U890" s="6"/>
      <c r="V890" s="6"/>
      <c r="W890" s="6"/>
      <c r="X890" s="6"/>
      <c r="Y890" s="6"/>
      <c r="Z890" s="6"/>
      <c r="AA890" s="6"/>
    </row>
    <row r="891" spans="21:27" ht="15.75" customHeight="1" x14ac:dyDescent="0.2">
      <c r="U891" s="6"/>
      <c r="V891" s="6"/>
      <c r="W891" s="6"/>
      <c r="X891" s="6"/>
      <c r="Y891" s="6"/>
      <c r="Z891" s="6"/>
      <c r="AA891" s="6"/>
    </row>
    <row r="892" spans="21:27" ht="15.75" customHeight="1" x14ac:dyDescent="0.2">
      <c r="U892" s="6"/>
      <c r="V892" s="6"/>
      <c r="W892" s="6"/>
      <c r="X892" s="6"/>
      <c r="Y892" s="6"/>
      <c r="Z892" s="6"/>
      <c r="AA892" s="6"/>
    </row>
    <row r="893" spans="21:27" ht="15.75" customHeight="1" x14ac:dyDescent="0.2">
      <c r="U893" s="6"/>
      <c r="V893" s="6"/>
      <c r="W893" s="6"/>
      <c r="X893" s="6"/>
      <c r="Y893" s="6"/>
      <c r="Z893" s="6"/>
      <c r="AA893" s="6"/>
    </row>
    <row r="894" spans="21:27" ht="15.75" customHeight="1" x14ac:dyDescent="0.2">
      <c r="U894" s="6"/>
      <c r="V894" s="6"/>
      <c r="W894" s="6"/>
      <c r="X894" s="6"/>
      <c r="Y894" s="6"/>
      <c r="Z894" s="6"/>
      <c r="AA894" s="6"/>
    </row>
    <row r="895" spans="21:27" ht="15.75" customHeight="1" x14ac:dyDescent="0.2">
      <c r="U895" s="6"/>
      <c r="V895" s="6"/>
      <c r="W895" s="6"/>
      <c r="X895" s="6"/>
      <c r="Y895" s="6"/>
      <c r="Z895" s="6"/>
      <c r="AA895" s="6"/>
    </row>
    <row r="896" spans="21:27" ht="15.75" customHeight="1" x14ac:dyDescent="0.2">
      <c r="U896" s="6"/>
      <c r="V896" s="6"/>
      <c r="W896" s="6"/>
      <c r="X896" s="6"/>
      <c r="Y896" s="6"/>
      <c r="Z896" s="6"/>
      <c r="AA896" s="6"/>
    </row>
    <row r="897" spans="21:27" ht="15.75" customHeight="1" x14ac:dyDescent="0.2">
      <c r="U897" s="6"/>
      <c r="V897" s="6"/>
      <c r="W897" s="6"/>
      <c r="X897" s="6"/>
      <c r="Y897" s="6"/>
      <c r="Z897" s="6"/>
      <c r="AA897" s="6"/>
    </row>
    <row r="898" spans="21:27" ht="15.75" customHeight="1" x14ac:dyDescent="0.2">
      <c r="U898" s="6"/>
      <c r="V898" s="6"/>
      <c r="W898" s="6"/>
      <c r="X898" s="6"/>
      <c r="Y898" s="6"/>
      <c r="Z898" s="6"/>
      <c r="AA898" s="6"/>
    </row>
    <row r="899" spans="21:27" ht="15.75" customHeight="1" x14ac:dyDescent="0.2">
      <c r="U899" s="6"/>
      <c r="V899" s="6"/>
      <c r="W899" s="6"/>
      <c r="X899" s="6"/>
      <c r="Y899" s="6"/>
      <c r="Z899" s="6"/>
      <c r="AA899" s="6"/>
    </row>
    <row r="900" spans="21:27" ht="15.75" customHeight="1" x14ac:dyDescent="0.2">
      <c r="U900" s="6"/>
      <c r="V900" s="6"/>
      <c r="W900" s="6"/>
      <c r="X900" s="6"/>
      <c r="Y900" s="6"/>
      <c r="Z900" s="6"/>
      <c r="AA900" s="6"/>
    </row>
    <row r="901" spans="21:27" ht="15.75" customHeight="1" x14ac:dyDescent="0.2">
      <c r="U901" s="6"/>
      <c r="V901" s="6"/>
      <c r="W901" s="6"/>
      <c r="X901" s="6"/>
      <c r="Y901" s="6"/>
      <c r="Z901" s="6"/>
      <c r="AA901" s="6"/>
    </row>
    <row r="902" spans="21:27" ht="15.75" customHeight="1" x14ac:dyDescent="0.2">
      <c r="U902" s="6"/>
      <c r="V902" s="6"/>
      <c r="W902" s="6"/>
      <c r="X902" s="6"/>
      <c r="Y902" s="6"/>
      <c r="Z902" s="6"/>
      <c r="AA902" s="6"/>
    </row>
    <row r="903" spans="21:27" ht="15.75" customHeight="1" x14ac:dyDescent="0.2">
      <c r="U903" s="6"/>
      <c r="V903" s="6"/>
      <c r="W903" s="6"/>
      <c r="X903" s="6"/>
      <c r="Y903" s="6"/>
      <c r="Z903" s="6"/>
      <c r="AA903" s="6"/>
    </row>
    <row r="904" spans="21:27" ht="15.75" customHeight="1" x14ac:dyDescent="0.2">
      <c r="U904" s="6"/>
      <c r="V904" s="6"/>
      <c r="W904" s="6"/>
      <c r="X904" s="6"/>
      <c r="Y904" s="6"/>
      <c r="Z904" s="6"/>
      <c r="AA904" s="6"/>
    </row>
    <row r="905" spans="21:27" ht="15.75" customHeight="1" x14ac:dyDescent="0.2">
      <c r="U905" s="6"/>
      <c r="V905" s="6"/>
      <c r="W905" s="6"/>
      <c r="X905" s="6"/>
      <c r="Y905" s="6"/>
      <c r="Z905" s="6"/>
      <c r="AA905" s="6"/>
    </row>
    <row r="906" spans="21:27" ht="15.75" customHeight="1" x14ac:dyDescent="0.2">
      <c r="U906" s="6"/>
      <c r="V906" s="6"/>
      <c r="W906" s="6"/>
      <c r="X906" s="6"/>
      <c r="Y906" s="6"/>
      <c r="Z906" s="6"/>
      <c r="AA906" s="6"/>
    </row>
    <row r="907" spans="21:27" ht="15.75" customHeight="1" x14ac:dyDescent="0.2">
      <c r="U907" s="6"/>
      <c r="V907" s="6"/>
      <c r="W907" s="6"/>
      <c r="X907" s="6"/>
      <c r="Y907" s="6"/>
      <c r="Z907" s="6"/>
      <c r="AA907" s="6"/>
    </row>
    <row r="908" spans="21:27" ht="15.75" customHeight="1" x14ac:dyDescent="0.2">
      <c r="U908" s="6"/>
      <c r="V908" s="6"/>
      <c r="W908" s="6"/>
      <c r="X908" s="6"/>
      <c r="Y908" s="6"/>
      <c r="Z908" s="6"/>
      <c r="AA908" s="6"/>
    </row>
    <row r="909" spans="21:27" ht="15.75" customHeight="1" x14ac:dyDescent="0.2">
      <c r="U909" s="6"/>
      <c r="V909" s="6"/>
      <c r="W909" s="6"/>
      <c r="X909" s="6"/>
      <c r="Y909" s="6"/>
      <c r="Z909" s="6"/>
      <c r="AA909" s="6"/>
    </row>
    <row r="910" spans="21:27" ht="15.75" customHeight="1" x14ac:dyDescent="0.2">
      <c r="U910" s="6"/>
      <c r="V910" s="6"/>
      <c r="W910" s="6"/>
      <c r="X910" s="6"/>
      <c r="Y910" s="6"/>
      <c r="Z910" s="6"/>
      <c r="AA910" s="6"/>
    </row>
    <row r="911" spans="21:27" ht="15.75" customHeight="1" x14ac:dyDescent="0.2">
      <c r="U911" s="6"/>
      <c r="V911" s="6"/>
      <c r="W911" s="6"/>
      <c r="X911" s="6"/>
      <c r="Y911" s="6"/>
      <c r="Z911" s="6"/>
      <c r="AA911" s="6"/>
    </row>
    <row r="912" spans="21:27" ht="15.75" customHeight="1" x14ac:dyDescent="0.2">
      <c r="U912" s="6"/>
      <c r="V912" s="6"/>
      <c r="W912" s="6"/>
      <c r="X912" s="6"/>
      <c r="Y912" s="6"/>
      <c r="Z912" s="6"/>
      <c r="AA912" s="6"/>
    </row>
    <row r="913" spans="21:27" ht="15.75" customHeight="1" x14ac:dyDescent="0.2">
      <c r="U913" s="6"/>
      <c r="V913" s="6"/>
      <c r="W913" s="6"/>
      <c r="X913" s="6"/>
      <c r="Y913" s="6"/>
      <c r="Z913" s="6"/>
      <c r="AA913" s="6"/>
    </row>
    <row r="914" spans="21:27" ht="15.75" customHeight="1" x14ac:dyDescent="0.2">
      <c r="U914" s="6"/>
      <c r="V914" s="6"/>
      <c r="W914" s="6"/>
      <c r="X914" s="6"/>
      <c r="Y914" s="6"/>
      <c r="Z914" s="6"/>
      <c r="AA914" s="6"/>
    </row>
    <row r="915" spans="21:27" ht="15.75" customHeight="1" x14ac:dyDescent="0.2">
      <c r="U915" s="6"/>
      <c r="V915" s="6"/>
      <c r="W915" s="6"/>
      <c r="X915" s="6"/>
      <c r="Y915" s="6"/>
      <c r="Z915" s="6"/>
      <c r="AA915" s="6"/>
    </row>
    <row r="916" spans="21:27" ht="15.75" customHeight="1" x14ac:dyDescent="0.2">
      <c r="U916" s="6"/>
      <c r="V916" s="6"/>
      <c r="W916" s="6"/>
      <c r="X916" s="6"/>
      <c r="Y916" s="6"/>
      <c r="Z916" s="6"/>
      <c r="AA916" s="6"/>
    </row>
    <row r="917" spans="21:27" ht="15.75" customHeight="1" x14ac:dyDescent="0.2">
      <c r="U917" s="6"/>
      <c r="V917" s="6"/>
      <c r="W917" s="6"/>
      <c r="X917" s="6"/>
      <c r="Y917" s="6"/>
      <c r="Z917" s="6"/>
      <c r="AA917" s="6"/>
    </row>
    <row r="918" spans="21:27" ht="15.75" customHeight="1" x14ac:dyDescent="0.2">
      <c r="U918" s="6"/>
      <c r="V918" s="6"/>
      <c r="W918" s="6"/>
      <c r="X918" s="6"/>
      <c r="Y918" s="6"/>
      <c r="Z918" s="6"/>
      <c r="AA918" s="6"/>
    </row>
    <row r="919" spans="21:27" ht="15.75" customHeight="1" x14ac:dyDescent="0.2">
      <c r="U919" s="6"/>
      <c r="V919" s="6"/>
      <c r="W919" s="6"/>
      <c r="X919" s="6"/>
      <c r="Y919" s="6"/>
      <c r="Z919" s="6"/>
      <c r="AA919" s="6"/>
    </row>
    <row r="920" spans="21:27" ht="15.75" customHeight="1" x14ac:dyDescent="0.2">
      <c r="U920" s="6"/>
      <c r="V920" s="6"/>
      <c r="W920" s="6"/>
      <c r="X920" s="6"/>
      <c r="Y920" s="6"/>
      <c r="Z920" s="6"/>
      <c r="AA920" s="6"/>
    </row>
    <row r="921" spans="21:27" ht="15.75" customHeight="1" x14ac:dyDescent="0.2">
      <c r="U921" s="6"/>
      <c r="V921" s="6"/>
      <c r="W921" s="6"/>
      <c r="X921" s="6"/>
      <c r="Y921" s="6"/>
      <c r="Z921" s="6"/>
      <c r="AA921" s="6"/>
    </row>
    <row r="922" spans="21:27" ht="15.75" customHeight="1" x14ac:dyDescent="0.2">
      <c r="U922" s="6"/>
      <c r="V922" s="6"/>
      <c r="W922" s="6"/>
      <c r="X922" s="6"/>
      <c r="Y922" s="6"/>
      <c r="Z922" s="6"/>
      <c r="AA922" s="6"/>
    </row>
    <row r="923" spans="21:27" ht="15.75" customHeight="1" x14ac:dyDescent="0.2">
      <c r="U923" s="6"/>
      <c r="V923" s="6"/>
      <c r="W923" s="6"/>
      <c r="X923" s="6"/>
      <c r="Y923" s="6"/>
      <c r="Z923" s="6"/>
      <c r="AA923" s="6"/>
    </row>
    <row r="924" spans="21:27" ht="15.75" customHeight="1" x14ac:dyDescent="0.2">
      <c r="U924" s="6"/>
      <c r="V924" s="6"/>
      <c r="W924" s="6"/>
      <c r="X924" s="6"/>
      <c r="Y924" s="6"/>
      <c r="Z924" s="6"/>
      <c r="AA924" s="6"/>
    </row>
    <row r="925" spans="21:27" ht="15.75" customHeight="1" x14ac:dyDescent="0.2">
      <c r="U925" s="6"/>
      <c r="V925" s="6"/>
      <c r="W925" s="6"/>
      <c r="X925" s="6"/>
      <c r="Y925" s="6"/>
      <c r="Z925" s="6"/>
      <c r="AA925" s="6"/>
    </row>
    <row r="926" spans="21:27" ht="15.75" customHeight="1" x14ac:dyDescent="0.2">
      <c r="U926" s="6"/>
      <c r="V926" s="6"/>
      <c r="W926" s="6"/>
      <c r="X926" s="6"/>
      <c r="Y926" s="6"/>
      <c r="Z926" s="6"/>
      <c r="AA926" s="6"/>
    </row>
    <row r="927" spans="21:27" ht="15.75" customHeight="1" x14ac:dyDescent="0.2">
      <c r="U927" s="6"/>
      <c r="V927" s="6"/>
      <c r="W927" s="6"/>
      <c r="X927" s="6"/>
      <c r="Y927" s="6"/>
      <c r="Z927" s="6"/>
      <c r="AA927" s="6"/>
    </row>
    <row r="928" spans="21:27" ht="15.75" customHeight="1" x14ac:dyDescent="0.2">
      <c r="U928" s="6"/>
      <c r="V928" s="6"/>
      <c r="W928" s="6"/>
      <c r="X928" s="6"/>
      <c r="Y928" s="6"/>
      <c r="Z928" s="6"/>
      <c r="AA928" s="6"/>
    </row>
    <row r="929" spans="21:27" ht="15.75" customHeight="1" x14ac:dyDescent="0.2">
      <c r="U929" s="6"/>
      <c r="V929" s="6"/>
      <c r="W929" s="6"/>
      <c r="X929" s="6"/>
      <c r="Y929" s="6"/>
      <c r="Z929" s="6"/>
      <c r="AA929" s="6"/>
    </row>
    <row r="930" spans="21:27" ht="15.75" customHeight="1" x14ac:dyDescent="0.2">
      <c r="U930" s="6"/>
      <c r="V930" s="6"/>
      <c r="W930" s="6"/>
      <c r="X930" s="6"/>
      <c r="Y930" s="6"/>
      <c r="Z930" s="6"/>
      <c r="AA930" s="6"/>
    </row>
    <row r="931" spans="21:27" ht="15.75" customHeight="1" x14ac:dyDescent="0.2">
      <c r="U931" s="6"/>
      <c r="V931" s="6"/>
      <c r="W931" s="6"/>
      <c r="X931" s="6"/>
      <c r="Y931" s="6"/>
      <c r="Z931" s="6"/>
      <c r="AA931" s="6"/>
    </row>
    <row r="932" spans="21:27" ht="15.75" customHeight="1" x14ac:dyDescent="0.2">
      <c r="U932" s="6"/>
      <c r="V932" s="6"/>
      <c r="W932" s="6"/>
      <c r="X932" s="6"/>
      <c r="Y932" s="6"/>
      <c r="Z932" s="6"/>
      <c r="AA932" s="6"/>
    </row>
    <row r="933" spans="21:27" ht="15.75" customHeight="1" x14ac:dyDescent="0.2">
      <c r="U933" s="6"/>
      <c r="V933" s="6"/>
      <c r="W933" s="6"/>
      <c r="X933" s="6"/>
      <c r="Y933" s="6"/>
      <c r="Z933" s="6"/>
      <c r="AA933" s="6"/>
    </row>
    <row r="934" spans="21:27" ht="15.75" customHeight="1" x14ac:dyDescent="0.2">
      <c r="U934" s="6"/>
      <c r="V934" s="6"/>
      <c r="W934" s="6"/>
      <c r="X934" s="6"/>
      <c r="Y934" s="6"/>
      <c r="Z934" s="6"/>
      <c r="AA934" s="6"/>
    </row>
    <row r="935" spans="21:27" ht="15.75" customHeight="1" x14ac:dyDescent="0.2">
      <c r="U935" s="6"/>
      <c r="V935" s="6"/>
      <c r="W935" s="6"/>
      <c r="X935" s="6"/>
      <c r="Y935" s="6"/>
      <c r="Z935" s="6"/>
      <c r="AA935" s="6"/>
    </row>
    <row r="936" spans="21:27" ht="15.75" customHeight="1" x14ac:dyDescent="0.2">
      <c r="U936" s="6"/>
      <c r="V936" s="6"/>
      <c r="W936" s="6"/>
      <c r="X936" s="6"/>
      <c r="Y936" s="6"/>
      <c r="Z936" s="6"/>
      <c r="AA936" s="6"/>
    </row>
    <row r="937" spans="21:27" ht="15.75" customHeight="1" x14ac:dyDescent="0.2">
      <c r="U937" s="6"/>
      <c r="V937" s="6"/>
      <c r="W937" s="6"/>
      <c r="X937" s="6"/>
      <c r="Y937" s="6"/>
      <c r="Z937" s="6"/>
      <c r="AA937" s="6"/>
    </row>
    <row r="938" spans="21:27" ht="15.75" customHeight="1" x14ac:dyDescent="0.2">
      <c r="U938" s="6"/>
      <c r="V938" s="6"/>
      <c r="W938" s="6"/>
      <c r="X938" s="6"/>
      <c r="Y938" s="6"/>
      <c r="Z938" s="6"/>
      <c r="AA938" s="6"/>
    </row>
    <row r="939" spans="21:27" ht="15.75" customHeight="1" x14ac:dyDescent="0.2">
      <c r="U939" s="6"/>
      <c r="V939" s="6"/>
      <c r="W939" s="6"/>
      <c r="X939" s="6"/>
      <c r="Y939" s="6"/>
      <c r="Z939" s="6"/>
      <c r="AA939" s="6"/>
    </row>
    <row r="940" spans="21:27" ht="15.75" customHeight="1" x14ac:dyDescent="0.2">
      <c r="U940" s="6"/>
      <c r="V940" s="6"/>
      <c r="W940" s="6"/>
      <c r="X940" s="6"/>
      <c r="Y940" s="6"/>
      <c r="Z940" s="6"/>
      <c r="AA940" s="6"/>
    </row>
    <row r="941" spans="21:27" ht="15.75" customHeight="1" x14ac:dyDescent="0.2">
      <c r="U941" s="6"/>
      <c r="V941" s="6"/>
      <c r="W941" s="6"/>
      <c r="X941" s="6"/>
      <c r="Y941" s="6"/>
      <c r="Z941" s="6"/>
      <c r="AA941" s="6"/>
    </row>
    <row r="942" spans="21:27" ht="15.75" customHeight="1" x14ac:dyDescent="0.2">
      <c r="U942" s="6"/>
      <c r="V942" s="6"/>
      <c r="W942" s="6"/>
      <c r="X942" s="6"/>
      <c r="Y942" s="6"/>
      <c r="Z942" s="6"/>
      <c r="AA942" s="6"/>
    </row>
    <row r="943" spans="21:27" ht="15.75" customHeight="1" x14ac:dyDescent="0.2">
      <c r="U943" s="6"/>
      <c r="V943" s="6"/>
      <c r="W943" s="6"/>
      <c r="X943" s="6"/>
      <c r="Y943" s="6"/>
      <c r="Z943" s="6"/>
      <c r="AA943" s="6"/>
    </row>
    <row r="944" spans="21:27" ht="15.75" customHeight="1" x14ac:dyDescent="0.2">
      <c r="U944" s="6"/>
      <c r="V944" s="6"/>
      <c r="W944" s="6"/>
      <c r="X944" s="6"/>
      <c r="Y944" s="6"/>
      <c r="Z944" s="6"/>
      <c r="AA944" s="6"/>
    </row>
    <row r="945" spans="21:27" ht="15.75" customHeight="1" x14ac:dyDescent="0.2">
      <c r="U945" s="6"/>
      <c r="V945" s="6"/>
      <c r="W945" s="6"/>
      <c r="X945" s="6"/>
      <c r="Y945" s="6"/>
      <c r="Z945" s="6"/>
      <c r="AA945" s="6"/>
    </row>
    <row r="946" spans="21:27" ht="15.75" customHeight="1" x14ac:dyDescent="0.2">
      <c r="U946" s="6"/>
      <c r="V946" s="6"/>
      <c r="W946" s="6"/>
      <c r="X946" s="6"/>
      <c r="Y946" s="6"/>
      <c r="Z946" s="6"/>
      <c r="AA946" s="6"/>
    </row>
    <row r="947" spans="21:27" ht="15.75" customHeight="1" x14ac:dyDescent="0.2">
      <c r="U947" s="6"/>
      <c r="V947" s="6"/>
      <c r="W947" s="6"/>
      <c r="X947" s="6"/>
      <c r="Y947" s="6"/>
      <c r="Z947" s="6"/>
      <c r="AA947" s="6"/>
    </row>
    <row r="948" spans="21:27" ht="15.75" customHeight="1" x14ac:dyDescent="0.2">
      <c r="U948" s="6"/>
      <c r="V948" s="6"/>
      <c r="W948" s="6"/>
      <c r="X948" s="6"/>
      <c r="Y948" s="6"/>
      <c r="Z948" s="6"/>
      <c r="AA948" s="6"/>
    </row>
    <row r="949" spans="21:27" ht="15.75" customHeight="1" x14ac:dyDescent="0.2">
      <c r="U949" s="6"/>
      <c r="V949" s="6"/>
      <c r="W949" s="6"/>
      <c r="X949" s="6"/>
      <c r="Y949" s="6"/>
      <c r="Z949" s="6"/>
      <c r="AA949" s="6"/>
    </row>
    <row r="950" spans="21:27" ht="15.75" customHeight="1" x14ac:dyDescent="0.2">
      <c r="U950" s="6"/>
      <c r="V950" s="6"/>
      <c r="W950" s="6"/>
      <c r="X950" s="6"/>
      <c r="Y950" s="6"/>
      <c r="Z950" s="6"/>
      <c r="AA950" s="6"/>
    </row>
    <row r="951" spans="21:27" ht="15.75" customHeight="1" x14ac:dyDescent="0.2">
      <c r="U951" s="6"/>
      <c r="V951" s="6"/>
      <c r="W951" s="6"/>
      <c r="X951" s="6"/>
      <c r="Y951" s="6"/>
      <c r="Z951" s="6"/>
      <c r="AA951" s="6"/>
    </row>
    <row r="952" spans="21:27" ht="15.75" customHeight="1" x14ac:dyDescent="0.2">
      <c r="U952" s="6"/>
      <c r="V952" s="6"/>
      <c r="W952" s="6"/>
      <c r="X952" s="6"/>
      <c r="Y952" s="6"/>
      <c r="Z952" s="6"/>
      <c r="AA952" s="6"/>
    </row>
    <row r="953" spans="21:27" ht="15.75" customHeight="1" x14ac:dyDescent="0.2">
      <c r="U953" s="6"/>
      <c r="V953" s="6"/>
      <c r="W953" s="6"/>
      <c r="X953" s="6"/>
      <c r="Y953" s="6"/>
      <c r="Z953" s="6"/>
      <c r="AA953" s="6"/>
    </row>
    <row r="954" spans="21:27" ht="15.75" customHeight="1" x14ac:dyDescent="0.2">
      <c r="U954" s="6"/>
      <c r="V954" s="6"/>
      <c r="W954" s="6"/>
      <c r="X954" s="6"/>
      <c r="Y954" s="6"/>
      <c r="Z954" s="6"/>
      <c r="AA954" s="6"/>
    </row>
    <row r="955" spans="21:27" ht="15.75" customHeight="1" x14ac:dyDescent="0.2">
      <c r="U955" s="6"/>
      <c r="V955" s="6"/>
      <c r="W955" s="6"/>
      <c r="X955" s="6"/>
      <c r="Y955" s="6"/>
      <c r="Z955" s="6"/>
      <c r="AA955" s="6"/>
    </row>
    <row r="956" spans="21:27" ht="15.75" customHeight="1" x14ac:dyDescent="0.2">
      <c r="U956" s="6"/>
      <c r="V956" s="6"/>
      <c r="W956" s="6"/>
      <c r="X956" s="6"/>
      <c r="Y956" s="6"/>
      <c r="Z956" s="6"/>
      <c r="AA956" s="6"/>
    </row>
    <row r="957" spans="21:27" ht="15.75" customHeight="1" x14ac:dyDescent="0.2">
      <c r="U957" s="6"/>
      <c r="V957" s="6"/>
      <c r="W957" s="6"/>
      <c r="X957" s="6"/>
      <c r="Y957" s="6"/>
      <c r="Z957" s="6"/>
      <c r="AA957" s="6"/>
    </row>
    <row r="958" spans="21:27" ht="15.75" customHeight="1" x14ac:dyDescent="0.2">
      <c r="U958" s="6"/>
      <c r="V958" s="6"/>
      <c r="W958" s="6"/>
      <c r="X958" s="6"/>
      <c r="Y958" s="6"/>
      <c r="Z958" s="6"/>
      <c r="AA958" s="6"/>
    </row>
    <row r="959" spans="21:27" ht="15.75" customHeight="1" x14ac:dyDescent="0.2">
      <c r="U959" s="6"/>
      <c r="V959" s="6"/>
      <c r="W959" s="6"/>
      <c r="X959" s="6"/>
      <c r="Y959" s="6"/>
      <c r="Z959" s="6"/>
      <c r="AA959" s="6"/>
    </row>
    <row r="960" spans="21:27" ht="15.75" customHeight="1" x14ac:dyDescent="0.2">
      <c r="U960" s="6"/>
      <c r="V960" s="6"/>
      <c r="W960" s="6"/>
      <c r="X960" s="6"/>
      <c r="Y960" s="6"/>
      <c r="Z960" s="6"/>
      <c r="AA960" s="6"/>
    </row>
    <row r="961" spans="21:27" ht="15.75" customHeight="1" x14ac:dyDescent="0.2">
      <c r="U961" s="6"/>
      <c r="V961" s="6"/>
      <c r="W961" s="6"/>
      <c r="X961" s="6"/>
      <c r="Y961" s="6"/>
      <c r="Z961" s="6"/>
      <c r="AA961" s="6"/>
    </row>
    <row r="962" spans="21:27" ht="15.75" customHeight="1" x14ac:dyDescent="0.2">
      <c r="U962" s="6"/>
      <c r="V962" s="6"/>
      <c r="W962" s="6"/>
      <c r="X962" s="6"/>
      <c r="Y962" s="6"/>
      <c r="Z962" s="6"/>
      <c r="AA962" s="6"/>
    </row>
    <row r="963" spans="21:27" ht="15.75" customHeight="1" x14ac:dyDescent="0.2">
      <c r="U963" s="6"/>
      <c r="V963" s="6"/>
      <c r="W963" s="6"/>
      <c r="X963" s="6"/>
      <c r="Y963" s="6"/>
      <c r="Z963" s="6"/>
      <c r="AA963" s="6"/>
    </row>
    <row r="964" spans="21:27" ht="15.75" customHeight="1" x14ac:dyDescent="0.2">
      <c r="U964" s="6"/>
      <c r="V964" s="6"/>
      <c r="W964" s="6"/>
      <c r="X964" s="6"/>
      <c r="Y964" s="6"/>
      <c r="Z964" s="6"/>
      <c r="AA964" s="6"/>
    </row>
    <row r="965" spans="21:27" ht="15.75" customHeight="1" x14ac:dyDescent="0.2">
      <c r="U965" s="6"/>
      <c r="V965" s="6"/>
      <c r="W965" s="6"/>
      <c r="X965" s="6"/>
      <c r="Y965" s="6"/>
      <c r="Z965" s="6"/>
      <c r="AA965" s="6"/>
    </row>
    <row r="966" spans="21:27" ht="15.75" customHeight="1" x14ac:dyDescent="0.2">
      <c r="U966" s="6"/>
      <c r="V966" s="6"/>
      <c r="W966" s="6"/>
      <c r="X966" s="6"/>
      <c r="Y966" s="6"/>
      <c r="Z966" s="6"/>
      <c r="AA966" s="6"/>
    </row>
    <row r="967" spans="21:27" ht="15.75" customHeight="1" x14ac:dyDescent="0.2">
      <c r="U967" s="6"/>
      <c r="V967" s="6"/>
      <c r="W967" s="6"/>
      <c r="X967" s="6"/>
      <c r="Y967" s="6"/>
      <c r="Z967" s="6"/>
      <c r="AA967" s="6"/>
    </row>
    <row r="968" spans="21:27" ht="15.75" customHeight="1" x14ac:dyDescent="0.2">
      <c r="U968" s="6"/>
      <c r="V968" s="6"/>
      <c r="W968" s="6"/>
      <c r="X968" s="6"/>
      <c r="Y968" s="6"/>
      <c r="Z968" s="6"/>
      <c r="AA968" s="6"/>
    </row>
    <row r="969" spans="21:27" ht="15.75" customHeight="1" x14ac:dyDescent="0.2">
      <c r="U969" s="6"/>
      <c r="V969" s="6"/>
      <c r="W969" s="6"/>
      <c r="X969" s="6"/>
      <c r="Y969" s="6"/>
      <c r="Z969" s="6"/>
      <c r="AA969" s="6"/>
    </row>
    <row r="970" spans="21:27" ht="15.75" customHeight="1" x14ac:dyDescent="0.2">
      <c r="U970" s="6"/>
      <c r="V970" s="6"/>
      <c r="W970" s="6"/>
      <c r="X970" s="6"/>
      <c r="Y970" s="6"/>
      <c r="Z970" s="6"/>
      <c r="AA970" s="6"/>
    </row>
    <row r="971" spans="21:27" ht="15.75" customHeight="1" x14ac:dyDescent="0.2">
      <c r="U971" s="6"/>
      <c r="V971" s="6"/>
      <c r="W971" s="6"/>
      <c r="X971" s="6"/>
      <c r="Y971" s="6"/>
      <c r="Z971" s="6"/>
      <c r="AA971" s="6"/>
    </row>
    <row r="972" spans="21:27" ht="15.75" customHeight="1" x14ac:dyDescent="0.2">
      <c r="U972" s="6"/>
      <c r="V972" s="6"/>
      <c r="W972" s="6"/>
      <c r="X972" s="6"/>
      <c r="Y972" s="6"/>
      <c r="Z972" s="6"/>
      <c r="AA972" s="6"/>
    </row>
    <row r="973" spans="21:27" ht="15.75" customHeight="1" x14ac:dyDescent="0.2">
      <c r="U973" s="6"/>
      <c r="V973" s="6"/>
      <c r="W973" s="6"/>
      <c r="X973" s="6"/>
      <c r="Y973" s="6"/>
      <c r="Z973" s="6"/>
      <c r="AA973" s="6"/>
    </row>
    <row r="974" spans="21:27" ht="15.75" customHeight="1" x14ac:dyDescent="0.2">
      <c r="U974" s="6"/>
      <c r="V974" s="6"/>
      <c r="W974" s="6"/>
      <c r="X974" s="6"/>
      <c r="Y974" s="6"/>
      <c r="Z974" s="6"/>
      <c r="AA974" s="6"/>
    </row>
    <row r="975" spans="21:27" ht="15.75" customHeight="1" x14ac:dyDescent="0.2">
      <c r="U975" s="6"/>
      <c r="V975" s="6"/>
      <c r="W975" s="6"/>
      <c r="X975" s="6"/>
      <c r="Y975" s="6"/>
      <c r="Z975" s="6"/>
      <c r="AA975" s="6"/>
    </row>
    <row r="976" spans="21:27" ht="15.75" customHeight="1" x14ac:dyDescent="0.2">
      <c r="U976" s="6"/>
      <c r="V976" s="6"/>
      <c r="W976" s="6"/>
      <c r="X976" s="6"/>
      <c r="Y976" s="6"/>
      <c r="Z976" s="6"/>
      <c r="AA976" s="6"/>
    </row>
    <row r="977" spans="21:27" ht="15.75" customHeight="1" x14ac:dyDescent="0.2">
      <c r="U977" s="6"/>
      <c r="V977" s="6"/>
      <c r="W977" s="6"/>
      <c r="X977" s="6"/>
      <c r="Y977" s="6"/>
      <c r="Z977" s="6"/>
      <c r="AA977" s="6"/>
    </row>
    <row r="978" spans="21:27" ht="15.75" customHeight="1" x14ac:dyDescent="0.2">
      <c r="U978" s="6"/>
      <c r="V978" s="6"/>
      <c r="W978" s="6"/>
      <c r="X978" s="6"/>
      <c r="Y978" s="6"/>
      <c r="Z978" s="6"/>
      <c r="AA978" s="6"/>
    </row>
    <row r="979" spans="21:27" ht="15.75" customHeight="1" x14ac:dyDescent="0.2">
      <c r="U979" s="6"/>
      <c r="V979" s="6"/>
      <c r="W979" s="6"/>
      <c r="X979" s="6"/>
      <c r="Y979" s="6"/>
      <c r="Z979" s="6"/>
      <c r="AA979" s="6"/>
    </row>
    <row r="980" spans="21:27" ht="15.75" customHeight="1" x14ac:dyDescent="0.2">
      <c r="U980" s="6"/>
      <c r="V980" s="6"/>
      <c r="W980" s="6"/>
      <c r="X980" s="6"/>
      <c r="Y980" s="6"/>
      <c r="Z980" s="6"/>
      <c r="AA980" s="6"/>
    </row>
    <row r="981" spans="21:27" ht="15.75" customHeight="1" x14ac:dyDescent="0.2">
      <c r="U981" s="6"/>
      <c r="V981" s="6"/>
      <c r="W981" s="6"/>
      <c r="X981" s="6"/>
      <c r="Y981" s="6"/>
      <c r="Z981" s="6"/>
      <c r="AA981" s="6"/>
    </row>
    <row r="982" spans="21:27" ht="15.75" customHeight="1" x14ac:dyDescent="0.2">
      <c r="U982" s="6"/>
      <c r="V982" s="6"/>
      <c r="W982" s="6"/>
      <c r="X982" s="6"/>
      <c r="Y982" s="6"/>
      <c r="Z982" s="6"/>
      <c r="AA982" s="6"/>
    </row>
    <row r="983" spans="21:27" ht="15.75" customHeight="1" x14ac:dyDescent="0.2">
      <c r="U983" s="6"/>
      <c r="V983" s="6"/>
      <c r="W983" s="6"/>
      <c r="X983" s="6"/>
      <c r="Y983" s="6"/>
      <c r="Z983" s="6"/>
      <c r="AA983" s="6"/>
    </row>
    <row r="984" spans="21:27" ht="15.75" customHeight="1" x14ac:dyDescent="0.2">
      <c r="U984" s="6"/>
      <c r="V984" s="6"/>
      <c r="W984" s="6"/>
      <c r="X984" s="6"/>
      <c r="Y984" s="6"/>
      <c r="Z984" s="6"/>
      <c r="AA984" s="6"/>
    </row>
    <row r="985" spans="21:27" ht="15.75" customHeight="1" x14ac:dyDescent="0.2">
      <c r="U985" s="6"/>
      <c r="V985" s="6"/>
      <c r="W985" s="6"/>
      <c r="X985" s="6"/>
      <c r="Y985" s="6"/>
      <c r="Z985" s="6"/>
      <c r="AA985" s="6"/>
    </row>
    <row r="986" spans="21:27" ht="15.75" customHeight="1" x14ac:dyDescent="0.2">
      <c r="U986" s="6"/>
      <c r="V986" s="6"/>
      <c r="W986" s="6"/>
      <c r="X986" s="6"/>
      <c r="Y986" s="6"/>
      <c r="Z986" s="6"/>
      <c r="AA986" s="6"/>
    </row>
    <row r="987" spans="21:27" ht="15.75" customHeight="1" x14ac:dyDescent="0.2">
      <c r="U987" s="6"/>
      <c r="V987" s="6"/>
      <c r="W987" s="6"/>
      <c r="X987" s="6"/>
      <c r="Y987" s="6"/>
      <c r="Z987" s="6"/>
      <c r="AA987" s="6"/>
    </row>
    <row r="988" spans="21:27" ht="15.75" customHeight="1" x14ac:dyDescent="0.2">
      <c r="U988" s="6"/>
      <c r="V988" s="6"/>
      <c r="W988" s="6"/>
      <c r="X988" s="6"/>
      <c r="Y988" s="6"/>
      <c r="Z988" s="6"/>
      <c r="AA988" s="6"/>
    </row>
    <row r="989" spans="21:27" ht="15.75" customHeight="1" x14ac:dyDescent="0.2">
      <c r="U989" s="6"/>
      <c r="V989" s="6"/>
      <c r="W989" s="6"/>
      <c r="X989" s="6"/>
      <c r="Y989" s="6"/>
      <c r="Z989" s="6"/>
      <c r="AA989" s="6"/>
    </row>
    <row r="990" spans="21:27" ht="15.75" customHeight="1" x14ac:dyDescent="0.2">
      <c r="U990" s="6"/>
      <c r="V990" s="6"/>
      <c r="W990" s="6"/>
      <c r="X990" s="6"/>
      <c r="Y990" s="6"/>
      <c r="Z990" s="6"/>
      <c r="AA990" s="6"/>
    </row>
    <row r="991" spans="21:27" ht="15.75" customHeight="1" x14ac:dyDescent="0.2">
      <c r="U991" s="6"/>
      <c r="V991" s="6"/>
      <c r="W991" s="6"/>
      <c r="X991" s="6"/>
      <c r="Y991" s="6"/>
      <c r="Z991" s="6"/>
      <c r="AA991" s="6"/>
    </row>
    <row r="992" spans="21:27" ht="15.75" customHeight="1" x14ac:dyDescent="0.2">
      <c r="U992" s="6"/>
      <c r="V992" s="6"/>
      <c r="W992" s="6"/>
      <c r="X992" s="6"/>
      <c r="Y992" s="6"/>
      <c r="Z992" s="6"/>
      <c r="AA992" s="6"/>
    </row>
    <row r="993" spans="21:27" ht="15.75" customHeight="1" x14ac:dyDescent="0.2">
      <c r="U993" s="6"/>
      <c r="V993" s="6"/>
      <c r="W993" s="6"/>
      <c r="X993" s="6"/>
      <c r="Y993" s="6"/>
      <c r="Z993" s="6"/>
      <c r="AA993" s="6"/>
    </row>
    <row r="994" spans="21:27" ht="15.75" customHeight="1" x14ac:dyDescent="0.2">
      <c r="U994" s="6"/>
      <c r="V994" s="6"/>
      <c r="W994" s="6"/>
      <c r="X994" s="6"/>
      <c r="Y994" s="6"/>
      <c r="Z994" s="6"/>
      <c r="AA994" s="6"/>
    </row>
    <row r="995" spans="21:27" ht="15.75" customHeight="1" x14ac:dyDescent="0.2">
      <c r="U995" s="6"/>
      <c r="V995" s="6"/>
      <c r="W995" s="6"/>
      <c r="X995" s="6"/>
      <c r="Y995" s="6"/>
      <c r="Z995" s="6"/>
      <c r="AA995" s="6"/>
    </row>
    <row r="996" spans="21:27" ht="15.75" customHeight="1" x14ac:dyDescent="0.2">
      <c r="U996" s="6"/>
      <c r="V996" s="6"/>
      <c r="W996" s="6"/>
      <c r="X996" s="6"/>
      <c r="Y996" s="6"/>
      <c r="Z996" s="6"/>
      <c r="AA996" s="6"/>
    </row>
    <row r="997" spans="21:27" ht="15.75" customHeight="1" x14ac:dyDescent="0.2">
      <c r="U997" s="6"/>
      <c r="V997" s="6"/>
      <c r="W997" s="6"/>
      <c r="X997" s="6"/>
      <c r="Y997" s="6"/>
      <c r="Z997" s="6"/>
      <c r="AA997" s="6"/>
    </row>
    <row r="998" spans="21:27" ht="15.75" customHeight="1" x14ac:dyDescent="0.2">
      <c r="U998" s="6"/>
      <c r="V998" s="6"/>
      <c r="W998" s="6"/>
      <c r="X998" s="6"/>
      <c r="Y998" s="6"/>
      <c r="Z998" s="6"/>
      <c r="AA998" s="6"/>
    </row>
    <row r="999" spans="21:27" ht="15.75" customHeight="1" x14ac:dyDescent="0.2">
      <c r="U999" s="6"/>
      <c r="V999" s="6"/>
      <c r="W999" s="6"/>
      <c r="X999" s="6"/>
      <c r="Y999" s="6"/>
      <c r="Z999" s="6"/>
      <c r="AA999" s="6"/>
    </row>
    <row r="1000" spans="21:27"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1"/>
  <sheetViews>
    <sheetView showGridLines="0" workbookViewId="0"/>
  </sheetViews>
  <sheetFormatPr baseColWidth="10" defaultColWidth="14.5" defaultRowHeight="15" customHeight="1" x14ac:dyDescent="0.2"/>
  <sheetData>
    <row r="1" spans="1:7" x14ac:dyDescent="0.2">
      <c r="A1" s="18" t="s">
        <v>583</v>
      </c>
      <c r="B1" s="18" t="s">
        <v>23</v>
      </c>
      <c r="C1" s="19"/>
      <c r="D1" s="20"/>
      <c r="F1" s="7" t="s">
        <v>584</v>
      </c>
      <c r="G1" s="8"/>
    </row>
    <row r="2" spans="1:7" x14ac:dyDescent="0.2">
      <c r="A2" s="18" t="s">
        <v>0</v>
      </c>
      <c r="B2" s="17" t="s">
        <v>55</v>
      </c>
      <c r="C2" s="21" t="s">
        <v>32</v>
      </c>
      <c r="D2" s="34" t="s">
        <v>588</v>
      </c>
      <c r="F2" s="9" t="s">
        <v>586</v>
      </c>
      <c r="G2" s="9" t="s">
        <v>587</v>
      </c>
    </row>
    <row r="3" spans="1:7" x14ac:dyDescent="0.2">
      <c r="A3" s="17" t="s">
        <v>26</v>
      </c>
      <c r="B3" s="25">
        <v>2</v>
      </c>
      <c r="C3" s="26">
        <v>2</v>
      </c>
      <c r="D3" s="35">
        <v>4</v>
      </c>
      <c r="F3" s="10">
        <f>IFERROR(COUNTIFS('01 DATOS PERSONALES'!$A:$A,$A3,'01 DATOS PERSONALES'!$H:$H,"FEMENINO")/COUNTIF('01 DATOS PERSONALES'!$A:$A,$A3),"")</f>
        <v>0.5</v>
      </c>
      <c r="G3" s="10">
        <f>IFERROR(COUNTIFS('01 DATOS PERSONALES'!$A:$A,$A3,'01 DATOS PERSONALES'!$H:$H,"MASCULINO")/COUNTIF('01 DATOS PERSONALES'!$A:$A,$A3),"")</f>
        <v>0.5</v>
      </c>
    </row>
    <row r="4" spans="1:7" x14ac:dyDescent="0.2">
      <c r="A4" s="23" t="s">
        <v>70</v>
      </c>
      <c r="B4" s="28">
        <v>5</v>
      </c>
      <c r="C4" s="29">
        <v>16</v>
      </c>
      <c r="D4" s="36">
        <v>21</v>
      </c>
      <c r="F4" s="10">
        <f>IFERROR(COUNTIFS('01 DATOS PERSONALES'!$A:$A,$A4,'01 DATOS PERSONALES'!$H:$H,"FEMENINO")/COUNTIF('01 DATOS PERSONALES'!$A:$A,$A4),"")</f>
        <v>0.22727272727272727</v>
      </c>
      <c r="G4" s="10">
        <f>IFERROR(COUNTIFS('01 DATOS PERSONALES'!$A:$A,$A4,'01 DATOS PERSONALES'!$H:$H,"MASCULINO")/COUNTIF('01 DATOS PERSONALES'!$A:$A,$A4),"")</f>
        <v>0.77272727272727271</v>
      </c>
    </row>
    <row r="5" spans="1:7" x14ac:dyDescent="0.2">
      <c r="A5" s="23" t="s">
        <v>276</v>
      </c>
      <c r="B5" s="28">
        <v>1</v>
      </c>
      <c r="C5" s="29">
        <v>10</v>
      </c>
      <c r="D5" s="36">
        <v>11</v>
      </c>
      <c r="F5" s="10">
        <f>IFERROR(COUNTIFS('01 DATOS PERSONALES'!$A:$A,$A5,'01 DATOS PERSONALES'!$H:$H,"FEMENINO")/COUNTIF('01 DATOS PERSONALES'!$A:$A,$A5),"")</f>
        <v>7.1428571428571425E-2</v>
      </c>
      <c r="G5" s="10">
        <f>IFERROR(COUNTIFS('01 DATOS PERSONALES'!$A:$A,$A5,'01 DATOS PERSONALES'!$H:$H,"MASCULINO")/COUNTIF('01 DATOS PERSONALES'!$A:$A,$A5),"")</f>
        <v>0.9285714285714286</v>
      </c>
    </row>
    <row r="6" spans="1:7" x14ac:dyDescent="0.2">
      <c r="A6" s="23" t="s">
        <v>380</v>
      </c>
      <c r="B6" s="28">
        <v>2</v>
      </c>
      <c r="C6" s="29">
        <v>3</v>
      </c>
      <c r="D6" s="36">
        <v>5</v>
      </c>
      <c r="F6" s="10">
        <f>IFERROR(COUNTIFS('01 DATOS PERSONALES'!$A:$A,$A6,'01 DATOS PERSONALES'!$H:$H,"FEMENINO")/COUNTIF('01 DATOS PERSONALES'!$A:$A,$A6),"")</f>
        <v>0.4</v>
      </c>
      <c r="G6" s="10">
        <f>IFERROR(COUNTIFS('01 DATOS PERSONALES'!$A:$A,$A6,'01 DATOS PERSONALES'!$H:$H,"MASCULINO")/COUNTIF('01 DATOS PERSONALES'!$A:$A,$A6),"")</f>
        <v>0.6</v>
      </c>
    </row>
    <row r="7" spans="1:7" x14ac:dyDescent="0.2">
      <c r="A7" s="23" t="s">
        <v>426</v>
      </c>
      <c r="B7" s="28">
        <v>3</v>
      </c>
      <c r="C7" s="29">
        <v>4</v>
      </c>
      <c r="D7" s="36">
        <v>7</v>
      </c>
      <c r="F7" s="10">
        <f>IFERROR(COUNTIFS('01 DATOS PERSONALES'!$A:$A,$A7,'01 DATOS PERSONALES'!$H:$H,"FEMENINO")/COUNTIF('01 DATOS PERSONALES'!$A:$A,$A7),"")</f>
        <v>0.42857142857142855</v>
      </c>
      <c r="G7" s="10">
        <f>IFERROR(COUNTIFS('01 DATOS PERSONALES'!$A:$A,$A7,'01 DATOS PERSONALES'!$H:$H,"MASCULINO")/COUNTIF('01 DATOS PERSONALES'!$A:$A,$A7),"")</f>
        <v>0.5714285714285714</v>
      </c>
    </row>
    <row r="8" spans="1:7" x14ac:dyDescent="0.2">
      <c r="A8" s="23" t="s">
        <v>485</v>
      </c>
      <c r="B8" s="28">
        <v>3</v>
      </c>
      <c r="C8" s="29">
        <v>5</v>
      </c>
      <c r="D8" s="36">
        <v>8</v>
      </c>
      <c r="F8" s="10">
        <f>IFERROR(COUNTIFS('01 DATOS PERSONALES'!$A:$A,$A8,'01 DATOS PERSONALES'!$H:$H,"FEMENINO")/COUNTIF('01 DATOS PERSONALES'!$A:$A,$A8),"")</f>
        <v>0.375</v>
      </c>
      <c r="G8" s="10">
        <f>IFERROR(COUNTIFS('01 DATOS PERSONALES'!$A:$A,$A8,'01 DATOS PERSONALES'!$H:$H,"MASCULINO")/COUNTIF('01 DATOS PERSONALES'!$A:$A,$A8),"")</f>
        <v>0.625</v>
      </c>
    </row>
    <row r="9" spans="1:7" x14ac:dyDescent="0.2">
      <c r="A9" s="24" t="s">
        <v>588</v>
      </c>
      <c r="B9" s="31">
        <v>16</v>
      </c>
      <c r="C9" s="32">
        <v>40</v>
      </c>
      <c r="D9" s="37">
        <v>56</v>
      </c>
      <c r="F9" s="11" t="str">
        <f>IFERROR(COUNTIFS('01 DATOS PERSONALES'!$A:$A,$A9,'01 DATOS PERSONALES'!$H:$H,"FEMENINO")/COUNTIF('01 DATOS PERSONALES'!$A:$A,$A9),"")</f>
        <v/>
      </c>
      <c r="G9" s="11" t="str">
        <f>IFERROR(COUNTIFS('01 DATOS PERSONALES'!$A:$A,$A9,'01 DATOS PERSONALES'!$H:$H,"MASCULINO")/COUNTIF('01 DATOS PERSONALES'!$A:$A,$A9),"")</f>
        <v/>
      </c>
    </row>
    <row r="10" spans="1:7" ht="15" customHeight="1" x14ac:dyDescent="0.2">
      <c r="F10" t="str">
        <f>IFERROR(COUNTIFS('01 DATOS PERSONALES'!$A:$A,$A10,'01 DATOS PERSONALES'!$H:$H,"FEMENINO")/COUNTIF('01 DATOS PERSONALES'!$A:$A,$A10),"")</f>
        <v/>
      </c>
      <c r="G10" t="str">
        <f>IFERROR(COUNTIFS('01 DATOS PERSONALES'!$A:$A,$A10,'01 DATOS PERSONALES'!$H:$H,"MASCULINO")/COUNTIF('01 DATOS PERSONALES'!$A:$A,$A10),"")</f>
        <v/>
      </c>
    </row>
    <row r="11" spans="1:7" x14ac:dyDescent="0.2">
      <c r="F11" t="str">
        <f>IFERROR(COUNTIFS('01 DATOS PERSONALES'!$A:$A,$A11,'01 DATOS PERSONALES'!$H:$H,"FEMENINO")/COUNTIF('01 DATOS PERSONALES'!$A:$A,$A11),"")</f>
        <v/>
      </c>
      <c r="G11" t="str">
        <f>IFERROR(COUNTIFS('01 DATOS PERSONALES'!$A:$A,$A11,'01 DATOS PERSONALES'!$H:$H,"MASCULINO")/COUNTIF('01 DATOS PERSONALES'!$A:$A,$A11),"")</f>
        <v/>
      </c>
    </row>
    <row r="12" spans="1:7" ht="15" customHeight="1" x14ac:dyDescent="0.2">
      <c r="A12" s="17"/>
      <c r="B12" s="18" t="s">
        <v>2813</v>
      </c>
      <c r="C12" s="19"/>
      <c r="D12" s="20"/>
    </row>
    <row r="13" spans="1:7" ht="15" customHeight="1" x14ac:dyDescent="0.2">
      <c r="A13" s="18" t="s">
        <v>0</v>
      </c>
      <c r="B13" s="17" t="s">
        <v>589</v>
      </c>
      <c r="C13" s="21" t="s">
        <v>590</v>
      </c>
      <c r="D13" s="22" t="s">
        <v>591</v>
      </c>
    </row>
    <row r="14" spans="1:7" ht="15" customHeight="1" x14ac:dyDescent="0.2">
      <c r="A14" s="17" t="s">
        <v>26</v>
      </c>
      <c r="B14" s="25">
        <v>60.25</v>
      </c>
      <c r="C14" s="26">
        <v>75</v>
      </c>
      <c r="D14" s="27">
        <v>46</v>
      </c>
    </row>
    <row r="15" spans="1:7" ht="15" customHeight="1" x14ac:dyDescent="0.2">
      <c r="A15" s="23" t="s">
        <v>70</v>
      </c>
      <c r="B15" s="28">
        <v>63.863636363636367</v>
      </c>
      <c r="C15" s="29">
        <v>79</v>
      </c>
      <c r="D15" s="30">
        <v>46</v>
      </c>
    </row>
    <row r="16" spans="1:7" ht="15" customHeight="1" x14ac:dyDescent="0.2">
      <c r="A16" s="23" t="s">
        <v>276</v>
      </c>
      <c r="B16" s="28">
        <v>55.571428571428569</v>
      </c>
      <c r="C16" s="29">
        <v>72</v>
      </c>
      <c r="D16" s="30">
        <v>41</v>
      </c>
    </row>
    <row r="17" spans="1:4" ht="15" customHeight="1" x14ac:dyDescent="0.2">
      <c r="A17" s="23" t="s">
        <v>380</v>
      </c>
      <c r="B17" s="28">
        <v>66.2</v>
      </c>
      <c r="C17" s="29">
        <v>75</v>
      </c>
      <c r="D17" s="30">
        <v>63</v>
      </c>
    </row>
    <row r="18" spans="1:4" ht="15" customHeight="1" x14ac:dyDescent="0.2">
      <c r="A18" s="23" t="s">
        <v>426</v>
      </c>
      <c r="B18" s="28">
        <v>64.428571428571431</v>
      </c>
      <c r="C18" s="29">
        <v>73</v>
      </c>
      <c r="D18" s="30">
        <v>53</v>
      </c>
    </row>
    <row r="19" spans="1:4" ht="15" customHeight="1" x14ac:dyDescent="0.2">
      <c r="A19" s="23" t="s">
        <v>485</v>
      </c>
      <c r="B19" s="28">
        <v>58.875</v>
      </c>
      <c r="C19" s="29">
        <v>74</v>
      </c>
      <c r="D19" s="30">
        <v>39</v>
      </c>
    </row>
    <row r="20" spans="1:4" ht="15" customHeight="1" x14ac:dyDescent="0.2">
      <c r="A20" s="23" t="s">
        <v>585</v>
      </c>
      <c r="B20" s="28"/>
      <c r="C20" s="29"/>
      <c r="D20" s="30"/>
    </row>
    <row r="21" spans="1:4" ht="15" customHeight="1" x14ac:dyDescent="0.2">
      <c r="A21" s="24" t="s">
        <v>588</v>
      </c>
      <c r="B21" s="31">
        <v>61.283333333333331</v>
      </c>
      <c r="C21" s="32">
        <v>79</v>
      </c>
      <c r="D21" s="33">
        <v>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2"/>
  <sheetViews>
    <sheetView workbookViewId="0"/>
  </sheetViews>
  <sheetFormatPr baseColWidth="10" defaultColWidth="14.5" defaultRowHeight="15" customHeight="1" x14ac:dyDescent="0.2"/>
  <sheetData>
    <row r="1" spans="1:7" x14ac:dyDescent="0.2">
      <c r="A1" s="9" t="s">
        <v>592</v>
      </c>
      <c r="B1" s="9" t="s">
        <v>593</v>
      </c>
      <c r="C1" s="9" t="s">
        <v>594</v>
      </c>
      <c r="D1" s="9" t="s">
        <v>595</v>
      </c>
      <c r="E1" s="9" t="s">
        <v>596</v>
      </c>
      <c r="F1" s="9" t="s">
        <v>597</v>
      </c>
      <c r="G1" s="9" t="s">
        <v>598</v>
      </c>
    </row>
    <row r="2" spans="1:7" x14ac:dyDescent="0.2">
      <c r="A2" s="12">
        <f>COUNTA('01 DATOS PERSONALES'!B2:B1000)</f>
        <v>60</v>
      </c>
      <c r="B2" s="12">
        <f>COUNTIF('01 DATOS PERSONALES'!X2:Y1000,"FEMENINO")</f>
        <v>16</v>
      </c>
      <c r="C2" s="12">
        <f>COUNTIF('01 DATOS PERSONALES'!X2:Y1000,"MASCULINO")</f>
        <v>44</v>
      </c>
      <c r="D2" s="12">
        <f ca="1">AVERAGE('01 DATOS PERSONALES'!U2:U1000)</f>
        <v>61.283333333333331</v>
      </c>
      <c r="E2" s="12">
        <f ca="1">MEDIAN('01 DATOS PERSONALES'!U2:U1000)</f>
        <v>63.5</v>
      </c>
      <c r="F2" s="12">
        <f ca="1">MIN('01 DATOS PERSONALES'!U2:U1000)</f>
        <v>39</v>
      </c>
      <c r="G2" s="12">
        <f ca="1">MAX('01 DATOS PERSONALES'!U2:U1000)</f>
        <v>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0"/>
  <sheetViews>
    <sheetView tabSelected="1" workbookViewId="0"/>
  </sheetViews>
  <sheetFormatPr baseColWidth="10" defaultColWidth="14.5" defaultRowHeight="15" customHeight="1" x14ac:dyDescent="0.2"/>
  <cols>
    <col min="1" max="26" width="8.6640625" customWidth="1"/>
  </cols>
  <sheetData>
    <row r="1" spans="1:16" x14ac:dyDescent="0.2">
      <c r="A1" s="1" t="s">
        <v>0</v>
      </c>
      <c r="B1" s="1" t="s">
        <v>1</v>
      </c>
      <c r="C1" s="1" t="s">
        <v>2</v>
      </c>
      <c r="D1" s="1" t="s">
        <v>599</v>
      </c>
      <c r="E1" s="1" t="s">
        <v>600</v>
      </c>
      <c r="F1" s="1" t="s">
        <v>601</v>
      </c>
      <c r="G1" s="1" t="s">
        <v>602</v>
      </c>
      <c r="H1" s="1" t="s">
        <v>603</v>
      </c>
      <c r="I1" s="1" t="s">
        <v>604</v>
      </c>
      <c r="J1" s="1" t="s">
        <v>605</v>
      </c>
      <c r="K1" s="1" t="s">
        <v>606</v>
      </c>
      <c r="L1" s="1" t="s">
        <v>607</v>
      </c>
      <c r="M1" s="1" t="s">
        <v>608</v>
      </c>
      <c r="N1" s="1" t="s">
        <v>609</v>
      </c>
      <c r="O1" s="1" t="s">
        <v>610</v>
      </c>
      <c r="P1" s="13" t="s">
        <v>611</v>
      </c>
    </row>
    <row r="2" spans="1:16" x14ac:dyDescent="0.2">
      <c r="A2" s="5" t="s">
        <v>26</v>
      </c>
      <c r="B2" s="5" t="s">
        <v>27</v>
      </c>
      <c r="C2" s="5" t="s">
        <v>28</v>
      </c>
      <c r="D2" s="5" t="s">
        <v>612</v>
      </c>
      <c r="E2" s="5" t="s">
        <v>613</v>
      </c>
      <c r="F2" s="5" t="s">
        <v>614</v>
      </c>
      <c r="G2" s="5" t="s">
        <v>615</v>
      </c>
      <c r="H2" s="5" t="s">
        <v>616</v>
      </c>
      <c r="I2" s="5" t="s">
        <v>617</v>
      </c>
      <c r="J2" s="5" t="s">
        <v>618</v>
      </c>
      <c r="K2" s="5" t="s">
        <v>619</v>
      </c>
      <c r="L2" s="5" t="s">
        <v>46</v>
      </c>
      <c r="M2" s="5" t="s">
        <v>46</v>
      </c>
      <c r="N2" s="5" t="s">
        <v>46</v>
      </c>
      <c r="O2" s="5" t="s">
        <v>620</v>
      </c>
      <c r="P2" s="13">
        <f ca="1">IFERROR(__xludf.DUMMYFUNCTION("IF(REGEXMATCH(UPPER(E2),""CONGRESO""),1,0)"),1)</f>
        <v>1</v>
      </c>
    </row>
    <row r="3" spans="1:16" x14ac:dyDescent="0.2">
      <c r="A3" s="5" t="s">
        <v>26</v>
      </c>
      <c r="B3" s="5" t="s">
        <v>27</v>
      </c>
      <c r="C3" s="5" t="s">
        <v>28</v>
      </c>
      <c r="D3" s="5" t="s">
        <v>612</v>
      </c>
      <c r="E3" s="5" t="s">
        <v>613</v>
      </c>
      <c r="F3" s="5" t="s">
        <v>614</v>
      </c>
      <c r="G3" s="5" t="s">
        <v>615</v>
      </c>
      <c r="H3" s="5" t="s">
        <v>616</v>
      </c>
      <c r="I3" s="5" t="s">
        <v>621</v>
      </c>
      <c r="J3" s="5" t="s">
        <v>621</v>
      </c>
      <c r="K3" s="5" t="s">
        <v>619</v>
      </c>
      <c r="L3" s="5" t="s">
        <v>46</v>
      </c>
      <c r="M3" s="5" t="s">
        <v>46</v>
      </c>
      <c r="N3" s="5" t="s">
        <v>46</v>
      </c>
      <c r="P3" s="13">
        <f ca="1">IFERROR(__xludf.DUMMYFUNCTION("IF(REGEXMATCH(UPPER(E3),""CONGRESO""),1,0)"),1)</f>
        <v>1</v>
      </c>
    </row>
    <row r="4" spans="1:16" x14ac:dyDescent="0.2">
      <c r="A4" s="5" t="s">
        <v>26</v>
      </c>
      <c r="B4" s="5" t="s">
        <v>27</v>
      </c>
      <c r="C4" s="5" t="s">
        <v>28</v>
      </c>
      <c r="D4" s="5" t="s">
        <v>612</v>
      </c>
      <c r="E4" s="5" t="s">
        <v>613</v>
      </c>
      <c r="F4" s="5" t="s">
        <v>622</v>
      </c>
      <c r="G4" s="5" t="s">
        <v>615</v>
      </c>
      <c r="H4" s="5" t="s">
        <v>616</v>
      </c>
      <c r="I4" s="5" t="s">
        <v>623</v>
      </c>
      <c r="J4" s="5" t="s">
        <v>624</v>
      </c>
      <c r="K4" s="5" t="s">
        <v>619</v>
      </c>
      <c r="L4" s="5" t="s">
        <v>46</v>
      </c>
      <c r="M4" s="5" t="s">
        <v>46</v>
      </c>
      <c r="N4" s="5" t="s">
        <v>46</v>
      </c>
      <c r="P4" s="13">
        <f ca="1">IFERROR(__xludf.DUMMYFUNCTION("IF(REGEXMATCH(UPPER(E4),""CONGRESO""),1,0)"),1)</f>
        <v>1</v>
      </c>
    </row>
    <row r="5" spans="1:16" x14ac:dyDescent="0.2">
      <c r="A5" s="5" t="s">
        <v>26</v>
      </c>
      <c r="B5" s="5" t="s">
        <v>27</v>
      </c>
      <c r="C5" s="5" t="s">
        <v>28</v>
      </c>
      <c r="D5" s="5" t="s">
        <v>612</v>
      </c>
      <c r="E5" s="5" t="s">
        <v>625</v>
      </c>
      <c r="F5" s="5" t="s">
        <v>614</v>
      </c>
      <c r="H5" s="5" t="s">
        <v>626</v>
      </c>
      <c r="I5" s="5" t="s">
        <v>627</v>
      </c>
      <c r="J5" s="5" t="s">
        <v>627</v>
      </c>
      <c r="K5" s="5" t="s">
        <v>619</v>
      </c>
      <c r="L5" s="5" t="s">
        <v>46</v>
      </c>
      <c r="M5" s="5" t="s">
        <v>46</v>
      </c>
      <c r="N5" s="5" t="s">
        <v>46</v>
      </c>
      <c r="P5" s="13">
        <f ca="1">IFERROR(__xludf.DUMMYFUNCTION("IF(REGEXMATCH(UPPER(E5),""CONGRESO""),1,0)"),0)</f>
        <v>0</v>
      </c>
    </row>
    <row r="6" spans="1:16" x14ac:dyDescent="0.2">
      <c r="A6" s="5" t="s">
        <v>26</v>
      </c>
      <c r="B6" s="5" t="s">
        <v>40</v>
      </c>
      <c r="C6" s="5" t="s">
        <v>41</v>
      </c>
      <c r="D6" s="5" t="s">
        <v>612</v>
      </c>
      <c r="E6" s="5" t="s">
        <v>628</v>
      </c>
      <c r="F6" s="5" t="s">
        <v>629</v>
      </c>
      <c r="H6" s="5" t="s">
        <v>630</v>
      </c>
      <c r="I6" s="5" t="s">
        <v>631</v>
      </c>
      <c r="J6" s="5" t="s">
        <v>632</v>
      </c>
      <c r="K6" s="5" t="s">
        <v>619</v>
      </c>
      <c r="L6" s="5" t="s">
        <v>46</v>
      </c>
      <c r="M6" s="5" t="s">
        <v>46</v>
      </c>
      <c r="N6" s="5" t="s">
        <v>633</v>
      </c>
      <c r="P6" s="13">
        <f ca="1">IFERROR(__xludf.DUMMYFUNCTION("IF(REGEXMATCH(UPPER(E6),""CONGRESO""),1,0)"),0)</f>
        <v>0</v>
      </c>
    </row>
    <row r="7" spans="1:16" x14ac:dyDescent="0.2">
      <c r="A7" s="5" t="s">
        <v>26</v>
      </c>
      <c r="B7" s="5" t="s">
        <v>40</v>
      </c>
      <c r="C7" s="5" t="s">
        <v>41</v>
      </c>
      <c r="D7" s="5" t="s">
        <v>612</v>
      </c>
      <c r="E7" s="5" t="s">
        <v>628</v>
      </c>
      <c r="F7" s="5" t="s">
        <v>634</v>
      </c>
      <c r="H7" s="5" t="s">
        <v>630</v>
      </c>
      <c r="I7" s="5" t="s">
        <v>627</v>
      </c>
      <c r="J7" s="5" t="s">
        <v>618</v>
      </c>
      <c r="K7" s="5" t="s">
        <v>619</v>
      </c>
      <c r="L7" s="5" t="s">
        <v>46</v>
      </c>
      <c r="M7" s="5" t="s">
        <v>46</v>
      </c>
      <c r="N7" s="5" t="s">
        <v>633</v>
      </c>
      <c r="P7" s="13">
        <f ca="1">IFERROR(__xludf.DUMMYFUNCTION("IF(REGEXMATCH(UPPER(E7),""CONGRESO""),1,0)"),0)</f>
        <v>0</v>
      </c>
    </row>
    <row r="8" spans="1:16" x14ac:dyDescent="0.2">
      <c r="A8" s="5" t="s">
        <v>26</v>
      </c>
      <c r="B8" s="5" t="s">
        <v>40</v>
      </c>
      <c r="C8" s="5" t="s">
        <v>41</v>
      </c>
      <c r="D8" s="5" t="s">
        <v>612</v>
      </c>
      <c r="E8" s="5" t="s">
        <v>628</v>
      </c>
      <c r="F8" s="5" t="s">
        <v>635</v>
      </c>
      <c r="H8" s="5" t="s">
        <v>630</v>
      </c>
      <c r="I8" s="5" t="s">
        <v>636</v>
      </c>
      <c r="J8" s="5" t="s">
        <v>618</v>
      </c>
      <c r="K8" s="5" t="s">
        <v>619</v>
      </c>
      <c r="L8" s="5" t="s">
        <v>46</v>
      </c>
      <c r="M8" s="5" t="s">
        <v>46</v>
      </c>
      <c r="N8" s="5" t="s">
        <v>633</v>
      </c>
      <c r="P8" s="13">
        <f ca="1">IFERROR(__xludf.DUMMYFUNCTION("IF(REGEXMATCH(UPPER(E8),""CONGRESO""),1,0)"),0)</f>
        <v>0</v>
      </c>
    </row>
    <row r="9" spans="1:16" x14ac:dyDescent="0.2">
      <c r="A9" s="5" t="s">
        <v>26</v>
      </c>
      <c r="B9" s="5" t="s">
        <v>50</v>
      </c>
      <c r="C9" s="5" t="s">
        <v>51</v>
      </c>
      <c r="D9" s="5" t="s">
        <v>612</v>
      </c>
      <c r="E9" s="5" t="s">
        <v>637</v>
      </c>
      <c r="F9" s="5" t="s">
        <v>638</v>
      </c>
      <c r="G9" s="5" t="s">
        <v>639</v>
      </c>
      <c r="H9" s="5" t="s">
        <v>640</v>
      </c>
      <c r="I9" s="5" t="s">
        <v>641</v>
      </c>
      <c r="J9" s="5" t="s">
        <v>624</v>
      </c>
      <c r="K9" s="5" t="s">
        <v>619</v>
      </c>
      <c r="L9" s="5" t="s">
        <v>57</v>
      </c>
      <c r="M9" s="5" t="s">
        <v>57</v>
      </c>
      <c r="N9" s="5" t="s">
        <v>57</v>
      </c>
      <c r="P9" s="13">
        <f ca="1">IFERROR(__xludf.DUMMYFUNCTION("IF(REGEXMATCH(UPPER(E9),""CONGRESO""),1,0)"),0)</f>
        <v>0</v>
      </c>
    </row>
    <row r="10" spans="1:16" x14ac:dyDescent="0.2">
      <c r="A10" s="5" t="s">
        <v>26</v>
      </c>
      <c r="B10" s="5" t="s">
        <v>50</v>
      </c>
      <c r="C10" s="5" t="s">
        <v>51</v>
      </c>
      <c r="D10" s="5" t="s">
        <v>612</v>
      </c>
      <c r="E10" s="5" t="s">
        <v>613</v>
      </c>
      <c r="F10" s="5" t="s">
        <v>642</v>
      </c>
      <c r="H10" s="5" t="s">
        <v>643</v>
      </c>
      <c r="I10" s="5" t="s">
        <v>624</v>
      </c>
      <c r="J10" s="5" t="s">
        <v>627</v>
      </c>
      <c r="K10" s="5" t="s">
        <v>619</v>
      </c>
      <c r="L10" s="5" t="s">
        <v>46</v>
      </c>
      <c r="M10" s="5" t="s">
        <v>46</v>
      </c>
      <c r="N10" s="5" t="s">
        <v>46</v>
      </c>
      <c r="P10" s="13">
        <f ca="1">IFERROR(__xludf.DUMMYFUNCTION("IF(REGEXMATCH(UPPER(E10),""CONGRESO""),1,0)"),1)</f>
        <v>1</v>
      </c>
    </row>
    <row r="11" spans="1:16" x14ac:dyDescent="0.2">
      <c r="A11" s="5" t="s">
        <v>26</v>
      </c>
      <c r="B11" s="5" t="s">
        <v>50</v>
      </c>
      <c r="C11" s="5" t="s">
        <v>51</v>
      </c>
      <c r="D11" s="5" t="s">
        <v>612</v>
      </c>
      <c r="E11" s="5" t="s">
        <v>613</v>
      </c>
      <c r="F11" s="5" t="s">
        <v>622</v>
      </c>
      <c r="H11" s="5" t="s">
        <v>644</v>
      </c>
      <c r="I11" s="5" t="s">
        <v>627</v>
      </c>
      <c r="J11" s="5" t="s">
        <v>618</v>
      </c>
      <c r="K11" s="5" t="s">
        <v>619</v>
      </c>
      <c r="L11" s="5" t="s">
        <v>46</v>
      </c>
      <c r="M11" s="5" t="s">
        <v>46</v>
      </c>
      <c r="N11" s="5" t="s">
        <v>46</v>
      </c>
      <c r="P11" s="13">
        <f ca="1">IFERROR(__xludf.DUMMYFUNCTION("IF(REGEXMATCH(UPPER(E11),""CONGRESO""),1,0)"),1)</f>
        <v>1</v>
      </c>
    </row>
    <row r="12" spans="1:16" x14ac:dyDescent="0.2">
      <c r="A12" s="5" t="s">
        <v>26</v>
      </c>
      <c r="B12" s="5" t="s">
        <v>61</v>
      </c>
      <c r="C12" s="5" t="s">
        <v>62</v>
      </c>
      <c r="D12" s="5" t="s">
        <v>612</v>
      </c>
      <c r="E12" s="5" t="s">
        <v>645</v>
      </c>
      <c r="F12" s="5" t="s">
        <v>646</v>
      </c>
      <c r="G12" s="5" t="s">
        <v>647</v>
      </c>
      <c r="H12" s="5" t="s">
        <v>648</v>
      </c>
      <c r="I12" s="5" t="s">
        <v>649</v>
      </c>
      <c r="J12" s="5" t="s">
        <v>618</v>
      </c>
      <c r="K12" s="5" t="s">
        <v>619</v>
      </c>
      <c r="L12" s="5" t="s">
        <v>67</v>
      </c>
      <c r="M12" s="5" t="s">
        <v>67</v>
      </c>
      <c r="N12" s="5" t="s">
        <v>67</v>
      </c>
      <c r="P12" s="13">
        <f ca="1">IFERROR(__xludf.DUMMYFUNCTION("IF(REGEXMATCH(UPPER(E12),""CONGRESO""),1,0)"),0)</f>
        <v>0</v>
      </c>
    </row>
    <row r="13" spans="1:16" x14ac:dyDescent="0.2">
      <c r="A13" s="5" t="s">
        <v>26</v>
      </c>
      <c r="B13" s="5" t="s">
        <v>61</v>
      </c>
      <c r="C13" s="5" t="s">
        <v>62</v>
      </c>
      <c r="D13" s="5" t="s">
        <v>612</v>
      </c>
      <c r="E13" s="5" t="s">
        <v>650</v>
      </c>
      <c r="F13" s="5" t="s">
        <v>651</v>
      </c>
      <c r="H13" s="5" t="s">
        <v>652</v>
      </c>
      <c r="I13" s="5" t="s">
        <v>627</v>
      </c>
      <c r="J13" s="5" t="s">
        <v>653</v>
      </c>
      <c r="K13" s="5" t="s">
        <v>619</v>
      </c>
      <c r="L13" s="5" t="s">
        <v>46</v>
      </c>
      <c r="M13" s="5" t="s">
        <v>46</v>
      </c>
      <c r="N13" s="5" t="s">
        <v>46</v>
      </c>
      <c r="O13" s="5" t="s">
        <v>654</v>
      </c>
      <c r="P13" s="13">
        <f ca="1">IFERROR(__xludf.DUMMYFUNCTION("IF(REGEXMATCH(UPPER(E13),""CONGRESO""),1,0)"),0)</f>
        <v>0</v>
      </c>
    </row>
    <row r="14" spans="1:16" x14ac:dyDescent="0.2">
      <c r="A14" s="5" t="s">
        <v>26</v>
      </c>
      <c r="B14" s="5" t="s">
        <v>61</v>
      </c>
      <c r="C14" s="5" t="s">
        <v>62</v>
      </c>
      <c r="D14" s="5" t="s">
        <v>612</v>
      </c>
      <c r="E14" s="5" t="s">
        <v>655</v>
      </c>
      <c r="F14" s="5" t="s">
        <v>656</v>
      </c>
      <c r="H14" s="5" t="s">
        <v>657</v>
      </c>
      <c r="I14" s="5" t="s">
        <v>649</v>
      </c>
      <c r="J14" s="5" t="s">
        <v>618</v>
      </c>
      <c r="K14" s="5" t="s">
        <v>619</v>
      </c>
      <c r="L14" s="5" t="s">
        <v>46</v>
      </c>
      <c r="M14" s="5" t="s">
        <v>46</v>
      </c>
      <c r="N14" s="5" t="s">
        <v>658</v>
      </c>
      <c r="P14" s="13">
        <f ca="1">IFERROR(__xludf.DUMMYFUNCTION("IF(REGEXMATCH(UPPER(E14),""CONGRESO""),1,0)"),0)</f>
        <v>0</v>
      </c>
    </row>
    <row r="15" spans="1:16" x14ac:dyDescent="0.2">
      <c r="A15" s="5" t="s">
        <v>26</v>
      </c>
      <c r="B15" s="5" t="s">
        <v>61</v>
      </c>
      <c r="C15" s="5" t="s">
        <v>62</v>
      </c>
      <c r="D15" s="5" t="s">
        <v>612</v>
      </c>
      <c r="E15" s="5" t="s">
        <v>659</v>
      </c>
      <c r="F15" s="5" t="s">
        <v>656</v>
      </c>
      <c r="H15" s="5" t="s">
        <v>660</v>
      </c>
      <c r="I15" s="5" t="s">
        <v>653</v>
      </c>
      <c r="J15" s="5" t="s">
        <v>649</v>
      </c>
      <c r="K15" s="5" t="s">
        <v>619</v>
      </c>
      <c r="L15" s="5" t="s">
        <v>46</v>
      </c>
      <c r="M15" s="5" t="s">
        <v>46</v>
      </c>
      <c r="N15" s="5" t="s">
        <v>661</v>
      </c>
      <c r="P15" s="13">
        <f ca="1">IFERROR(__xludf.DUMMYFUNCTION("IF(REGEXMATCH(UPPER(E15),""CONGRESO""),1,0)"),0)</f>
        <v>0</v>
      </c>
    </row>
    <row r="16" spans="1:16" x14ac:dyDescent="0.2">
      <c r="A16" s="5" t="s">
        <v>26</v>
      </c>
      <c r="B16" s="5" t="s">
        <v>61</v>
      </c>
      <c r="C16" s="5" t="s">
        <v>62</v>
      </c>
      <c r="D16" s="5" t="s">
        <v>612</v>
      </c>
      <c r="E16" s="5" t="s">
        <v>613</v>
      </c>
      <c r="F16" s="5" t="s">
        <v>662</v>
      </c>
      <c r="H16" s="5" t="s">
        <v>663</v>
      </c>
      <c r="I16" s="5" t="s">
        <v>621</v>
      </c>
      <c r="J16" s="5" t="s">
        <v>627</v>
      </c>
      <c r="K16" s="5" t="s">
        <v>619</v>
      </c>
      <c r="L16" s="5" t="s">
        <v>46</v>
      </c>
      <c r="M16" s="5" t="s">
        <v>46</v>
      </c>
      <c r="N16" s="5" t="s">
        <v>46</v>
      </c>
      <c r="O16" s="5" t="s">
        <v>664</v>
      </c>
      <c r="P16" s="13">
        <f ca="1">IFERROR(__xludf.DUMMYFUNCTION("IF(REGEXMATCH(UPPER(E16),""CONGRESO""),1,0)"),1)</f>
        <v>1</v>
      </c>
    </row>
    <row r="17" spans="1:16" x14ac:dyDescent="0.2">
      <c r="A17" s="5" t="s">
        <v>70</v>
      </c>
      <c r="B17" s="5" t="s">
        <v>71</v>
      </c>
      <c r="C17" s="5" t="s">
        <v>72</v>
      </c>
      <c r="D17" s="5" t="s">
        <v>612</v>
      </c>
      <c r="E17" s="5" t="s">
        <v>665</v>
      </c>
      <c r="F17" s="5" t="s">
        <v>666</v>
      </c>
      <c r="G17" s="5" t="s">
        <v>615</v>
      </c>
      <c r="H17" s="5" t="s">
        <v>667</v>
      </c>
      <c r="I17" s="5" t="s">
        <v>627</v>
      </c>
      <c r="J17" s="5" t="s">
        <v>618</v>
      </c>
      <c r="K17" s="5" t="s">
        <v>619</v>
      </c>
      <c r="L17" s="5" t="s">
        <v>46</v>
      </c>
      <c r="M17" s="5" t="s">
        <v>46</v>
      </c>
      <c r="N17" s="5" t="s">
        <v>46</v>
      </c>
      <c r="O17" s="5" t="s">
        <v>668</v>
      </c>
      <c r="P17" s="13">
        <f ca="1">IFERROR(__xludf.DUMMYFUNCTION("IF(REGEXMATCH(UPPER(E17),""CONGRESO""),1,0)"),1)</f>
        <v>1</v>
      </c>
    </row>
    <row r="18" spans="1:16" x14ac:dyDescent="0.2">
      <c r="A18" s="5" t="s">
        <v>70</v>
      </c>
      <c r="B18" s="5" t="s">
        <v>71</v>
      </c>
      <c r="C18" s="5" t="s">
        <v>72</v>
      </c>
      <c r="D18" s="5" t="s">
        <v>612</v>
      </c>
      <c r="E18" s="5" t="s">
        <v>669</v>
      </c>
      <c r="F18" s="5" t="s">
        <v>670</v>
      </c>
      <c r="G18" s="5" t="s">
        <v>671</v>
      </c>
      <c r="H18" s="5" t="s">
        <v>672</v>
      </c>
      <c r="I18" s="5" t="s">
        <v>673</v>
      </c>
      <c r="J18" s="5" t="s">
        <v>621</v>
      </c>
      <c r="K18" s="5" t="s">
        <v>619</v>
      </c>
      <c r="L18" s="5" t="s">
        <v>46</v>
      </c>
      <c r="M18" s="5" t="s">
        <v>46</v>
      </c>
      <c r="N18" s="5" t="s">
        <v>46</v>
      </c>
      <c r="O18" s="5" t="s">
        <v>674</v>
      </c>
      <c r="P18" s="13">
        <f ca="1">IFERROR(__xludf.DUMMYFUNCTION("IF(REGEXMATCH(UPPER(E18),""CONGRESO""),1,0)"),0)</f>
        <v>0</v>
      </c>
    </row>
    <row r="19" spans="1:16" x14ac:dyDescent="0.2">
      <c r="A19" s="5" t="s">
        <v>70</v>
      </c>
      <c r="B19" s="5" t="s">
        <v>71</v>
      </c>
      <c r="C19" s="5" t="s">
        <v>72</v>
      </c>
      <c r="D19" s="5" t="s">
        <v>612</v>
      </c>
      <c r="E19" s="5" t="s">
        <v>675</v>
      </c>
      <c r="F19" s="5" t="s">
        <v>676</v>
      </c>
      <c r="G19" s="5" t="s">
        <v>677</v>
      </c>
      <c r="H19" s="5" t="s">
        <v>678</v>
      </c>
      <c r="I19" s="5" t="s">
        <v>632</v>
      </c>
      <c r="J19" s="5" t="s">
        <v>621</v>
      </c>
      <c r="K19" s="5" t="s">
        <v>619</v>
      </c>
      <c r="L19" s="5" t="s">
        <v>46</v>
      </c>
      <c r="M19" s="5" t="s">
        <v>46</v>
      </c>
      <c r="N19" s="5" t="s">
        <v>679</v>
      </c>
      <c r="P19" s="13">
        <f ca="1">IFERROR(__xludf.DUMMYFUNCTION("IF(REGEXMATCH(UPPER(E19),""CONGRESO""),1,0)"),0)</f>
        <v>0</v>
      </c>
    </row>
    <row r="20" spans="1:16" x14ac:dyDescent="0.2">
      <c r="A20" s="5" t="s">
        <v>70</v>
      </c>
      <c r="B20" s="5" t="s">
        <v>82</v>
      </c>
      <c r="C20" s="5" t="s">
        <v>83</v>
      </c>
      <c r="D20" s="5" t="s">
        <v>612</v>
      </c>
      <c r="E20" s="5" t="s">
        <v>680</v>
      </c>
      <c r="F20" s="5" t="s">
        <v>681</v>
      </c>
      <c r="G20" s="5" t="s">
        <v>682</v>
      </c>
      <c r="H20" s="5" t="s">
        <v>683</v>
      </c>
      <c r="I20" s="5" t="s">
        <v>617</v>
      </c>
      <c r="J20" s="5" t="s">
        <v>618</v>
      </c>
      <c r="K20" s="5" t="s">
        <v>619</v>
      </c>
      <c r="L20" s="5" t="s">
        <v>46</v>
      </c>
      <c r="M20" s="5" t="s">
        <v>46</v>
      </c>
      <c r="N20" s="5" t="s">
        <v>46</v>
      </c>
      <c r="P20" s="13">
        <f ca="1">IFERROR(__xludf.DUMMYFUNCTION("IF(REGEXMATCH(UPPER(E20),""CONGRESO""),1,0)"),0)</f>
        <v>0</v>
      </c>
    </row>
    <row r="21" spans="1:16" ht="15.75" customHeight="1" x14ac:dyDescent="0.2">
      <c r="A21" s="5" t="s">
        <v>70</v>
      </c>
      <c r="B21" s="5" t="s">
        <v>82</v>
      </c>
      <c r="C21" s="5" t="s">
        <v>83</v>
      </c>
      <c r="D21" s="5" t="s">
        <v>612</v>
      </c>
      <c r="E21" s="5" t="s">
        <v>684</v>
      </c>
      <c r="F21" s="5" t="s">
        <v>685</v>
      </c>
      <c r="G21" s="5" t="s">
        <v>686</v>
      </c>
      <c r="H21" s="5" t="s">
        <v>687</v>
      </c>
      <c r="I21" s="5" t="s">
        <v>688</v>
      </c>
      <c r="J21" s="5" t="s">
        <v>624</v>
      </c>
      <c r="K21" s="5" t="s">
        <v>619</v>
      </c>
      <c r="L21" s="5" t="s">
        <v>46</v>
      </c>
      <c r="M21" s="5" t="s">
        <v>46</v>
      </c>
      <c r="N21" s="5" t="s">
        <v>689</v>
      </c>
      <c r="P21" s="13">
        <f ca="1">IFERROR(__xludf.DUMMYFUNCTION("IF(REGEXMATCH(UPPER(E21),""CONGRESO""),1,0)"),0)</f>
        <v>0</v>
      </c>
    </row>
    <row r="22" spans="1:16" ht="15.75" customHeight="1" x14ac:dyDescent="0.2">
      <c r="A22" s="5" t="s">
        <v>70</v>
      </c>
      <c r="B22" s="5" t="s">
        <v>82</v>
      </c>
      <c r="C22" s="5" t="s">
        <v>83</v>
      </c>
      <c r="D22" s="5" t="s">
        <v>612</v>
      </c>
      <c r="E22" s="5" t="s">
        <v>690</v>
      </c>
      <c r="F22" s="5" t="s">
        <v>685</v>
      </c>
      <c r="G22" s="5" t="s">
        <v>691</v>
      </c>
      <c r="H22" s="5" t="s">
        <v>692</v>
      </c>
      <c r="I22" s="5" t="s">
        <v>693</v>
      </c>
      <c r="J22" s="5" t="s">
        <v>627</v>
      </c>
      <c r="K22" s="5" t="s">
        <v>619</v>
      </c>
      <c r="L22" s="5" t="s">
        <v>46</v>
      </c>
      <c r="M22" s="5" t="s">
        <v>46</v>
      </c>
      <c r="N22" s="5" t="s">
        <v>217</v>
      </c>
      <c r="O22" s="5" t="s">
        <v>694</v>
      </c>
      <c r="P22" s="13">
        <f ca="1">IFERROR(__xludf.DUMMYFUNCTION("IF(REGEXMATCH(UPPER(E22),""CONGRESO""),1,0)"),0)</f>
        <v>0</v>
      </c>
    </row>
    <row r="23" spans="1:16" ht="15.75" customHeight="1" x14ac:dyDescent="0.2">
      <c r="A23" s="5" t="s">
        <v>70</v>
      </c>
      <c r="B23" s="5" t="s">
        <v>82</v>
      </c>
      <c r="C23" s="5" t="s">
        <v>83</v>
      </c>
      <c r="D23" s="5" t="s">
        <v>612</v>
      </c>
      <c r="E23" s="5" t="s">
        <v>695</v>
      </c>
      <c r="F23" s="5" t="s">
        <v>681</v>
      </c>
      <c r="G23" s="5" t="s">
        <v>696</v>
      </c>
      <c r="H23" s="5" t="s">
        <v>697</v>
      </c>
      <c r="I23" s="5" t="s">
        <v>693</v>
      </c>
      <c r="J23" s="5" t="s">
        <v>693</v>
      </c>
      <c r="K23" s="5" t="s">
        <v>619</v>
      </c>
      <c r="L23" s="5" t="s">
        <v>46</v>
      </c>
      <c r="M23" s="5" t="s">
        <v>46</v>
      </c>
      <c r="N23" s="5" t="s">
        <v>551</v>
      </c>
      <c r="P23" s="13">
        <f ca="1">IFERROR(__xludf.DUMMYFUNCTION("IF(REGEXMATCH(UPPER(E23),""CONGRESO""),1,0)"),0)</f>
        <v>0</v>
      </c>
    </row>
    <row r="24" spans="1:16" ht="15.75" customHeight="1" x14ac:dyDescent="0.2">
      <c r="A24" s="5" t="s">
        <v>70</v>
      </c>
      <c r="B24" s="5" t="s">
        <v>82</v>
      </c>
      <c r="C24" s="5" t="s">
        <v>83</v>
      </c>
      <c r="D24" s="5" t="s">
        <v>612</v>
      </c>
      <c r="E24" s="5" t="s">
        <v>680</v>
      </c>
      <c r="F24" s="5" t="s">
        <v>614</v>
      </c>
      <c r="G24" s="5" t="s">
        <v>682</v>
      </c>
      <c r="H24" s="5" t="s">
        <v>683</v>
      </c>
      <c r="I24" s="5" t="s">
        <v>624</v>
      </c>
      <c r="J24" s="5" t="s">
        <v>631</v>
      </c>
      <c r="K24" s="5" t="s">
        <v>619</v>
      </c>
      <c r="L24" s="5" t="s">
        <v>46</v>
      </c>
      <c r="M24" s="5" t="s">
        <v>46</v>
      </c>
      <c r="N24" s="5" t="s">
        <v>46</v>
      </c>
      <c r="P24" s="13">
        <f ca="1">IFERROR(__xludf.DUMMYFUNCTION("IF(REGEXMATCH(UPPER(E24),""CONGRESO""),1,0)"),0)</f>
        <v>0</v>
      </c>
    </row>
    <row r="25" spans="1:16" ht="15.75" customHeight="1" x14ac:dyDescent="0.2">
      <c r="A25" s="5" t="s">
        <v>70</v>
      </c>
      <c r="B25" s="5" t="s">
        <v>93</v>
      </c>
      <c r="C25" s="5" t="s">
        <v>94</v>
      </c>
      <c r="D25" s="5" t="s">
        <v>612</v>
      </c>
      <c r="E25" s="5" t="s">
        <v>698</v>
      </c>
      <c r="F25" s="5" t="s">
        <v>699</v>
      </c>
      <c r="H25" s="5" t="s">
        <v>700</v>
      </c>
      <c r="I25" s="5" t="s">
        <v>693</v>
      </c>
      <c r="J25" s="5" t="s">
        <v>627</v>
      </c>
      <c r="K25" s="5" t="s">
        <v>619</v>
      </c>
      <c r="L25" s="5" t="s">
        <v>46</v>
      </c>
      <c r="M25" s="5" t="s">
        <v>46</v>
      </c>
      <c r="N25" s="5" t="s">
        <v>46</v>
      </c>
      <c r="P25" s="13">
        <f ca="1">IFERROR(__xludf.DUMMYFUNCTION("IF(REGEXMATCH(UPPER(E25),""CONGRESO""),1,0)"),0)</f>
        <v>0</v>
      </c>
    </row>
    <row r="26" spans="1:16" ht="15.75" customHeight="1" x14ac:dyDescent="0.2">
      <c r="A26" s="5" t="s">
        <v>70</v>
      </c>
      <c r="B26" s="5" t="s">
        <v>93</v>
      </c>
      <c r="C26" s="5" t="s">
        <v>94</v>
      </c>
      <c r="D26" s="5" t="s">
        <v>612</v>
      </c>
      <c r="E26" s="5" t="s">
        <v>701</v>
      </c>
      <c r="F26" s="5" t="s">
        <v>702</v>
      </c>
      <c r="H26" s="5" t="s">
        <v>703</v>
      </c>
      <c r="I26" s="5" t="s">
        <v>624</v>
      </c>
      <c r="J26" s="5" t="s">
        <v>631</v>
      </c>
      <c r="K26" s="5" t="s">
        <v>619</v>
      </c>
      <c r="L26" s="5" t="s">
        <v>46</v>
      </c>
      <c r="M26" s="5" t="s">
        <v>46</v>
      </c>
      <c r="N26" s="5" t="s">
        <v>689</v>
      </c>
      <c r="P26" s="13">
        <f ca="1">IFERROR(__xludf.DUMMYFUNCTION("IF(REGEXMATCH(UPPER(E26),""CONGRESO""),1,0)"),0)</f>
        <v>0</v>
      </c>
    </row>
    <row r="27" spans="1:16" ht="15.75" customHeight="1" x14ac:dyDescent="0.2">
      <c r="A27" s="5" t="s">
        <v>70</v>
      </c>
      <c r="B27" s="5" t="s">
        <v>93</v>
      </c>
      <c r="C27" s="5" t="s">
        <v>94</v>
      </c>
      <c r="D27" s="5" t="s">
        <v>612</v>
      </c>
      <c r="E27" s="5" t="s">
        <v>701</v>
      </c>
      <c r="F27" s="5" t="s">
        <v>704</v>
      </c>
      <c r="H27" s="5" t="s">
        <v>705</v>
      </c>
      <c r="I27" s="5" t="s">
        <v>706</v>
      </c>
      <c r="J27" s="5" t="s">
        <v>688</v>
      </c>
      <c r="K27" s="5" t="s">
        <v>619</v>
      </c>
      <c r="L27" s="5" t="s">
        <v>57</v>
      </c>
      <c r="M27" s="5" t="s">
        <v>707</v>
      </c>
      <c r="N27" s="5" t="s">
        <v>708</v>
      </c>
      <c r="P27" s="13">
        <f ca="1">IFERROR(__xludf.DUMMYFUNCTION("IF(REGEXMATCH(UPPER(E27),""CONGRESO""),1,0)"),0)</f>
        <v>0</v>
      </c>
    </row>
    <row r="28" spans="1:16" ht="15.75" customHeight="1" x14ac:dyDescent="0.2">
      <c r="A28" s="5" t="s">
        <v>70</v>
      </c>
      <c r="B28" s="5" t="s">
        <v>93</v>
      </c>
      <c r="C28" s="5" t="s">
        <v>94</v>
      </c>
      <c r="D28" s="5" t="s">
        <v>612</v>
      </c>
      <c r="E28" s="5" t="s">
        <v>701</v>
      </c>
      <c r="F28" s="5" t="s">
        <v>709</v>
      </c>
      <c r="H28" s="5" t="s">
        <v>703</v>
      </c>
      <c r="I28" s="5" t="s">
        <v>631</v>
      </c>
      <c r="J28" s="5" t="s">
        <v>693</v>
      </c>
      <c r="K28" s="5" t="s">
        <v>619</v>
      </c>
      <c r="L28" s="5" t="s">
        <v>46</v>
      </c>
      <c r="M28" s="5" t="s">
        <v>46</v>
      </c>
      <c r="N28" s="5" t="s">
        <v>689</v>
      </c>
      <c r="P28" s="13">
        <f ca="1">IFERROR(__xludf.DUMMYFUNCTION("IF(REGEXMATCH(UPPER(E28),""CONGRESO""),1,0)"),0)</f>
        <v>0</v>
      </c>
    </row>
    <row r="29" spans="1:16" ht="15.75" customHeight="1" x14ac:dyDescent="0.2">
      <c r="A29" s="5" t="s">
        <v>70</v>
      </c>
      <c r="B29" s="5" t="s">
        <v>102</v>
      </c>
      <c r="C29" s="5" t="s">
        <v>103</v>
      </c>
      <c r="D29" s="5" t="s">
        <v>612</v>
      </c>
      <c r="E29" s="5" t="s">
        <v>710</v>
      </c>
      <c r="F29" s="5" t="s">
        <v>711</v>
      </c>
      <c r="H29" s="5" t="s">
        <v>712</v>
      </c>
      <c r="I29" s="5" t="s">
        <v>713</v>
      </c>
      <c r="J29" s="5" t="s">
        <v>624</v>
      </c>
      <c r="K29" s="5" t="s">
        <v>619</v>
      </c>
      <c r="L29" s="5" t="s">
        <v>107</v>
      </c>
      <c r="M29" s="5" t="s">
        <v>108</v>
      </c>
      <c r="N29" s="5" t="s">
        <v>109</v>
      </c>
      <c r="O29" s="5" t="s">
        <v>714</v>
      </c>
      <c r="P29" s="13">
        <f ca="1">IFERROR(__xludf.DUMMYFUNCTION("IF(REGEXMATCH(UPPER(E29),""CONGRESO""),1,0)"),0)</f>
        <v>0</v>
      </c>
    </row>
    <row r="30" spans="1:16" ht="15.75" customHeight="1" x14ac:dyDescent="0.2">
      <c r="A30" s="5" t="s">
        <v>70</v>
      </c>
      <c r="B30" s="5" t="s">
        <v>102</v>
      </c>
      <c r="C30" s="5" t="s">
        <v>103</v>
      </c>
      <c r="D30" s="5" t="s">
        <v>612</v>
      </c>
      <c r="E30" s="5" t="s">
        <v>715</v>
      </c>
      <c r="F30" s="5" t="s">
        <v>711</v>
      </c>
      <c r="H30" s="5" t="s">
        <v>716</v>
      </c>
      <c r="I30" s="5" t="s">
        <v>717</v>
      </c>
      <c r="J30" s="5" t="s">
        <v>631</v>
      </c>
      <c r="K30" s="5" t="s">
        <v>619</v>
      </c>
      <c r="L30" s="5" t="s">
        <v>107</v>
      </c>
      <c r="M30" s="5" t="s">
        <v>108</v>
      </c>
      <c r="N30" s="5" t="s">
        <v>109</v>
      </c>
      <c r="O30" s="5" t="s">
        <v>714</v>
      </c>
      <c r="P30" s="13">
        <f ca="1">IFERROR(__xludf.DUMMYFUNCTION("IF(REGEXMATCH(UPPER(E30),""CONGRESO""),1,0)"),0)</f>
        <v>0</v>
      </c>
    </row>
    <row r="31" spans="1:16" ht="15.75" customHeight="1" x14ac:dyDescent="0.2">
      <c r="A31" s="5" t="s">
        <v>70</v>
      </c>
      <c r="B31" s="5" t="s">
        <v>102</v>
      </c>
      <c r="C31" s="5" t="s">
        <v>103</v>
      </c>
      <c r="D31" s="5" t="s">
        <v>612</v>
      </c>
      <c r="E31" s="5" t="s">
        <v>613</v>
      </c>
      <c r="F31" s="5" t="s">
        <v>662</v>
      </c>
      <c r="H31" s="5" t="s">
        <v>718</v>
      </c>
      <c r="I31" s="5" t="s">
        <v>627</v>
      </c>
      <c r="J31" s="5" t="s">
        <v>618</v>
      </c>
      <c r="K31" s="5" t="s">
        <v>619</v>
      </c>
      <c r="L31" s="5" t="s">
        <v>46</v>
      </c>
      <c r="M31" s="5" t="s">
        <v>46</v>
      </c>
      <c r="N31" s="5" t="s">
        <v>46</v>
      </c>
      <c r="O31" s="5" t="s">
        <v>719</v>
      </c>
      <c r="P31" s="13">
        <f ca="1">IFERROR(__xludf.DUMMYFUNCTION("IF(REGEXMATCH(UPPER(E31),""CONGRESO""),1,0)"),1)</f>
        <v>1</v>
      </c>
    </row>
    <row r="32" spans="1:16" ht="15.75" customHeight="1" x14ac:dyDescent="0.2">
      <c r="A32" s="5" t="s">
        <v>70</v>
      </c>
      <c r="B32" s="5" t="s">
        <v>102</v>
      </c>
      <c r="C32" s="5" t="s">
        <v>103</v>
      </c>
      <c r="D32" s="5" t="s">
        <v>612</v>
      </c>
      <c r="E32" s="5" t="s">
        <v>720</v>
      </c>
      <c r="F32" s="5" t="s">
        <v>721</v>
      </c>
      <c r="H32" s="5" t="s">
        <v>722</v>
      </c>
      <c r="I32" s="5" t="s">
        <v>717</v>
      </c>
      <c r="J32" s="5" t="s">
        <v>627</v>
      </c>
      <c r="K32" s="5" t="s">
        <v>619</v>
      </c>
      <c r="L32" s="5" t="s">
        <v>107</v>
      </c>
      <c r="M32" s="5" t="s">
        <v>723</v>
      </c>
      <c r="N32" s="5" t="s">
        <v>723</v>
      </c>
      <c r="P32" s="13">
        <f ca="1">IFERROR(__xludf.DUMMYFUNCTION("IF(REGEXMATCH(UPPER(E32),""CONGRESO""),1,0)"),0)</f>
        <v>0</v>
      </c>
    </row>
    <row r="33" spans="1:16" ht="15.75" customHeight="1" x14ac:dyDescent="0.2">
      <c r="A33" s="5" t="s">
        <v>70</v>
      </c>
      <c r="B33" s="5" t="s">
        <v>102</v>
      </c>
      <c r="C33" s="5" t="s">
        <v>103</v>
      </c>
      <c r="D33" s="5" t="s">
        <v>612</v>
      </c>
      <c r="E33" s="5" t="s">
        <v>724</v>
      </c>
      <c r="F33" s="5" t="s">
        <v>725</v>
      </c>
      <c r="H33" s="5" t="s">
        <v>726</v>
      </c>
      <c r="I33" s="5" t="s">
        <v>632</v>
      </c>
      <c r="J33" s="5" t="s">
        <v>627</v>
      </c>
      <c r="K33" s="5" t="s">
        <v>619</v>
      </c>
      <c r="L33" s="5" t="s">
        <v>46</v>
      </c>
      <c r="M33" s="5" t="s">
        <v>46</v>
      </c>
      <c r="N33" s="5" t="s">
        <v>727</v>
      </c>
      <c r="P33" s="13">
        <f ca="1">IFERROR(__xludf.DUMMYFUNCTION("IF(REGEXMATCH(UPPER(E33),""CONGRESO""),1,0)"),0)</f>
        <v>0</v>
      </c>
    </row>
    <row r="34" spans="1:16" ht="15.75" customHeight="1" x14ac:dyDescent="0.2">
      <c r="A34" s="5" t="s">
        <v>70</v>
      </c>
      <c r="B34" s="5" t="s">
        <v>112</v>
      </c>
      <c r="C34" s="5" t="s">
        <v>113</v>
      </c>
      <c r="D34" s="5" t="s">
        <v>612</v>
      </c>
      <c r="E34" s="5" t="s">
        <v>613</v>
      </c>
      <c r="F34" s="5" t="s">
        <v>662</v>
      </c>
      <c r="H34" s="5" t="s">
        <v>728</v>
      </c>
      <c r="I34" s="5" t="s">
        <v>623</v>
      </c>
      <c r="J34" s="5" t="s">
        <v>624</v>
      </c>
      <c r="K34" s="5" t="s">
        <v>619</v>
      </c>
      <c r="L34" s="5" t="s">
        <v>46</v>
      </c>
      <c r="M34" s="5" t="s">
        <v>46</v>
      </c>
      <c r="N34" s="5" t="s">
        <v>46</v>
      </c>
      <c r="P34" s="13">
        <f ca="1">IFERROR(__xludf.DUMMYFUNCTION("IF(REGEXMATCH(UPPER(E34),""CONGRESO""),1,0)"),1)</f>
        <v>1</v>
      </c>
    </row>
    <row r="35" spans="1:16" ht="15.75" customHeight="1" x14ac:dyDescent="0.2">
      <c r="A35" s="5" t="s">
        <v>70</v>
      </c>
      <c r="B35" s="5" t="s">
        <v>112</v>
      </c>
      <c r="C35" s="5" t="s">
        <v>113</v>
      </c>
      <c r="D35" s="5" t="s">
        <v>612</v>
      </c>
      <c r="E35" s="5" t="s">
        <v>613</v>
      </c>
      <c r="F35" s="5" t="s">
        <v>662</v>
      </c>
      <c r="H35" s="5" t="s">
        <v>728</v>
      </c>
      <c r="I35" s="5" t="s">
        <v>621</v>
      </c>
      <c r="J35" s="5" t="s">
        <v>627</v>
      </c>
      <c r="K35" s="5" t="s">
        <v>619</v>
      </c>
      <c r="L35" s="5" t="s">
        <v>46</v>
      </c>
      <c r="M35" s="5" t="s">
        <v>46</v>
      </c>
      <c r="N35" s="5" t="s">
        <v>46</v>
      </c>
      <c r="O35" s="5" t="s">
        <v>729</v>
      </c>
      <c r="P35" s="13">
        <f ca="1">IFERROR(__xludf.DUMMYFUNCTION("IF(REGEXMATCH(UPPER(E35),""CONGRESO""),1,0)"),1)</f>
        <v>1</v>
      </c>
    </row>
    <row r="36" spans="1:16" ht="15.75" customHeight="1" x14ac:dyDescent="0.2">
      <c r="A36" s="5" t="s">
        <v>70</v>
      </c>
      <c r="B36" s="5" t="s">
        <v>112</v>
      </c>
      <c r="C36" s="5" t="s">
        <v>113</v>
      </c>
      <c r="D36" s="5" t="s">
        <v>612</v>
      </c>
      <c r="E36" s="5" t="s">
        <v>613</v>
      </c>
      <c r="F36" s="5" t="s">
        <v>614</v>
      </c>
      <c r="H36" s="5" t="s">
        <v>728</v>
      </c>
      <c r="I36" s="5" t="s">
        <v>624</v>
      </c>
      <c r="J36" s="5" t="s">
        <v>621</v>
      </c>
      <c r="K36" s="5" t="s">
        <v>619</v>
      </c>
      <c r="L36" s="5" t="s">
        <v>46</v>
      </c>
      <c r="M36" s="5" t="s">
        <v>46</v>
      </c>
      <c r="N36" s="5" t="s">
        <v>46</v>
      </c>
      <c r="P36" s="13">
        <f ca="1">IFERROR(__xludf.DUMMYFUNCTION("IF(REGEXMATCH(UPPER(E36),""CONGRESO""),1,0)"),1)</f>
        <v>1</v>
      </c>
    </row>
    <row r="37" spans="1:16" ht="15.75" customHeight="1" x14ac:dyDescent="0.2">
      <c r="A37" s="5" t="s">
        <v>70</v>
      </c>
      <c r="B37" s="5" t="s">
        <v>112</v>
      </c>
      <c r="C37" s="5" t="s">
        <v>113</v>
      </c>
      <c r="D37" s="5" t="s">
        <v>612</v>
      </c>
      <c r="E37" s="5" t="s">
        <v>730</v>
      </c>
      <c r="F37" s="5" t="s">
        <v>656</v>
      </c>
      <c r="H37" s="5" t="s">
        <v>731</v>
      </c>
      <c r="I37" s="5" t="s">
        <v>732</v>
      </c>
      <c r="J37" s="5" t="s">
        <v>632</v>
      </c>
      <c r="K37" s="5" t="s">
        <v>619</v>
      </c>
      <c r="L37" s="5" t="s">
        <v>46</v>
      </c>
      <c r="M37" s="5" t="s">
        <v>46</v>
      </c>
      <c r="N37" s="5" t="s">
        <v>46</v>
      </c>
      <c r="O37" s="5" t="s">
        <v>733</v>
      </c>
      <c r="P37" s="13">
        <f ca="1">IFERROR(__xludf.DUMMYFUNCTION("IF(REGEXMATCH(UPPER(E37),""CONGRESO""),1,0)"),0)</f>
        <v>0</v>
      </c>
    </row>
    <row r="38" spans="1:16" ht="15.75" customHeight="1" x14ac:dyDescent="0.2">
      <c r="A38" s="5" t="s">
        <v>70</v>
      </c>
      <c r="B38" s="5" t="s">
        <v>112</v>
      </c>
      <c r="C38" s="5" t="s">
        <v>113</v>
      </c>
      <c r="D38" s="5" t="s">
        <v>612</v>
      </c>
      <c r="E38" s="5" t="s">
        <v>613</v>
      </c>
      <c r="F38" s="5" t="s">
        <v>614</v>
      </c>
      <c r="H38" s="5" t="s">
        <v>728</v>
      </c>
      <c r="I38" s="5" t="s">
        <v>627</v>
      </c>
      <c r="J38" s="5" t="s">
        <v>618</v>
      </c>
      <c r="K38" s="5" t="s">
        <v>619</v>
      </c>
      <c r="L38" s="5" t="s">
        <v>46</v>
      </c>
      <c r="M38" s="5" t="s">
        <v>46</v>
      </c>
      <c r="N38" s="5" t="s">
        <v>46</v>
      </c>
      <c r="O38" s="5" t="s">
        <v>734</v>
      </c>
      <c r="P38" s="13">
        <f ca="1">IFERROR(__xludf.DUMMYFUNCTION("IF(REGEXMATCH(UPPER(E38),""CONGRESO""),1,0)"),1)</f>
        <v>1</v>
      </c>
    </row>
    <row r="39" spans="1:16" ht="15.75" customHeight="1" x14ac:dyDescent="0.2">
      <c r="A39" s="5" t="s">
        <v>70</v>
      </c>
      <c r="B39" s="5" t="s">
        <v>123</v>
      </c>
      <c r="C39" s="5" t="s">
        <v>124</v>
      </c>
      <c r="D39" s="5" t="s">
        <v>612</v>
      </c>
      <c r="E39" s="5" t="s">
        <v>735</v>
      </c>
      <c r="F39" s="5" t="s">
        <v>666</v>
      </c>
      <c r="H39" s="5" t="s">
        <v>736</v>
      </c>
      <c r="I39" s="5" t="s">
        <v>624</v>
      </c>
      <c r="J39" s="5" t="s">
        <v>632</v>
      </c>
      <c r="K39" s="5" t="s">
        <v>619</v>
      </c>
      <c r="L39" s="5" t="s">
        <v>46</v>
      </c>
      <c r="M39" s="5" t="s">
        <v>46</v>
      </c>
      <c r="N39" s="5" t="s">
        <v>46</v>
      </c>
      <c r="O39" s="5" t="s">
        <v>737</v>
      </c>
      <c r="P39" s="13">
        <f ca="1">IFERROR(__xludf.DUMMYFUNCTION("IF(REGEXMATCH(UPPER(E39),""CONGRESO""),1,0)"),1)</f>
        <v>1</v>
      </c>
    </row>
    <row r="40" spans="1:16" ht="15.75" customHeight="1" x14ac:dyDescent="0.2">
      <c r="A40" s="5" t="s">
        <v>70</v>
      </c>
      <c r="B40" s="5" t="s">
        <v>123</v>
      </c>
      <c r="C40" s="5" t="s">
        <v>124</v>
      </c>
      <c r="D40" s="5" t="s">
        <v>612</v>
      </c>
      <c r="E40" s="5" t="s">
        <v>738</v>
      </c>
      <c r="F40" s="5" t="s">
        <v>739</v>
      </c>
      <c r="H40" s="5" t="s">
        <v>740</v>
      </c>
      <c r="I40" s="5" t="s">
        <v>653</v>
      </c>
      <c r="J40" s="5" t="s">
        <v>618</v>
      </c>
      <c r="K40" s="5" t="s">
        <v>619</v>
      </c>
      <c r="L40" s="5" t="s">
        <v>129</v>
      </c>
      <c r="M40" s="5" t="s">
        <v>130</v>
      </c>
      <c r="N40" s="5" t="s">
        <v>131</v>
      </c>
      <c r="P40" s="13">
        <f ca="1">IFERROR(__xludf.DUMMYFUNCTION("IF(REGEXMATCH(UPPER(E40),""CONGRESO""),1,0)"),0)</f>
        <v>0</v>
      </c>
    </row>
    <row r="41" spans="1:16" ht="15.75" customHeight="1" x14ac:dyDescent="0.2">
      <c r="A41" s="5" t="s">
        <v>70</v>
      </c>
      <c r="B41" s="5" t="s">
        <v>123</v>
      </c>
      <c r="C41" s="5" t="s">
        <v>124</v>
      </c>
      <c r="D41" s="5" t="s">
        <v>612</v>
      </c>
      <c r="E41" s="5" t="s">
        <v>741</v>
      </c>
      <c r="F41" s="5" t="s">
        <v>742</v>
      </c>
      <c r="H41" s="5" t="s">
        <v>743</v>
      </c>
      <c r="I41" s="5" t="s">
        <v>621</v>
      </c>
      <c r="J41" s="5" t="s">
        <v>621</v>
      </c>
      <c r="K41" s="5" t="s">
        <v>619</v>
      </c>
      <c r="L41" s="5" t="s">
        <v>46</v>
      </c>
      <c r="M41" s="5" t="s">
        <v>46</v>
      </c>
      <c r="N41" s="5" t="s">
        <v>46</v>
      </c>
      <c r="P41" s="13">
        <f ca="1">IFERROR(__xludf.DUMMYFUNCTION("IF(REGEXMATCH(UPPER(E41),""CONGRESO""),1,0)"),0)</f>
        <v>0</v>
      </c>
    </row>
    <row r="42" spans="1:16" ht="15.75" customHeight="1" x14ac:dyDescent="0.2">
      <c r="A42" s="5" t="s">
        <v>70</v>
      </c>
      <c r="B42" s="5" t="s">
        <v>134</v>
      </c>
      <c r="C42" s="5" t="s">
        <v>135</v>
      </c>
      <c r="D42" s="5" t="s">
        <v>612</v>
      </c>
      <c r="E42" s="5" t="s">
        <v>735</v>
      </c>
      <c r="F42" s="5" t="s">
        <v>666</v>
      </c>
      <c r="G42" s="5" t="s">
        <v>615</v>
      </c>
      <c r="H42" s="5" t="s">
        <v>744</v>
      </c>
      <c r="I42" s="5" t="s">
        <v>627</v>
      </c>
      <c r="J42" s="5" t="s">
        <v>618</v>
      </c>
      <c r="K42" s="5" t="s">
        <v>619</v>
      </c>
      <c r="L42" s="5" t="s">
        <v>46</v>
      </c>
      <c r="M42" s="5" t="s">
        <v>46</v>
      </c>
      <c r="N42" s="5" t="s">
        <v>46</v>
      </c>
      <c r="O42" s="5" t="s">
        <v>745</v>
      </c>
      <c r="P42" s="13">
        <f ca="1">IFERROR(__xludf.DUMMYFUNCTION("IF(REGEXMATCH(UPPER(E42),""CONGRESO""),1,0)"),1)</f>
        <v>1</v>
      </c>
    </row>
    <row r="43" spans="1:16" ht="15.75" customHeight="1" x14ac:dyDescent="0.2">
      <c r="A43" s="5" t="s">
        <v>70</v>
      </c>
      <c r="B43" s="5" t="s">
        <v>134</v>
      </c>
      <c r="C43" s="5" t="s">
        <v>135</v>
      </c>
      <c r="D43" s="5" t="s">
        <v>612</v>
      </c>
      <c r="E43" s="5" t="s">
        <v>746</v>
      </c>
      <c r="F43" s="5" t="s">
        <v>747</v>
      </c>
      <c r="G43" s="5" t="s">
        <v>748</v>
      </c>
      <c r="H43" s="5" t="s">
        <v>749</v>
      </c>
      <c r="I43" s="5" t="s">
        <v>750</v>
      </c>
      <c r="J43" s="5" t="s">
        <v>621</v>
      </c>
      <c r="K43" s="5" t="s">
        <v>619</v>
      </c>
      <c r="L43" s="5" t="s">
        <v>77</v>
      </c>
      <c r="M43" s="5" t="s">
        <v>78</v>
      </c>
      <c r="N43" s="5" t="s">
        <v>78</v>
      </c>
      <c r="P43" s="13">
        <f ca="1">IFERROR(__xludf.DUMMYFUNCTION("IF(REGEXMATCH(UPPER(E43),""CONGRESO""),1,0)"),0)</f>
        <v>0</v>
      </c>
    </row>
    <row r="44" spans="1:16" ht="15.75" customHeight="1" x14ac:dyDescent="0.2">
      <c r="A44" s="5" t="s">
        <v>70</v>
      </c>
      <c r="B44" s="5" t="s">
        <v>134</v>
      </c>
      <c r="C44" s="5" t="s">
        <v>135</v>
      </c>
      <c r="D44" s="5" t="s">
        <v>612</v>
      </c>
      <c r="E44" s="5" t="s">
        <v>751</v>
      </c>
      <c r="F44" s="5" t="s">
        <v>747</v>
      </c>
      <c r="G44" s="5" t="s">
        <v>752</v>
      </c>
      <c r="H44" s="5" t="s">
        <v>753</v>
      </c>
      <c r="I44" s="5" t="s">
        <v>623</v>
      </c>
      <c r="J44" s="5" t="s">
        <v>627</v>
      </c>
      <c r="K44" s="5" t="s">
        <v>619</v>
      </c>
      <c r="L44" s="5" t="s">
        <v>77</v>
      </c>
      <c r="M44" s="5" t="s">
        <v>78</v>
      </c>
      <c r="N44" s="5" t="s">
        <v>78</v>
      </c>
      <c r="P44" s="13">
        <f ca="1">IFERROR(__xludf.DUMMYFUNCTION("IF(REGEXMATCH(UPPER(E44),""CONGRESO""),1,0)"),0)</f>
        <v>0</v>
      </c>
    </row>
    <row r="45" spans="1:16" ht="15.75" customHeight="1" x14ac:dyDescent="0.2">
      <c r="A45" s="5" t="s">
        <v>70</v>
      </c>
      <c r="B45" s="5" t="s">
        <v>144</v>
      </c>
      <c r="C45" s="5" t="s">
        <v>145</v>
      </c>
      <c r="D45" s="5" t="s">
        <v>612</v>
      </c>
      <c r="E45" s="5" t="s">
        <v>754</v>
      </c>
      <c r="F45" s="5" t="s">
        <v>747</v>
      </c>
      <c r="G45" s="5" t="s">
        <v>755</v>
      </c>
      <c r="H45" s="5" t="s">
        <v>756</v>
      </c>
      <c r="I45" s="5" t="s">
        <v>757</v>
      </c>
      <c r="J45" s="5" t="s">
        <v>627</v>
      </c>
      <c r="K45" s="5" t="s">
        <v>619</v>
      </c>
      <c r="L45" s="5" t="s">
        <v>150</v>
      </c>
      <c r="M45" s="5" t="s">
        <v>151</v>
      </c>
      <c r="N45" s="5" t="s">
        <v>151</v>
      </c>
      <c r="P45" s="13">
        <f ca="1">IFERROR(__xludf.DUMMYFUNCTION("IF(REGEXMATCH(UPPER(E45),""CONGRESO""),1,0)"),0)</f>
        <v>0</v>
      </c>
    </row>
    <row r="46" spans="1:16" ht="15.75" customHeight="1" x14ac:dyDescent="0.2">
      <c r="A46" s="5" t="s">
        <v>70</v>
      </c>
      <c r="B46" s="5" t="s">
        <v>144</v>
      </c>
      <c r="C46" s="5" t="s">
        <v>145</v>
      </c>
      <c r="D46" s="5" t="s">
        <v>612</v>
      </c>
      <c r="E46" s="5" t="s">
        <v>665</v>
      </c>
      <c r="F46" s="5" t="s">
        <v>666</v>
      </c>
      <c r="G46" s="5" t="s">
        <v>615</v>
      </c>
      <c r="H46" s="5" t="s">
        <v>744</v>
      </c>
      <c r="I46" s="5" t="s">
        <v>627</v>
      </c>
      <c r="J46" s="5" t="s">
        <v>618</v>
      </c>
      <c r="K46" s="5" t="s">
        <v>619</v>
      </c>
      <c r="L46" s="5" t="s">
        <v>46</v>
      </c>
      <c r="M46" s="5" t="s">
        <v>46</v>
      </c>
      <c r="N46" s="5" t="s">
        <v>46</v>
      </c>
      <c r="P46" s="13">
        <f ca="1">IFERROR(__xludf.DUMMYFUNCTION("IF(REGEXMATCH(UPPER(E46),""CONGRESO""),1,0)"),1)</f>
        <v>1</v>
      </c>
    </row>
    <row r="47" spans="1:16" ht="15.75" customHeight="1" x14ac:dyDescent="0.2">
      <c r="A47" s="5" t="s">
        <v>70</v>
      </c>
      <c r="B47" s="5" t="s">
        <v>154</v>
      </c>
      <c r="C47" s="5" t="s">
        <v>155</v>
      </c>
      <c r="D47" s="5" t="s">
        <v>612</v>
      </c>
      <c r="E47" s="5" t="s">
        <v>758</v>
      </c>
      <c r="F47" s="5" t="s">
        <v>759</v>
      </c>
      <c r="G47" s="5" t="s">
        <v>615</v>
      </c>
      <c r="H47" s="5" t="s">
        <v>760</v>
      </c>
      <c r="I47" s="5" t="s">
        <v>641</v>
      </c>
      <c r="J47" s="5" t="s">
        <v>688</v>
      </c>
      <c r="K47" s="5" t="s">
        <v>619</v>
      </c>
      <c r="L47" s="5" t="s">
        <v>46</v>
      </c>
      <c r="M47" s="5" t="s">
        <v>46</v>
      </c>
      <c r="N47" s="5" t="s">
        <v>46</v>
      </c>
      <c r="P47" s="13">
        <f ca="1">IFERROR(__xludf.DUMMYFUNCTION("IF(REGEXMATCH(UPPER(E47),""CONGRESO""),1,0)"),1)</f>
        <v>1</v>
      </c>
    </row>
    <row r="48" spans="1:16" ht="15.75" customHeight="1" x14ac:dyDescent="0.2">
      <c r="A48" s="5" t="s">
        <v>70</v>
      </c>
      <c r="B48" s="5" t="s">
        <v>154</v>
      </c>
      <c r="C48" s="5" t="s">
        <v>155</v>
      </c>
      <c r="D48" s="5" t="s">
        <v>612</v>
      </c>
      <c r="E48" s="5" t="s">
        <v>758</v>
      </c>
      <c r="F48" s="5" t="s">
        <v>622</v>
      </c>
      <c r="G48" s="5" t="s">
        <v>615</v>
      </c>
      <c r="H48" s="5" t="s">
        <v>616</v>
      </c>
      <c r="I48" s="5" t="s">
        <v>627</v>
      </c>
      <c r="J48" s="5" t="s">
        <v>618</v>
      </c>
      <c r="K48" s="5" t="s">
        <v>619</v>
      </c>
      <c r="L48" s="5" t="s">
        <v>46</v>
      </c>
      <c r="M48" s="5" t="s">
        <v>46</v>
      </c>
      <c r="N48" s="5" t="s">
        <v>46</v>
      </c>
      <c r="O48" s="5" t="s">
        <v>761</v>
      </c>
      <c r="P48" s="13">
        <f ca="1">IFERROR(__xludf.DUMMYFUNCTION("IF(REGEXMATCH(UPPER(E48),""CONGRESO""),1,0)"),1)</f>
        <v>1</v>
      </c>
    </row>
    <row r="49" spans="1:16" ht="15.75" customHeight="1" x14ac:dyDescent="0.2">
      <c r="A49" s="5" t="s">
        <v>70</v>
      </c>
      <c r="B49" s="5" t="s">
        <v>154</v>
      </c>
      <c r="C49" s="5" t="s">
        <v>155</v>
      </c>
      <c r="D49" s="5" t="s">
        <v>612</v>
      </c>
      <c r="E49" s="5" t="s">
        <v>762</v>
      </c>
      <c r="F49" s="5" t="s">
        <v>763</v>
      </c>
      <c r="G49" s="5" t="s">
        <v>764</v>
      </c>
      <c r="H49" s="5" t="s">
        <v>765</v>
      </c>
      <c r="I49" s="5" t="s">
        <v>621</v>
      </c>
      <c r="J49" s="5" t="s">
        <v>621</v>
      </c>
      <c r="K49" s="5" t="s">
        <v>619</v>
      </c>
      <c r="L49" s="5" t="s">
        <v>46</v>
      </c>
      <c r="M49" s="5" t="s">
        <v>46</v>
      </c>
      <c r="N49" s="5" t="s">
        <v>99</v>
      </c>
      <c r="P49" s="13">
        <f ca="1">IFERROR(__xludf.DUMMYFUNCTION("IF(REGEXMATCH(UPPER(E49),""CONGRESO""),1,0)"),0)</f>
        <v>0</v>
      </c>
    </row>
    <row r="50" spans="1:16" ht="15.75" customHeight="1" x14ac:dyDescent="0.2">
      <c r="A50" s="5" t="s">
        <v>70</v>
      </c>
      <c r="B50" s="5" t="s">
        <v>154</v>
      </c>
      <c r="C50" s="5" t="s">
        <v>155</v>
      </c>
      <c r="D50" s="5" t="s">
        <v>612</v>
      </c>
      <c r="E50" s="5" t="s">
        <v>766</v>
      </c>
      <c r="F50" s="5" t="s">
        <v>767</v>
      </c>
      <c r="G50" s="5" t="s">
        <v>768</v>
      </c>
      <c r="H50" s="5" t="s">
        <v>769</v>
      </c>
      <c r="I50" s="5" t="s">
        <v>688</v>
      </c>
      <c r="J50" s="5" t="s">
        <v>693</v>
      </c>
      <c r="K50" s="5" t="s">
        <v>619</v>
      </c>
      <c r="L50" s="5" t="s">
        <v>46</v>
      </c>
      <c r="M50" s="5" t="s">
        <v>46</v>
      </c>
      <c r="N50" s="5" t="s">
        <v>46</v>
      </c>
      <c r="P50" s="13">
        <f ca="1">IFERROR(__xludf.DUMMYFUNCTION("IF(REGEXMATCH(UPPER(E50),""CONGRESO""),1,0)"),0)</f>
        <v>0</v>
      </c>
    </row>
    <row r="51" spans="1:16" ht="15.75" customHeight="1" x14ac:dyDescent="0.2">
      <c r="A51" s="5" t="s">
        <v>70</v>
      </c>
      <c r="B51" s="5" t="s">
        <v>154</v>
      </c>
      <c r="C51" s="5" t="s">
        <v>155</v>
      </c>
      <c r="D51" s="5" t="s">
        <v>612</v>
      </c>
      <c r="E51" s="5" t="s">
        <v>770</v>
      </c>
      <c r="F51" s="5" t="s">
        <v>771</v>
      </c>
      <c r="G51" s="5" t="s">
        <v>772</v>
      </c>
      <c r="H51" s="5" t="s">
        <v>773</v>
      </c>
      <c r="I51" s="5" t="s">
        <v>632</v>
      </c>
      <c r="J51" s="5" t="s">
        <v>632</v>
      </c>
      <c r="K51" s="5" t="s">
        <v>619</v>
      </c>
      <c r="L51" s="5" t="s">
        <v>46</v>
      </c>
      <c r="M51" s="5" t="s">
        <v>46</v>
      </c>
      <c r="N51" s="5" t="s">
        <v>99</v>
      </c>
      <c r="P51" s="13">
        <f ca="1">IFERROR(__xludf.DUMMYFUNCTION("IF(REGEXMATCH(UPPER(E51),""CONGRESO""),1,0)"),0)</f>
        <v>0</v>
      </c>
    </row>
    <row r="52" spans="1:16" ht="15.75" customHeight="1" x14ac:dyDescent="0.2">
      <c r="A52" s="5" t="s">
        <v>70</v>
      </c>
      <c r="B52" s="5" t="s">
        <v>165</v>
      </c>
      <c r="C52" s="5" t="s">
        <v>166</v>
      </c>
      <c r="D52" s="5" t="s">
        <v>612</v>
      </c>
      <c r="E52" s="5" t="s">
        <v>613</v>
      </c>
      <c r="F52" s="5" t="s">
        <v>662</v>
      </c>
      <c r="H52" s="5" t="s">
        <v>760</v>
      </c>
      <c r="I52" s="5" t="s">
        <v>624</v>
      </c>
      <c r="J52" s="5" t="s">
        <v>632</v>
      </c>
      <c r="K52" s="5" t="s">
        <v>619</v>
      </c>
      <c r="L52" s="5" t="s">
        <v>46</v>
      </c>
      <c r="M52" s="5" t="s">
        <v>46</v>
      </c>
      <c r="N52" s="5" t="s">
        <v>46</v>
      </c>
      <c r="P52" s="13">
        <f ca="1">IFERROR(__xludf.DUMMYFUNCTION("IF(REGEXMATCH(UPPER(E52),""CONGRESO""),1,0)"),1)</f>
        <v>1</v>
      </c>
    </row>
    <row r="53" spans="1:16" ht="15.75" customHeight="1" x14ac:dyDescent="0.2">
      <c r="A53" s="5" t="s">
        <v>70</v>
      </c>
      <c r="B53" s="5" t="s">
        <v>176</v>
      </c>
      <c r="C53" s="5" t="s">
        <v>177</v>
      </c>
      <c r="D53" s="5" t="s">
        <v>612</v>
      </c>
      <c r="E53" s="5" t="s">
        <v>774</v>
      </c>
      <c r="F53" s="5" t="s">
        <v>775</v>
      </c>
      <c r="H53" s="5" t="s">
        <v>776</v>
      </c>
      <c r="I53" s="5" t="s">
        <v>649</v>
      </c>
      <c r="J53" s="5" t="s">
        <v>618</v>
      </c>
      <c r="K53" s="5" t="s">
        <v>619</v>
      </c>
      <c r="L53" s="5" t="s">
        <v>46</v>
      </c>
      <c r="M53" s="5" t="s">
        <v>46</v>
      </c>
      <c r="N53" s="5" t="s">
        <v>777</v>
      </c>
      <c r="O53" s="5" t="s">
        <v>778</v>
      </c>
      <c r="P53" s="13">
        <f ca="1">IFERROR(__xludf.DUMMYFUNCTION("IF(REGEXMATCH(UPPER(E53),""CONGRESO""),1,0)"),0)</f>
        <v>0</v>
      </c>
    </row>
    <row r="54" spans="1:16" ht="15.75" customHeight="1" x14ac:dyDescent="0.2">
      <c r="A54" s="5" t="s">
        <v>70</v>
      </c>
      <c r="B54" s="5" t="s">
        <v>176</v>
      </c>
      <c r="C54" s="5" t="s">
        <v>177</v>
      </c>
      <c r="D54" s="5" t="s">
        <v>612</v>
      </c>
      <c r="E54" s="5" t="s">
        <v>613</v>
      </c>
      <c r="F54" s="5" t="s">
        <v>662</v>
      </c>
      <c r="H54" s="5" t="s">
        <v>728</v>
      </c>
      <c r="I54" s="5" t="s">
        <v>621</v>
      </c>
      <c r="J54" s="5" t="s">
        <v>627</v>
      </c>
      <c r="K54" s="5" t="s">
        <v>619</v>
      </c>
      <c r="L54" s="5" t="s">
        <v>46</v>
      </c>
      <c r="M54" s="5" t="s">
        <v>46</v>
      </c>
      <c r="N54" s="5" t="s">
        <v>46</v>
      </c>
      <c r="P54" s="13">
        <f ca="1">IFERROR(__xludf.DUMMYFUNCTION("IF(REGEXMATCH(UPPER(E54),""CONGRESO""),1,0)"),1)</f>
        <v>1</v>
      </c>
    </row>
    <row r="55" spans="1:16" ht="15.75" customHeight="1" x14ac:dyDescent="0.2">
      <c r="A55" s="5" t="s">
        <v>70</v>
      </c>
      <c r="B55" s="5" t="s">
        <v>176</v>
      </c>
      <c r="C55" s="5" t="s">
        <v>177</v>
      </c>
      <c r="D55" s="5" t="s">
        <v>612</v>
      </c>
      <c r="E55" s="5" t="s">
        <v>779</v>
      </c>
      <c r="F55" s="5" t="s">
        <v>780</v>
      </c>
      <c r="H55" s="5" t="s">
        <v>781</v>
      </c>
      <c r="I55" s="5" t="s">
        <v>653</v>
      </c>
      <c r="J55" s="5" t="s">
        <v>618</v>
      </c>
      <c r="K55" s="5" t="s">
        <v>619</v>
      </c>
      <c r="L55" s="5" t="s">
        <v>46</v>
      </c>
      <c r="M55" s="5" t="s">
        <v>46</v>
      </c>
      <c r="N55" s="5" t="s">
        <v>777</v>
      </c>
      <c r="O55" s="5" t="s">
        <v>778</v>
      </c>
      <c r="P55" s="13">
        <f ca="1">IFERROR(__xludf.DUMMYFUNCTION("IF(REGEXMATCH(UPPER(E55),""CONGRESO""),1,0)"),0)</f>
        <v>0</v>
      </c>
    </row>
    <row r="56" spans="1:16" ht="15.75" customHeight="1" x14ac:dyDescent="0.2">
      <c r="A56" s="5" t="s">
        <v>70</v>
      </c>
      <c r="B56" s="5" t="s">
        <v>176</v>
      </c>
      <c r="C56" s="5" t="s">
        <v>177</v>
      </c>
      <c r="D56" s="5" t="s">
        <v>612</v>
      </c>
      <c r="E56" s="5" t="s">
        <v>613</v>
      </c>
      <c r="F56" s="5" t="s">
        <v>614</v>
      </c>
      <c r="H56" s="5" t="s">
        <v>728</v>
      </c>
      <c r="I56" s="5" t="s">
        <v>627</v>
      </c>
      <c r="J56" s="5" t="s">
        <v>649</v>
      </c>
      <c r="K56" s="5" t="s">
        <v>619</v>
      </c>
      <c r="L56" s="5" t="s">
        <v>46</v>
      </c>
      <c r="M56" s="5" t="s">
        <v>46</v>
      </c>
      <c r="N56" s="5" t="s">
        <v>46</v>
      </c>
      <c r="O56" s="5" t="s">
        <v>782</v>
      </c>
      <c r="P56" s="13">
        <f ca="1">IFERROR(__xludf.DUMMYFUNCTION("IF(REGEXMATCH(UPPER(E56),""CONGRESO""),1,0)"),1)</f>
        <v>1</v>
      </c>
    </row>
    <row r="57" spans="1:16" ht="15.75" customHeight="1" x14ac:dyDescent="0.2">
      <c r="A57" s="5" t="s">
        <v>70</v>
      </c>
      <c r="B57" s="5" t="s">
        <v>176</v>
      </c>
      <c r="C57" s="5" t="s">
        <v>177</v>
      </c>
      <c r="D57" s="5" t="s">
        <v>612</v>
      </c>
      <c r="E57" s="5" t="s">
        <v>783</v>
      </c>
      <c r="F57" s="5" t="s">
        <v>784</v>
      </c>
      <c r="H57" s="5" t="s">
        <v>785</v>
      </c>
      <c r="I57" s="5" t="s">
        <v>627</v>
      </c>
      <c r="J57" s="5" t="s">
        <v>618</v>
      </c>
      <c r="K57" s="5" t="s">
        <v>619</v>
      </c>
      <c r="L57" s="5" t="s">
        <v>46</v>
      </c>
      <c r="M57" s="5" t="s">
        <v>46</v>
      </c>
      <c r="N57" s="5" t="s">
        <v>217</v>
      </c>
      <c r="O57" s="5" t="s">
        <v>778</v>
      </c>
      <c r="P57" s="13">
        <f ca="1">IFERROR(__xludf.DUMMYFUNCTION("IF(REGEXMATCH(UPPER(E57),""CONGRESO""),1,0)"),0)</f>
        <v>0</v>
      </c>
    </row>
    <row r="58" spans="1:16" ht="15.75" customHeight="1" x14ac:dyDescent="0.2">
      <c r="A58" s="5" t="s">
        <v>70</v>
      </c>
      <c r="B58" s="5" t="s">
        <v>184</v>
      </c>
      <c r="C58" s="5" t="s">
        <v>185</v>
      </c>
      <c r="D58" s="5" t="s">
        <v>612</v>
      </c>
      <c r="E58" s="5" t="s">
        <v>735</v>
      </c>
      <c r="F58" s="5" t="s">
        <v>666</v>
      </c>
      <c r="G58" s="5" t="s">
        <v>615</v>
      </c>
      <c r="H58" s="5" t="s">
        <v>786</v>
      </c>
      <c r="I58" s="5" t="s">
        <v>624</v>
      </c>
      <c r="J58" s="5" t="s">
        <v>632</v>
      </c>
      <c r="K58" s="5" t="s">
        <v>619</v>
      </c>
      <c r="L58" s="5" t="s">
        <v>46</v>
      </c>
      <c r="M58" s="5" t="s">
        <v>46</v>
      </c>
      <c r="N58" s="5" t="s">
        <v>46</v>
      </c>
      <c r="O58" s="5" t="s">
        <v>787</v>
      </c>
      <c r="P58" s="13">
        <f ca="1">IFERROR(__xludf.DUMMYFUNCTION("IF(REGEXMATCH(UPPER(E58),""CONGRESO""),1,0)"),1)</f>
        <v>1</v>
      </c>
    </row>
    <row r="59" spans="1:16" ht="15.75" customHeight="1" x14ac:dyDescent="0.2">
      <c r="A59" s="5" t="s">
        <v>70</v>
      </c>
      <c r="B59" s="5" t="s">
        <v>184</v>
      </c>
      <c r="C59" s="5" t="s">
        <v>185</v>
      </c>
      <c r="D59" s="5" t="s">
        <v>612</v>
      </c>
      <c r="E59" s="5" t="s">
        <v>788</v>
      </c>
      <c r="F59" s="5" t="s">
        <v>789</v>
      </c>
      <c r="G59" s="5" t="s">
        <v>790</v>
      </c>
      <c r="H59" s="5" t="s">
        <v>791</v>
      </c>
      <c r="I59" s="5" t="s">
        <v>618</v>
      </c>
      <c r="J59" s="5" t="s">
        <v>618</v>
      </c>
      <c r="K59" s="5" t="s">
        <v>619</v>
      </c>
      <c r="L59" s="5" t="s">
        <v>46</v>
      </c>
      <c r="M59" s="5" t="s">
        <v>46</v>
      </c>
      <c r="N59" s="5" t="s">
        <v>46</v>
      </c>
      <c r="O59" s="5" t="s">
        <v>792</v>
      </c>
      <c r="P59" s="13">
        <f ca="1">IFERROR(__xludf.DUMMYFUNCTION("IF(REGEXMATCH(UPPER(E59),""CONGRESO""),1,0)"),0)</f>
        <v>0</v>
      </c>
    </row>
    <row r="60" spans="1:16" ht="15.75" customHeight="1" x14ac:dyDescent="0.2">
      <c r="A60" s="5" t="s">
        <v>70</v>
      </c>
      <c r="B60" s="5" t="s">
        <v>184</v>
      </c>
      <c r="C60" s="5" t="s">
        <v>185</v>
      </c>
      <c r="D60" s="5" t="s">
        <v>612</v>
      </c>
      <c r="E60" s="5" t="s">
        <v>735</v>
      </c>
      <c r="F60" s="5" t="s">
        <v>793</v>
      </c>
      <c r="G60" s="5" t="s">
        <v>615</v>
      </c>
      <c r="H60" s="5" t="s">
        <v>794</v>
      </c>
      <c r="I60" s="5" t="s">
        <v>627</v>
      </c>
      <c r="J60" s="5" t="s">
        <v>618</v>
      </c>
      <c r="K60" s="5" t="s">
        <v>619</v>
      </c>
      <c r="L60" s="5" t="s">
        <v>46</v>
      </c>
      <c r="M60" s="5" t="s">
        <v>46</v>
      </c>
      <c r="N60" s="5" t="s">
        <v>46</v>
      </c>
      <c r="O60" s="5" t="s">
        <v>795</v>
      </c>
      <c r="P60" s="13">
        <f ca="1">IFERROR(__xludf.DUMMYFUNCTION("IF(REGEXMATCH(UPPER(E60),""CONGRESO""),1,0)"),1)</f>
        <v>1</v>
      </c>
    </row>
    <row r="61" spans="1:16" ht="15.75" customHeight="1" x14ac:dyDescent="0.2">
      <c r="A61" s="5" t="s">
        <v>70</v>
      </c>
      <c r="B61" s="5" t="s">
        <v>184</v>
      </c>
      <c r="C61" s="5" t="s">
        <v>185</v>
      </c>
      <c r="D61" s="5" t="s">
        <v>612</v>
      </c>
      <c r="E61" s="5" t="s">
        <v>796</v>
      </c>
      <c r="F61" s="5" t="s">
        <v>797</v>
      </c>
      <c r="H61" s="5" t="s">
        <v>798</v>
      </c>
      <c r="I61" s="5" t="s">
        <v>688</v>
      </c>
      <c r="J61" s="5" t="s">
        <v>688</v>
      </c>
      <c r="K61" s="5" t="s">
        <v>619</v>
      </c>
      <c r="L61" s="5" t="s">
        <v>46</v>
      </c>
      <c r="M61" s="5" t="s">
        <v>46</v>
      </c>
      <c r="N61" s="5" t="s">
        <v>46</v>
      </c>
      <c r="O61" s="5" t="s">
        <v>799</v>
      </c>
      <c r="P61" s="13">
        <f ca="1">IFERROR(__xludf.DUMMYFUNCTION("IF(REGEXMATCH(UPPER(E61),""CONGRESO""),1,0)"),0)</f>
        <v>0</v>
      </c>
    </row>
    <row r="62" spans="1:16" ht="15.75" customHeight="1" x14ac:dyDescent="0.2">
      <c r="A62" s="5" t="s">
        <v>70</v>
      </c>
      <c r="B62" s="5" t="s">
        <v>184</v>
      </c>
      <c r="C62" s="5" t="s">
        <v>185</v>
      </c>
      <c r="D62" s="5" t="s">
        <v>612</v>
      </c>
      <c r="E62" s="5" t="s">
        <v>800</v>
      </c>
      <c r="F62" s="5" t="s">
        <v>789</v>
      </c>
      <c r="H62" s="5" t="s">
        <v>801</v>
      </c>
      <c r="I62" s="5" t="s">
        <v>618</v>
      </c>
      <c r="J62" s="5" t="s">
        <v>618</v>
      </c>
      <c r="K62" s="5" t="s">
        <v>619</v>
      </c>
      <c r="L62" s="5" t="s">
        <v>160</v>
      </c>
      <c r="M62" s="5" t="s">
        <v>802</v>
      </c>
      <c r="N62" s="5" t="s">
        <v>803</v>
      </c>
      <c r="O62" s="5" t="s">
        <v>804</v>
      </c>
      <c r="P62" s="13">
        <f ca="1">IFERROR(__xludf.DUMMYFUNCTION("IF(REGEXMATCH(UPPER(E62),""CONGRESO""),1,0)"),0)</f>
        <v>0</v>
      </c>
    </row>
    <row r="63" spans="1:16" ht="15.75" customHeight="1" x14ac:dyDescent="0.2">
      <c r="A63" s="5" t="s">
        <v>70</v>
      </c>
      <c r="B63" s="5" t="s">
        <v>193</v>
      </c>
      <c r="C63" s="5" t="s">
        <v>194</v>
      </c>
      <c r="D63" s="5" t="s">
        <v>612</v>
      </c>
      <c r="E63" s="5" t="s">
        <v>805</v>
      </c>
      <c r="F63" s="5" t="s">
        <v>767</v>
      </c>
      <c r="G63" s="5" t="s">
        <v>768</v>
      </c>
      <c r="H63" s="5" t="s">
        <v>806</v>
      </c>
      <c r="I63" s="5" t="s">
        <v>632</v>
      </c>
      <c r="J63" s="5" t="s">
        <v>627</v>
      </c>
      <c r="K63" s="5" t="s">
        <v>619</v>
      </c>
      <c r="L63" s="5" t="s">
        <v>46</v>
      </c>
      <c r="M63" s="5" t="s">
        <v>46</v>
      </c>
      <c r="N63" s="5" t="s">
        <v>46</v>
      </c>
      <c r="P63" s="13">
        <f ca="1">IFERROR(__xludf.DUMMYFUNCTION("IF(REGEXMATCH(UPPER(E63),""CONGRESO""),1,0)"),0)</f>
        <v>0</v>
      </c>
    </row>
    <row r="64" spans="1:16" ht="15.75" customHeight="1" x14ac:dyDescent="0.2">
      <c r="A64" s="5" t="s">
        <v>70</v>
      </c>
      <c r="B64" s="5" t="s">
        <v>193</v>
      </c>
      <c r="C64" s="5" t="s">
        <v>194</v>
      </c>
      <c r="D64" s="5" t="s">
        <v>612</v>
      </c>
      <c r="E64" s="5" t="s">
        <v>807</v>
      </c>
      <c r="F64" s="5" t="s">
        <v>808</v>
      </c>
      <c r="G64" s="5" t="s">
        <v>809</v>
      </c>
      <c r="H64" s="5" t="s">
        <v>810</v>
      </c>
      <c r="I64" s="5" t="s">
        <v>693</v>
      </c>
      <c r="J64" s="5" t="s">
        <v>693</v>
      </c>
      <c r="K64" s="5" t="s">
        <v>619</v>
      </c>
      <c r="L64" s="5" t="s">
        <v>46</v>
      </c>
      <c r="M64" s="5" t="s">
        <v>46</v>
      </c>
      <c r="N64" s="5" t="s">
        <v>551</v>
      </c>
      <c r="O64" s="5" t="s">
        <v>811</v>
      </c>
      <c r="P64" s="13">
        <f ca="1">IFERROR(__xludf.DUMMYFUNCTION("IF(REGEXMATCH(UPPER(E64),""CONGRESO""),1,0)"),0)</f>
        <v>0</v>
      </c>
    </row>
    <row r="65" spans="1:16" ht="15.75" customHeight="1" x14ac:dyDescent="0.2">
      <c r="A65" s="5" t="s">
        <v>70</v>
      </c>
      <c r="B65" s="5" t="s">
        <v>193</v>
      </c>
      <c r="C65" s="5" t="s">
        <v>194</v>
      </c>
      <c r="D65" s="5" t="s">
        <v>612</v>
      </c>
      <c r="E65" s="5" t="s">
        <v>812</v>
      </c>
      <c r="F65" s="5" t="s">
        <v>813</v>
      </c>
      <c r="H65" s="5" t="s">
        <v>814</v>
      </c>
      <c r="I65" s="5" t="s">
        <v>624</v>
      </c>
      <c r="J65" s="5" t="s">
        <v>631</v>
      </c>
      <c r="K65" s="5" t="s">
        <v>619</v>
      </c>
      <c r="L65" s="5" t="s">
        <v>46</v>
      </c>
      <c r="M65" s="5" t="s">
        <v>46</v>
      </c>
      <c r="N65" s="5" t="s">
        <v>815</v>
      </c>
      <c r="P65" s="13">
        <f ca="1">IFERROR(__xludf.DUMMYFUNCTION("IF(REGEXMATCH(UPPER(E65),""CONGRESO""),1,0)"),0)</f>
        <v>0</v>
      </c>
    </row>
    <row r="66" spans="1:16" ht="15.75" customHeight="1" x14ac:dyDescent="0.2">
      <c r="A66" s="5" t="s">
        <v>70</v>
      </c>
      <c r="B66" s="5" t="s">
        <v>193</v>
      </c>
      <c r="C66" s="5" t="s">
        <v>194</v>
      </c>
      <c r="D66" s="5" t="s">
        <v>612</v>
      </c>
      <c r="E66" s="5" t="s">
        <v>613</v>
      </c>
      <c r="F66" s="5" t="s">
        <v>622</v>
      </c>
      <c r="G66" s="5" t="s">
        <v>615</v>
      </c>
      <c r="H66" s="5" t="s">
        <v>816</v>
      </c>
      <c r="I66" s="5" t="s">
        <v>627</v>
      </c>
      <c r="J66" s="5" t="s">
        <v>618</v>
      </c>
      <c r="K66" s="5" t="s">
        <v>619</v>
      </c>
      <c r="L66" s="5" t="s">
        <v>46</v>
      </c>
      <c r="M66" s="5" t="s">
        <v>46</v>
      </c>
      <c r="N66" s="5" t="s">
        <v>46</v>
      </c>
      <c r="O66" s="5" t="s">
        <v>817</v>
      </c>
      <c r="P66" s="13">
        <f ca="1">IFERROR(__xludf.DUMMYFUNCTION("IF(REGEXMATCH(UPPER(E66),""CONGRESO""),1,0)"),1)</f>
        <v>1</v>
      </c>
    </row>
    <row r="67" spans="1:16" ht="15.75" customHeight="1" x14ac:dyDescent="0.2">
      <c r="A67" s="5" t="s">
        <v>70</v>
      </c>
      <c r="B67" s="5" t="s">
        <v>200</v>
      </c>
      <c r="C67" s="5" t="s">
        <v>201</v>
      </c>
      <c r="D67" s="5" t="s">
        <v>612</v>
      </c>
      <c r="E67" s="5" t="s">
        <v>818</v>
      </c>
      <c r="F67" s="5" t="s">
        <v>819</v>
      </c>
      <c r="G67" s="5" t="s">
        <v>820</v>
      </c>
      <c r="H67" s="5" t="s">
        <v>821</v>
      </c>
      <c r="I67" s="5" t="s">
        <v>632</v>
      </c>
      <c r="J67" s="5" t="s">
        <v>618</v>
      </c>
      <c r="K67" s="5" t="s">
        <v>619</v>
      </c>
      <c r="L67" s="5" t="s">
        <v>206</v>
      </c>
      <c r="M67" s="5" t="s">
        <v>206</v>
      </c>
      <c r="N67" s="5" t="s">
        <v>822</v>
      </c>
      <c r="O67" s="5" t="s">
        <v>823</v>
      </c>
      <c r="P67" s="13">
        <f ca="1">IFERROR(__xludf.DUMMYFUNCTION("IF(REGEXMATCH(UPPER(E67),""CONGRESO""),1,0)"),0)</f>
        <v>0</v>
      </c>
    </row>
    <row r="68" spans="1:16" ht="15.75" customHeight="1" x14ac:dyDescent="0.2">
      <c r="A68" s="5" t="s">
        <v>70</v>
      </c>
      <c r="B68" s="5" t="s">
        <v>200</v>
      </c>
      <c r="C68" s="5" t="s">
        <v>201</v>
      </c>
      <c r="D68" s="5" t="s">
        <v>612</v>
      </c>
      <c r="E68" s="5" t="s">
        <v>824</v>
      </c>
      <c r="F68" s="5" t="s">
        <v>825</v>
      </c>
      <c r="G68" s="5" t="s">
        <v>826</v>
      </c>
      <c r="H68" s="5" t="s">
        <v>827</v>
      </c>
      <c r="I68" s="5" t="s">
        <v>757</v>
      </c>
      <c r="J68" s="5" t="s">
        <v>618</v>
      </c>
      <c r="K68" s="5" t="s">
        <v>619</v>
      </c>
      <c r="L68" s="5" t="s">
        <v>206</v>
      </c>
      <c r="M68" s="5" t="s">
        <v>206</v>
      </c>
      <c r="N68" s="5" t="s">
        <v>822</v>
      </c>
      <c r="O68" s="5" t="s">
        <v>828</v>
      </c>
      <c r="P68" s="13">
        <f ca="1">IFERROR(__xludf.DUMMYFUNCTION("IF(REGEXMATCH(UPPER(E68),""CONGRESO""),1,0)"),0)</f>
        <v>0</v>
      </c>
    </row>
    <row r="69" spans="1:16" ht="15.75" customHeight="1" x14ac:dyDescent="0.2">
      <c r="A69" s="5" t="s">
        <v>70</v>
      </c>
      <c r="B69" s="5" t="s">
        <v>200</v>
      </c>
      <c r="C69" s="5" t="s">
        <v>201</v>
      </c>
      <c r="D69" s="5" t="s">
        <v>612</v>
      </c>
      <c r="E69" s="5" t="s">
        <v>829</v>
      </c>
      <c r="F69" s="5" t="s">
        <v>830</v>
      </c>
      <c r="G69" s="5" t="s">
        <v>831</v>
      </c>
      <c r="H69" s="5" t="s">
        <v>832</v>
      </c>
      <c r="I69" s="5" t="s">
        <v>750</v>
      </c>
      <c r="J69" s="5" t="s">
        <v>693</v>
      </c>
      <c r="K69" s="5" t="s">
        <v>619</v>
      </c>
      <c r="L69" s="5" t="s">
        <v>206</v>
      </c>
      <c r="M69" s="5" t="s">
        <v>206</v>
      </c>
      <c r="N69" s="5" t="s">
        <v>291</v>
      </c>
      <c r="O69" s="5" t="s">
        <v>833</v>
      </c>
      <c r="P69" s="13">
        <f ca="1">IFERROR(__xludf.DUMMYFUNCTION("IF(REGEXMATCH(UPPER(E69),""CONGRESO""),1,0)"),0)</f>
        <v>0</v>
      </c>
    </row>
    <row r="70" spans="1:16" ht="15.75" customHeight="1" x14ac:dyDescent="0.2">
      <c r="A70" s="5" t="s">
        <v>70</v>
      </c>
      <c r="B70" s="5" t="s">
        <v>211</v>
      </c>
      <c r="C70" s="5" t="s">
        <v>212</v>
      </c>
      <c r="D70" s="5" t="s">
        <v>612</v>
      </c>
      <c r="E70" s="5" t="s">
        <v>834</v>
      </c>
      <c r="F70" s="5" t="s">
        <v>835</v>
      </c>
      <c r="H70" s="5" t="s">
        <v>836</v>
      </c>
      <c r="I70" s="5" t="s">
        <v>837</v>
      </c>
      <c r="J70" s="5" t="s">
        <v>624</v>
      </c>
      <c r="K70" s="5" t="s">
        <v>619</v>
      </c>
      <c r="L70" s="5" t="s">
        <v>46</v>
      </c>
      <c r="M70" s="5" t="s">
        <v>46</v>
      </c>
      <c r="N70" s="5" t="s">
        <v>217</v>
      </c>
      <c r="O70" s="5" t="s">
        <v>838</v>
      </c>
      <c r="P70" s="13">
        <f ca="1">IFERROR(__xludf.DUMMYFUNCTION("IF(REGEXMATCH(UPPER(E70),""CONGRESO""),1,0)"),0)</f>
        <v>0</v>
      </c>
    </row>
    <row r="71" spans="1:16" ht="15.75" customHeight="1" x14ac:dyDescent="0.2">
      <c r="A71" s="5" t="s">
        <v>70</v>
      </c>
      <c r="B71" s="5" t="s">
        <v>211</v>
      </c>
      <c r="C71" s="5" t="s">
        <v>212</v>
      </c>
      <c r="D71" s="5" t="s">
        <v>612</v>
      </c>
      <c r="E71" s="5" t="s">
        <v>839</v>
      </c>
      <c r="F71" s="5" t="s">
        <v>614</v>
      </c>
      <c r="G71" s="5" t="s">
        <v>840</v>
      </c>
      <c r="H71" s="5" t="s">
        <v>841</v>
      </c>
      <c r="I71" s="5" t="s">
        <v>617</v>
      </c>
      <c r="J71" s="5" t="s">
        <v>618</v>
      </c>
      <c r="K71" s="5" t="s">
        <v>619</v>
      </c>
      <c r="L71" s="5" t="s">
        <v>46</v>
      </c>
      <c r="M71" s="5" t="s">
        <v>46</v>
      </c>
      <c r="N71" s="5" t="s">
        <v>217</v>
      </c>
      <c r="O71" s="5" t="s">
        <v>842</v>
      </c>
      <c r="P71" s="13">
        <f ca="1">IFERROR(__xludf.DUMMYFUNCTION("IF(REGEXMATCH(UPPER(E71),""CONGRESO""),1,0)"),0)</f>
        <v>0</v>
      </c>
    </row>
    <row r="72" spans="1:16" ht="15.75" customHeight="1" x14ac:dyDescent="0.2">
      <c r="A72" s="5" t="s">
        <v>70</v>
      </c>
      <c r="B72" s="5" t="s">
        <v>211</v>
      </c>
      <c r="C72" s="5" t="s">
        <v>212</v>
      </c>
      <c r="D72" s="5" t="s">
        <v>612</v>
      </c>
      <c r="E72" s="5" t="s">
        <v>843</v>
      </c>
      <c r="F72" s="5" t="s">
        <v>844</v>
      </c>
      <c r="G72" s="5" t="s">
        <v>845</v>
      </c>
      <c r="H72" s="5" t="s">
        <v>846</v>
      </c>
      <c r="I72" s="5" t="s">
        <v>617</v>
      </c>
      <c r="J72" s="5" t="s">
        <v>618</v>
      </c>
      <c r="K72" s="5" t="s">
        <v>619</v>
      </c>
      <c r="L72" s="5" t="s">
        <v>46</v>
      </c>
      <c r="M72" s="5" t="s">
        <v>46</v>
      </c>
      <c r="N72" s="5" t="s">
        <v>689</v>
      </c>
      <c r="O72" s="5" t="s">
        <v>842</v>
      </c>
      <c r="P72" s="13">
        <f ca="1">IFERROR(__xludf.DUMMYFUNCTION("IF(REGEXMATCH(UPPER(E72),""CONGRESO""),1,0)"),0)</f>
        <v>0</v>
      </c>
    </row>
    <row r="73" spans="1:16" ht="15.75" customHeight="1" x14ac:dyDescent="0.2">
      <c r="A73" s="5" t="s">
        <v>70</v>
      </c>
      <c r="B73" s="5" t="s">
        <v>211</v>
      </c>
      <c r="C73" s="5" t="s">
        <v>212</v>
      </c>
      <c r="D73" s="5" t="s">
        <v>612</v>
      </c>
      <c r="E73" s="5" t="s">
        <v>847</v>
      </c>
      <c r="F73" s="5" t="s">
        <v>614</v>
      </c>
      <c r="H73" s="5" t="s">
        <v>848</v>
      </c>
      <c r="I73" s="5" t="s">
        <v>631</v>
      </c>
      <c r="J73" s="5" t="s">
        <v>618</v>
      </c>
      <c r="K73" s="5" t="s">
        <v>619</v>
      </c>
      <c r="L73" s="5" t="s">
        <v>46</v>
      </c>
      <c r="M73" s="5" t="s">
        <v>46</v>
      </c>
      <c r="N73" s="5" t="s">
        <v>217</v>
      </c>
      <c r="O73" s="5" t="s">
        <v>842</v>
      </c>
      <c r="P73" s="13">
        <f ca="1">IFERROR(__xludf.DUMMYFUNCTION("IF(REGEXMATCH(UPPER(E73),""CONGRESO""),1,0)"),0)</f>
        <v>0</v>
      </c>
    </row>
    <row r="74" spans="1:16" ht="15.75" customHeight="1" x14ac:dyDescent="0.2">
      <c r="A74" s="5" t="s">
        <v>70</v>
      </c>
      <c r="B74" s="5" t="s">
        <v>221</v>
      </c>
      <c r="C74" s="5" t="s">
        <v>222</v>
      </c>
      <c r="D74" s="5" t="s">
        <v>612</v>
      </c>
      <c r="E74" s="5" t="s">
        <v>613</v>
      </c>
      <c r="F74" s="5" t="s">
        <v>662</v>
      </c>
      <c r="H74" s="5" t="s">
        <v>849</v>
      </c>
      <c r="I74" s="5" t="s">
        <v>649</v>
      </c>
      <c r="J74" s="5" t="s">
        <v>618</v>
      </c>
      <c r="K74" s="5" t="s">
        <v>619</v>
      </c>
      <c r="L74" s="5" t="s">
        <v>46</v>
      </c>
      <c r="M74" s="5" t="s">
        <v>46</v>
      </c>
      <c r="N74" s="5" t="s">
        <v>46</v>
      </c>
      <c r="O74" s="5" t="s">
        <v>778</v>
      </c>
      <c r="P74" s="13">
        <f ca="1">IFERROR(__xludf.DUMMYFUNCTION("IF(REGEXMATCH(UPPER(E74),""CONGRESO""),1,0)"),1)</f>
        <v>1</v>
      </c>
    </row>
    <row r="75" spans="1:16" ht="15.75" customHeight="1" x14ac:dyDescent="0.2">
      <c r="A75" s="5" t="s">
        <v>70</v>
      </c>
      <c r="B75" s="5" t="s">
        <v>221</v>
      </c>
      <c r="C75" s="5" t="s">
        <v>222</v>
      </c>
      <c r="D75" s="5" t="s">
        <v>612</v>
      </c>
      <c r="E75" s="5" t="s">
        <v>850</v>
      </c>
      <c r="F75" s="5" t="s">
        <v>851</v>
      </c>
      <c r="G75" s="5" t="s">
        <v>852</v>
      </c>
      <c r="H75" s="5" t="s">
        <v>853</v>
      </c>
      <c r="I75" s="5" t="s">
        <v>632</v>
      </c>
      <c r="J75" s="5" t="s">
        <v>649</v>
      </c>
      <c r="K75" s="5" t="s">
        <v>619</v>
      </c>
      <c r="L75" s="5" t="s">
        <v>46</v>
      </c>
      <c r="M75" s="5" t="s">
        <v>46</v>
      </c>
      <c r="N75" s="5" t="s">
        <v>404</v>
      </c>
      <c r="P75" s="13">
        <f ca="1">IFERROR(__xludf.DUMMYFUNCTION("IF(REGEXMATCH(UPPER(E75),""CONGRESO""),1,0)"),0)</f>
        <v>0</v>
      </c>
    </row>
    <row r="76" spans="1:16" ht="15.75" customHeight="1" x14ac:dyDescent="0.2">
      <c r="A76" s="5" t="s">
        <v>70</v>
      </c>
      <c r="B76" s="5" t="s">
        <v>229</v>
      </c>
      <c r="C76" s="5" t="s">
        <v>230</v>
      </c>
      <c r="D76" s="5" t="s">
        <v>612</v>
      </c>
      <c r="E76" s="5" t="s">
        <v>854</v>
      </c>
      <c r="F76" s="5" t="s">
        <v>855</v>
      </c>
      <c r="G76" s="5" t="s">
        <v>856</v>
      </c>
      <c r="H76" s="5" t="s">
        <v>857</v>
      </c>
      <c r="I76" s="5" t="s">
        <v>618</v>
      </c>
      <c r="J76" s="5" t="s">
        <v>618</v>
      </c>
      <c r="K76" s="5" t="s">
        <v>619</v>
      </c>
      <c r="L76" s="5" t="s">
        <v>46</v>
      </c>
      <c r="M76" s="5" t="s">
        <v>46</v>
      </c>
      <c r="N76" s="5" t="s">
        <v>689</v>
      </c>
      <c r="P76" s="13">
        <f ca="1">IFERROR(__xludf.DUMMYFUNCTION("IF(REGEXMATCH(UPPER(E76),""CONGRESO""),1,0)"),0)</f>
        <v>0</v>
      </c>
    </row>
    <row r="77" spans="1:16" ht="15.75" customHeight="1" x14ac:dyDescent="0.2">
      <c r="A77" s="5" t="s">
        <v>70</v>
      </c>
      <c r="B77" s="5" t="s">
        <v>229</v>
      </c>
      <c r="C77" s="5" t="s">
        <v>230</v>
      </c>
      <c r="D77" s="5" t="s">
        <v>612</v>
      </c>
      <c r="E77" s="5" t="s">
        <v>858</v>
      </c>
      <c r="F77" s="5" t="s">
        <v>859</v>
      </c>
      <c r="G77" s="5" t="s">
        <v>860</v>
      </c>
      <c r="H77" s="5" t="s">
        <v>861</v>
      </c>
      <c r="I77" s="5" t="s">
        <v>653</v>
      </c>
      <c r="J77" s="5" t="s">
        <v>617</v>
      </c>
      <c r="K77" s="5" t="s">
        <v>619</v>
      </c>
      <c r="L77" s="5" t="s">
        <v>46</v>
      </c>
      <c r="M77" s="5" t="s">
        <v>46</v>
      </c>
      <c r="N77" s="5" t="s">
        <v>661</v>
      </c>
      <c r="P77" s="13">
        <f ca="1">IFERROR(__xludf.DUMMYFUNCTION("IF(REGEXMATCH(UPPER(E77),""CONGRESO""),1,0)"),0)</f>
        <v>0</v>
      </c>
    </row>
    <row r="78" spans="1:16" ht="15.75" customHeight="1" x14ac:dyDescent="0.2">
      <c r="A78" s="5" t="s">
        <v>70</v>
      </c>
      <c r="B78" s="5" t="s">
        <v>229</v>
      </c>
      <c r="C78" s="5" t="s">
        <v>230</v>
      </c>
      <c r="D78" s="5" t="s">
        <v>612</v>
      </c>
      <c r="E78" s="5" t="s">
        <v>735</v>
      </c>
      <c r="F78" s="5" t="s">
        <v>666</v>
      </c>
      <c r="G78" s="5" t="s">
        <v>615</v>
      </c>
      <c r="H78" s="5" t="s">
        <v>862</v>
      </c>
      <c r="I78" s="5" t="s">
        <v>624</v>
      </c>
      <c r="J78" s="5" t="s">
        <v>632</v>
      </c>
      <c r="K78" s="5" t="s">
        <v>619</v>
      </c>
      <c r="L78" s="5" t="s">
        <v>46</v>
      </c>
      <c r="M78" s="5" t="s">
        <v>46</v>
      </c>
      <c r="N78" s="5" t="s">
        <v>46</v>
      </c>
      <c r="P78" s="13">
        <f ca="1">IFERROR(__xludf.DUMMYFUNCTION("IF(REGEXMATCH(UPPER(E78),""CONGRESO""),1,0)"),1)</f>
        <v>1</v>
      </c>
    </row>
    <row r="79" spans="1:16" ht="15.75" customHeight="1" x14ac:dyDescent="0.2">
      <c r="A79" s="5" t="s">
        <v>70</v>
      </c>
      <c r="B79" s="5" t="s">
        <v>229</v>
      </c>
      <c r="C79" s="5" t="s">
        <v>230</v>
      </c>
      <c r="D79" s="5" t="s">
        <v>612</v>
      </c>
      <c r="E79" s="5" t="s">
        <v>863</v>
      </c>
      <c r="F79" s="5" t="s">
        <v>859</v>
      </c>
      <c r="G79" s="5" t="s">
        <v>864</v>
      </c>
      <c r="H79" s="5" t="s">
        <v>865</v>
      </c>
      <c r="I79" s="5" t="s">
        <v>617</v>
      </c>
      <c r="J79" s="5" t="s">
        <v>617</v>
      </c>
      <c r="K79" s="5" t="s">
        <v>619</v>
      </c>
      <c r="L79" s="5" t="s">
        <v>235</v>
      </c>
      <c r="M79" s="5" t="s">
        <v>866</v>
      </c>
      <c r="N79" s="5" t="s">
        <v>867</v>
      </c>
      <c r="O79" s="5" t="s">
        <v>868</v>
      </c>
      <c r="P79" s="13">
        <f ca="1">IFERROR(__xludf.DUMMYFUNCTION("IF(REGEXMATCH(UPPER(E79),""CONGRESO""),1,0)"),0)</f>
        <v>0</v>
      </c>
    </row>
    <row r="80" spans="1:16" ht="15.75" customHeight="1" x14ac:dyDescent="0.2">
      <c r="A80" s="5" t="s">
        <v>70</v>
      </c>
      <c r="B80" s="5" t="s">
        <v>229</v>
      </c>
      <c r="C80" s="5" t="s">
        <v>230</v>
      </c>
      <c r="D80" s="5" t="s">
        <v>612</v>
      </c>
      <c r="E80" s="5" t="s">
        <v>735</v>
      </c>
      <c r="F80" s="5" t="s">
        <v>666</v>
      </c>
      <c r="G80" s="5" t="s">
        <v>615</v>
      </c>
      <c r="H80" s="5" t="s">
        <v>862</v>
      </c>
      <c r="I80" s="5" t="s">
        <v>623</v>
      </c>
      <c r="J80" s="5" t="s">
        <v>624</v>
      </c>
      <c r="K80" s="5" t="s">
        <v>619</v>
      </c>
      <c r="L80" s="5" t="s">
        <v>46</v>
      </c>
      <c r="M80" s="5" t="s">
        <v>46</v>
      </c>
      <c r="N80" s="5" t="s">
        <v>46</v>
      </c>
      <c r="P80" s="13">
        <f ca="1">IFERROR(__xludf.DUMMYFUNCTION("IF(REGEXMATCH(UPPER(E80),""CONGRESO""),1,0)"),1)</f>
        <v>1</v>
      </c>
    </row>
    <row r="81" spans="1:16" ht="15.75" customHeight="1" x14ac:dyDescent="0.2">
      <c r="A81" s="5" t="s">
        <v>70</v>
      </c>
      <c r="B81" s="5" t="s">
        <v>238</v>
      </c>
      <c r="C81" s="5" t="s">
        <v>239</v>
      </c>
      <c r="D81" s="5" t="s">
        <v>612</v>
      </c>
      <c r="E81" s="5" t="s">
        <v>669</v>
      </c>
      <c r="F81" s="5" t="s">
        <v>869</v>
      </c>
      <c r="H81" s="5" t="s">
        <v>672</v>
      </c>
      <c r="I81" s="5" t="s">
        <v>870</v>
      </c>
      <c r="J81" s="5" t="s">
        <v>618</v>
      </c>
      <c r="K81" s="5" t="s">
        <v>619</v>
      </c>
      <c r="L81" s="5" t="s">
        <v>46</v>
      </c>
      <c r="M81" s="5" t="s">
        <v>46</v>
      </c>
      <c r="N81" s="5" t="s">
        <v>46</v>
      </c>
      <c r="O81" s="5" t="s">
        <v>871</v>
      </c>
      <c r="P81" s="13">
        <f ca="1">IFERROR(__xludf.DUMMYFUNCTION("IF(REGEXMATCH(UPPER(E81),""CONGRESO""),1,0)"),0)</f>
        <v>0</v>
      </c>
    </row>
    <row r="82" spans="1:16" ht="15.75" customHeight="1" x14ac:dyDescent="0.2">
      <c r="A82" s="5" t="s">
        <v>70</v>
      </c>
      <c r="B82" s="5" t="s">
        <v>238</v>
      </c>
      <c r="C82" s="5" t="s">
        <v>239</v>
      </c>
      <c r="D82" s="5" t="s">
        <v>612</v>
      </c>
      <c r="E82" s="5" t="s">
        <v>872</v>
      </c>
      <c r="F82" s="5" t="s">
        <v>676</v>
      </c>
      <c r="H82" s="5" t="s">
        <v>873</v>
      </c>
      <c r="I82" s="5" t="s">
        <v>717</v>
      </c>
      <c r="J82" s="5" t="s">
        <v>688</v>
      </c>
      <c r="K82" s="5" t="s">
        <v>619</v>
      </c>
      <c r="L82" s="5" t="s">
        <v>46</v>
      </c>
      <c r="M82" s="5" t="s">
        <v>46</v>
      </c>
      <c r="N82" s="5" t="s">
        <v>874</v>
      </c>
      <c r="O82" s="5" t="s">
        <v>875</v>
      </c>
      <c r="P82" s="13">
        <f ca="1">IFERROR(__xludf.DUMMYFUNCTION("IF(REGEXMATCH(UPPER(E82),""CONGRESO""),1,0)"),0)</f>
        <v>0</v>
      </c>
    </row>
    <row r="83" spans="1:16" ht="15.75" customHeight="1" x14ac:dyDescent="0.2">
      <c r="A83" s="5" t="s">
        <v>70</v>
      </c>
      <c r="B83" s="5" t="s">
        <v>238</v>
      </c>
      <c r="C83" s="5" t="s">
        <v>239</v>
      </c>
      <c r="D83" s="5" t="s">
        <v>612</v>
      </c>
      <c r="E83" s="5" t="s">
        <v>735</v>
      </c>
      <c r="F83" s="5" t="s">
        <v>876</v>
      </c>
      <c r="G83" s="5" t="s">
        <v>615</v>
      </c>
      <c r="H83" s="5" t="s">
        <v>877</v>
      </c>
      <c r="I83" s="5" t="s">
        <v>624</v>
      </c>
      <c r="J83" s="5" t="s">
        <v>632</v>
      </c>
      <c r="K83" s="5" t="s">
        <v>619</v>
      </c>
      <c r="L83" s="5" t="s">
        <v>46</v>
      </c>
      <c r="M83" s="5" t="s">
        <v>46</v>
      </c>
      <c r="N83" s="5" t="s">
        <v>46</v>
      </c>
      <c r="O83" s="5" t="s">
        <v>878</v>
      </c>
      <c r="P83" s="13">
        <f ca="1">IFERROR(__xludf.DUMMYFUNCTION("IF(REGEXMATCH(UPPER(E83),""CONGRESO""),1,0)"),1)</f>
        <v>1</v>
      </c>
    </row>
    <row r="84" spans="1:16" ht="15.75" customHeight="1" x14ac:dyDescent="0.2">
      <c r="A84" s="5" t="s">
        <v>70</v>
      </c>
      <c r="B84" s="5" t="s">
        <v>238</v>
      </c>
      <c r="C84" s="5" t="s">
        <v>239</v>
      </c>
      <c r="D84" s="5" t="s">
        <v>612</v>
      </c>
      <c r="E84" s="5" t="s">
        <v>879</v>
      </c>
      <c r="F84" s="5" t="s">
        <v>676</v>
      </c>
      <c r="H84" s="5" t="s">
        <v>880</v>
      </c>
      <c r="I84" s="5" t="s">
        <v>621</v>
      </c>
      <c r="J84" s="5" t="s">
        <v>618</v>
      </c>
      <c r="K84" s="5" t="s">
        <v>619</v>
      </c>
      <c r="L84" s="5" t="s">
        <v>46</v>
      </c>
      <c r="M84" s="5" t="s">
        <v>46</v>
      </c>
      <c r="N84" s="5" t="s">
        <v>881</v>
      </c>
      <c r="O84" s="5" t="s">
        <v>882</v>
      </c>
      <c r="P84" s="13">
        <f ca="1">IFERROR(__xludf.DUMMYFUNCTION("IF(REGEXMATCH(UPPER(E84),""CONGRESO""),1,0)"),0)</f>
        <v>0</v>
      </c>
    </row>
    <row r="85" spans="1:16" ht="15.75" customHeight="1" x14ac:dyDescent="0.2">
      <c r="A85" s="5" t="s">
        <v>70</v>
      </c>
      <c r="B85" s="5" t="s">
        <v>238</v>
      </c>
      <c r="C85" s="5" t="s">
        <v>239</v>
      </c>
      <c r="D85" s="5" t="s">
        <v>612</v>
      </c>
      <c r="E85" s="5" t="s">
        <v>735</v>
      </c>
      <c r="F85" s="5" t="s">
        <v>876</v>
      </c>
      <c r="G85" s="5" t="s">
        <v>615</v>
      </c>
      <c r="H85" s="5" t="s">
        <v>877</v>
      </c>
      <c r="I85" s="5" t="s">
        <v>623</v>
      </c>
      <c r="J85" s="5" t="s">
        <v>624</v>
      </c>
      <c r="K85" s="5" t="s">
        <v>619</v>
      </c>
      <c r="L85" s="5" t="s">
        <v>46</v>
      </c>
      <c r="M85" s="5" t="s">
        <v>46</v>
      </c>
      <c r="N85" s="5" t="s">
        <v>46</v>
      </c>
      <c r="P85" s="13">
        <f ca="1">IFERROR(__xludf.DUMMYFUNCTION("IF(REGEXMATCH(UPPER(E85),""CONGRESO""),1,0)"),1)</f>
        <v>1</v>
      </c>
    </row>
    <row r="86" spans="1:16" ht="15.75" customHeight="1" x14ac:dyDescent="0.2">
      <c r="A86" s="5" t="s">
        <v>70</v>
      </c>
      <c r="B86" s="5" t="s">
        <v>247</v>
      </c>
      <c r="C86" s="5" t="s">
        <v>248</v>
      </c>
      <c r="D86" s="5" t="s">
        <v>612</v>
      </c>
      <c r="E86" s="5" t="s">
        <v>883</v>
      </c>
      <c r="F86" s="5" t="s">
        <v>884</v>
      </c>
      <c r="G86" s="5" t="s">
        <v>885</v>
      </c>
      <c r="H86" s="5" t="s">
        <v>886</v>
      </c>
      <c r="I86" s="5" t="s">
        <v>688</v>
      </c>
      <c r="J86" s="5" t="s">
        <v>618</v>
      </c>
      <c r="K86" s="5" t="s">
        <v>619</v>
      </c>
      <c r="L86" s="5" t="s">
        <v>254</v>
      </c>
      <c r="M86" s="5" t="s">
        <v>887</v>
      </c>
      <c r="N86" s="5" t="s">
        <v>888</v>
      </c>
      <c r="O86" s="5" t="s">
        <v>889</v>
      </c>
      <c r="P86" s="13">
        <f ca="1">IFERROR(__xludf.DUMMYFUNCTION("IF(REGEXMATCH(UPPER(E86),""CONGRESO""),1,0)"),0)</f>
        <v>0</v>
      </c>
    </row>
    <row r="87" spans="1:16" ht="15.75" customHeight="1" x14ac:dyDescent="0.2">
      <c r="A87" s="5" t="s">
        <v>70</v>
      </c>
      <c r="B87" s="5" t="s">
        <v>257</v>
      </c>
      <c r="C87" s="5" t="s">
        <v>258</v>
      </c>
      <c r="D87" s="5" t="s">
        <v>612</v>
      </c>
      <c r="E87" s="5" t="s">
        <v>890</v>
      </c>
      <c r="F87" s="5" t="s">
        <v>891</v>
      </c>
      <c r="H87" s="5" t="s">
        <v>892</v>
      </c>
      <c r="I87" s="5" t="s">
        <v>688</v>
      </c>
      <c r="J87" s="5" t="s">
        <v>688</v>
      </c>
      <c r="K87" s="5" t="s">
        <v>619</v>
      </c>
      <c r="L87" s="5" t="s">
        <v>46</v>
      </c>
      <c r="M87" s="5" t="s">
        <v>46</v>
      </c>
      <c r="N87" s="5" t="s">
        <v>893</v>
      </c>
      <c r="O87" s="5" t="s">
        <v>894</v>
      </c>
      <c r="P87" s="13">
        <f ca="1">IFERROR(__xludf.DUMMYFUNCTION("IF(REGEXMATCH(UPPER(E87),""CONGRESO""),1,0)"),0)</f>
        <v>0</v>
      </c>
    </row>
    <row r="88" spans="1:16" ht="15.75" customHeight="1" x14ac:dyDescent="0.2">
      <c r="A88" s="5" t="s">
        <v>70</v>
      </c>
      <c r="B88" s="5" t="s">
        <v>257</v>
      </c>
      <c r="C88" s="5" t="s">
        <v>258</v>
      </c>
      <c r="D88" s="5" t="s">
        <v>612</v>
      </c>
      <c r="E88" s="5" t="s">
        <v>890</v>
      </c>
      <c r="F88" s="5" t="s">
        <v>891</v>
      </c>
      <c r="H88" s="5" t="s">
        <v>895</v>
      </c>
      <c r="I88" s="5" t="s">
        <v>624</v>
      </c>
      <c r="J88" s="5" t="s">
        <v>627</v>
      </c>
      <c r="K88" s="5" t="s">
        <v>619</v>
      </c>
      <c r="L88" s="5" t="s">
        <v>46</v>
      </c>
      <c r="M88" s="5" t="s">
        <v>46</v>
      </c>
      <c r="N88" s="5" t="s">
        <v>893</v>
      </c>
      <c r="O88" s="5" t="s">
        <v>896</v>
      </c>
      <c r="P88" s="13">
        <f ca="1">IFERROR(__xludf.DUMMYFUNCTION("IF(REGEXMATCH(UPPER(E88),""CONGRESO""),1,0)"),0)</f>
        <v>0</v>
      </c>
    </row>
    <row r="89" spans="1:16" ht="15.75" customHeight="1" x14ac:dyDescent="0.2">
      <c r="A89" s="5" t="s">
        <v>70</v>
      </c>
      <c r="B89" s="5" t="s">
        <v>257</v>
      </c>
      <c r="C89" s="5" t="s">
        <v>258</v>
      </c>
      <c r="D89" s="5" t="s">
        <v>612</v>
      </c>
      <c r="E89" s="5" t="s">
        <v>613</v>
      </c>
      <c r="F89" s="5" t="s">
        <v>662</v>
      </c>
      <c r="H89" s="5" t="s">
        <v>760</v>
      </c>
      <c r="I89" s="5" t="s">
        <v>627</v>
      </c>
      <c r="J89" s="5" t="s">
        <v>618</v>
      </c>
      <c r="K89" s="5" t="s">
        <v>619</v>
      </c>
      <c r="L89" s="5" t="s">
        <v>46</v>
      </c>
      <c r="M89" s="5" t="s">
        <v>46</v>
      </c>
      <c r="N89" s="5" t="s">
        <v>46</v>
      </c>
      <c r="O89" s="5" t="s">
        <v>897</v>
      </c>
      <c r="P89" s="13">
        <f ca="1">IFERROR(__xludf.DUMMYFUNCTION("IF(REGEXMATCH(UPPER(E89),""CONGRESO""),1,0)"),1)</f>
        <v>1</v>
      </c>
    </row>
    <row r="90" spans="1:16" ht="15.75" customHeight="1" x14ac:dyDescent="0.2">
      <c r="A90" s="5" t="s">
        <v>70</v>
      </c>
      <c r="B90" s="5" t="s">
        <v>257</v>
      </c>
      <c r="C90" s="5" t="s">
        <v>258</v>
      </c>
      <c r="D90" s="5" t="s">
        <v>612</v>
      </c>
      <c r="E90" s="5" t="s">
        <v>613</v>
      </c>
      <c r="F90" s="5" t="s">
        <v>898</v>
      </c>
      <c r="H90" s="5" t="s">
        <v>760</v>
      </c>
      <c r="I90" s="5" t="s">
        <v>688</v>
      </c>
      <c r="J90" s="5" t="s">
        <v>624</v>
      </c>
      <c r="K90" s="5" t="s">
        <v>619</v>
      </c>
      <c r="L90" s="5" t="s">
        <v>46</v>
      </c>
      <c r="M90" s="5" t="s">
        <v>46</v>
      </c>
      <c r="N90" s="5" t="s">
        <v>46</v>
      </c>
      <c r="O90" s="5" t="s">
        <v>899</v>
      </c>
      <c r="P90" s="13">
        <f ca="1">IFERROR(__xludf.DUMMYFUNCTION("IF(REGEXMATCH(UPPER(E90),""CONGRESO""),1,0)"),1)</f>
        <v>1</v>
      </c>
    </row>
    <row r="91" spans="1:16" ht="15.75" customHeight="1" x14ac:dyDescent="0.2">
      <c r="A91" s="5" t="s">
        <v>70</v>
      </c>
      <c r="B91" s="5" t="s">
        <v>268</v>
      </c>
      <c r="C91" s="5" t="s">
        <v>269</v>
      </c>
      <c r="D91" s="5" t="s">
        <v>612</v>
      </c>
      <c r="E91" s="5" t="s">
        <v>796</v>
      </c>
      <c r="F91" s="5" t="s">
        <v>797</v>
      </c>
      <c r="G91" s="5" t="s">
        <v>768</v>
      </c>
      <c r="H91" s="5" t="s">
        <v>900</v>
      </c>
      <c r="I91" s="5" t="s">
        <v>688</v>
      </c>
      <c r="J91" s="5" t="s">
        <v>693</v>
      </c>
      <c r="K91" s="5" t="s">
        <v>619</v>
      </c>
      <c r="L91" s="5" t="s">
        <v>46</v>
      </c>
      <c r="M91" s="5" t="s">
        <v>46</v>
      </c>
      <c r="N91" s="5" t="s">
        <v>46</v>
      </c>
      <c r="P91" s="13">
        <f ca="1">IFERROR(__xludf.DUMMYFUNCTION("IF(REGEXMATCH(UPPER(E91),""CONGRESO""),1,0)"),0)</f>
        <v>0</v>
      </c>
    </row>
    <row r="92" spans="1:16" ht="15.75" customHeight="1" x14ac:dyDescent="0.2">
      <c r="A92" s="5" t="s">
        <v>70</v>
      </c>
      <c r="B92" s="5" t="s">
        <v>268</v>
      </c>
      <c r="C92" s="5" t="s">
        <v>269</v>
      </c>
      <c r="D92" s="5" t="s">
        <v>612</v>
      </c>
      <c r="E92" s="5" t="s">
        <v>901</v>
      </c>
      <c r="F92" s="5" t="s">
        <v>902</v>
      </c>
      <c r="G92" s="5" t="s">
        <v>903</v>
      </c>
      <c r="H92" s="5" t="s">
        <v>904</v>
      </c>
      <c r="I92" s="5" t="s">
        <v>649</v>
      </c>
      <c r="J92" s="5" t="s">
        <v>618</v>
      </c>
      <c r="K92" s="5" t="s">
        <v>619</v>
      </c>
      <c r="L92" s="5" t="s">
        <v>160</v>
      </c>
      <c r="M92" s="5" t="s">
        <v>160</v>
      </c>
      <c r="N92" s="5" t="s">
        <v>160</v>
      </c>
      <c r="O92" s="5" t="s">
        <v>905</v>
      </c>
      <c r="P92" s="13">
        <f ca="1">IFERROR(__xludf.DUMMYFUNCTION("IF(REGEXMATCH(UPPER(E92),""CONGRESO""),1,0)"),0)</f>
        <v>0</v>
      </c>
    </row>
    <row r="93" spans="1:16" ht="15.75" customHeight="1" x14ac:dyDescent="0.2">
      <c r="A93" s="5" t="s">
        <v>70</v>
      </c>
      <c r="B93" s="5" t="s">
        <v>268</v>
      </c>
      <c r="C93" s="5" t="s">
        <v>269</v>
      </c>
      <c r="D93" s="5" t="s">
        <v>612</v>
      </c>
      <c r="E93" s="5" t="s">
        <v>906</v>
      </c>
      <c r="F93" s="5" t="s">
        <v>747</v>
      </c>
      <c r="G93" s="5" t="s">
        <v>907</v>
      </c>
      <c r="H93" s="5" t="s">
        <v>908</v>
      </c>
      <c r="I93" s="5" t="s">
        <v>641</v>
      </c>
      <c r="J93" s="5" t="s">
        <v>618</v>
      </c>
      <c r="K93" s="5" t="s">
        <v>619</v>
      </c>
      <c r="L93" s="5" t="s">
        <v>46</v>
      </c>
      <c r="M93" s="5" t="s">
        <v>46</v>
      </c>
      <c r="N93" s="5" t="s">
        <v>777</v>
      </c>
      <c r="O93" s="5" t="s">
        <v>905</v>
      </c>
      <c r="P93" s="13">
        <f ca="1">IFERROR(__xludf.DUMMYFUNCTION("IF(REGEXMATCH(UPPER(E93),""CONGRESO""),1,0)"),0)</f>
        <v>0</v>
      </c>
    </row>
    <row r="94" spans="1:16" ht="15.75" customHeight="1" x14ac:dyDescent="0.2">
      <c r="A94" s="5" t="s">
        <v>70</v>
      </c>
      <c r="B94" s="5" t="s">
        <v>268</v>
      </c>
      <c r="C94" s="5" t="s">
        <v>269</v>
      </c>
      <c r="D94" s="5" t="s">
        <v>612</v>
      </c>
      <c r="E94" s="5" t="s">
        <v>909</v>
      </c>
      <c r="F94" s="5" t="s">
        <v>910</v>
      </c>
      <c r="G94" s="5" t="s">
        <v>911</v>
      </c>
      <c r="H94" s="5" t="s">
        <v>912</v>
      </c>
      <c r="I94" s="5" t="s">
        <v>653</v>
      </c>
      <c r="J94" s="5" t="s">
        <v>618</v>
      </c>
      <c r="K94" s="5" t="s">
        <v>619</v>
      </c>
      <c r="L94" s="5" t="s">
        <v>160</v>
      </c>
      <c r="M94" s="5" t="s">
        <v>160</v>
      </c>
      <c r="N94" s="5" t="s">
        <v>160</v>
      </c>
      <c r="O94" s="5" t="s">
        <v>905</v>
      </c>
      <c r="P94" s="13">
        <f ca="1">IFERROR(__xludf.DUMMYFUNCTION("IF(REGEXMATCH(UPPER(E94),""CONGRESO""),1,0)"),0)</f>
        <v>0</v>
      </c>
    </row>
    <row r="95" spans="1:16" ht="15.75" customHeight="1" x14ac:dyDescent="0.2">
      <c r="A95" s="5" t="s">
        <v>276</v>
      </c>
      <c r="B95" s="5" t="s">
        <v>277</v>
      </c>
      <c r="C95" s="5" t="s">
        <v>278</v>
      </c>
      <c r="D95" s="5" t="s">
        <v>913</v>
      </c>
      <c r="P95" s="13">
        <f ca="1">IFERROR(__xludf.DUMMYFUNCTION("IF(REGEXMATCH(UPPER(E95),""CONGRESO""),1,0)"),0)</f>
        <v>0</v>
      </c>
    </row>
    <row r="96" spans="1:16" ht="15.75" customHeight="1" x14ac:dyDescent="0.2">
      <c r="A96" s="5" t="s">
        <v>276</v>
      </c>
      <c r="B96" s="5" t="s">
        <v>288</v>
      </c>
      <c r="C96" s="5" t="s">
        <v>289</v>
      </c>
      <c r="D96" s="5" t="s">
        <v>612</v>
      </c>
      <c r="E96" s="5" t="s">
        <v>914</v>
      </c>
      <c r="F96" s="5" t="s">
        <v>915</v>
      </c>
      <c r="H96" s="5" t="s">
        <v>916</v>
      </c>
      <c r="I96" s="5" t="s">
        <v>624</v>
      </c>
      <c r="J96" s="5" t="s">
        <v>624</v>
      </c>
      <c r="K96" s="5" t="s">
        <v>619</v>
      </c>
      <c r="L96" s="5" t="s">
        <v>46</v>
      </c>
      <c r="M96" s="5" t="s">
        <v>46</v>
      </c>
      <c r="N96" s="5" t="s">
        <v>916</v>
      </c>
      <c r="P96" s="13">
        <f ca="1">IFERROR(__xludf.DUMMYFUNCTION("IF(REGEXMATCH(UPPER(E96),""CONGRESO""),1,0)"),0)</f>
        <v>0</v>
      </c>
    </row>
    <row r="97" spans="1:16" ht="15.75" customHeight="1" x14ac:dyDescent="0.2">
      <c r="A97" s="5" t="s">
        <v>276</v>
      </c>
      <c r="B97" s="5" t="s">
        <v>288</v>
      </c>
      <c r="C97" s="5" t="s">
        <v>289</v>
      </c>
      <c r="D97" s="5" t="s">
        <v>612</v>
      </c>
      <c r="E97" s="5" t="s">
        <v>917</v>
      </c>
      <c r="F97" s="5" t="s">
        <v>918</v>
      </c>
      <c r="H97" s="5" t="s">
        <v>919</v>
      </c>
      <c r="I97" s="5" t="s">
        <v>617</v>
      </c>
      <c r="J97" s="5" t="s">
        <v>618</v>
      </c>
      <c r="K97" s="5" t="s">
        <v>619</v>
      </c>
      <c r="L97" s="5" t="s">
        <v>46</v>
      </c>
      <c r="M97" s="5" t="s">
        <v>46</v>
      </c>
      <c r="N97" s="5" t="s">
        <v>920</v>
      </c>
      <c r="P97" s="13">
        <f ca="1">IFERROR(__xludf.DUMMYFUNCTION("IF(REGEXMATCH(UPPER(E97),""CONGRESO""),1,0)"),0)</f>
        <v>0</v>
      </c>
    </row>
    <row r="98" spans="1:16" ht="15.75" customHeight="1" x14ac:dyDescent="0.2">
      <c r="A98" s="5" t="s">
        <v>276</v>
      </c>
      <c r="B98" s="5" t="s">
        <v>288</v>
      </c>
      <c r="C98" s="5" t="s">
        <v>289</v>
      </c>
      <c r="D98" s="5" t="s">
        <v>612</v>
      </c>
      <c r="E98" s="5" t="s">
        <v>921</v>
      </c>
      <c r="F98" s="5" t="s">
        <v>922</v>
      </c>
      <c r="H98" s="5" t="s">
        <v>46</v>
      </c>
      <c r="I98" s="5" t="s">
        <v>623</v>
      </c>
      <c r="J98" s="5" t="s">
        <v>688</v>
      </c>
      <c r="K98" s="5" t="s">
        <v>619</v>
      </c>
      <c r="L98" s="5" t="s">
        <v>46</v>
      </c>
      <c r="M98" s="5" t="s">
        <v>46</v>
      </c>
      <c r="N98" s="5" t="s">
        <v>46</v>
      </c>
      <c r="P98" s="13">
        <f ca="1">IFERROR(__xludf.DUMMYFUNCTION("IF(REGEXMATCH(UPPER(E98),""CONGRESO""),1,0)"),0)</f>
        <v>0</v>
      </c>
    </row>
    <row r="99" spans="1:16" ht="15.75" customHeight="1" x14ac:dyDescent="0.2">
      <c r="A99" s="5" t="s">
        <v>276</v>
      </c>
      <c r="B99" s="5" t="s">
        <v>288</v>
      </c>
      <c r="C99" s="5" t="s">
        <v>289</v>
      </c>
      <c r="D99" s="5" t="s">
        <v>612</v>
      </c>
      <c r="E99" s="5" t="s">
        <v>735</v>
      </c>
      <c r="F99" s="5" t="s">
        <v>793</v>
      </c>
      <c r="H99" s="5" t="s">
        <v>744</v>
      </c>
      <c r="I99" s="5" t="s">
        <v>627</v>
      </c>
      <c r="J99" s="5" t="s">
        <v>617</v>
      </c>
      <c r="K99" s="5" t="s">
        <v>619</v>
      </c>
      <c r="L99" s="5" t="s">
        <v>46</v>
      </c>
      <c r="M99" s="5" t="s">
        <v>46</v>
      </c>
      <c r="N99" s="5" t="s">
        <v>46</v>
      </c>
      <c r="O99" s="5" t="s">
        <v>923</v>
      </c>
      <c r="P99" s="13">
        <f ca="1">IFERROR(__xludf.DUMMYFUNCTION("IF(REGEXMATCH(UPPER(E99),""CONGRESO""),1,0)"),1)</f>
        <v>1</v>
      </c>
    </row>
    <row r="100" spans="1:16" ht="15.75" customHeight="1" x14ac:dyDescent="0.2">
      <c r="A100" s="5" t="s">
        <v>276</v>
      </c>
      <c r="B100" s="5" t="s">
        <v>288</v>
      </c>
      <c r="C100" s="5" t="s">
        <v>289</v>
      </c>
      <c r="D100" s="5" t="s">
        <v>612</v>
      </c>
      <c r="E100" s="5" t="s">
        <v>924</v>
      </c>
      <c r="F100" s="5" t="s">
        <v>925</v>
      </c>
      <c r="H100" s="5" t="s">
        <v>46</v>
      </c>
      <c r="I100" s="5" t="s">
        <v>631</v>
      </c>
      <c r="J100" s="5" t="s">
        <v>632</v>
      </c>
      <c r="K100" s="5" t="s">
        <v>619</v>
      </c>
      <c r="L100" s="5" t="s">
        <v>46</v>
      </c>
      <c r="M100" s="5" t="s">
        <v>46</v>
      </c>
      <c r="N100" s="5" t="s">
        <v>46</v>
      </c>
      <c r="P100" s="13">
        <f ca="1">IFERROR(__xludf.DUMMYFUNCTION("IF(REGEXMATCH(UPPER(E100),""CONGRESO""),1,0)"),0)</f>
        <v>0</v>
      </c>
    </row>
    <row r="101" spans="1:16" ht="15.75" customHeight="1" x14ac:dyDescent="0.2">
      <c r="A101" s="5" t="s">
        <v>276</v>
      </c>
      <c r="B101" s="5" t="s">
        <v>296</v>
      </c>
      <c r="C101" s="5" t="s">
        <v>297</v>
      </c>
      <c r="D101" s="5" t="s">
        <v>612</v>
      </c>
      <c r="E101" s="5" t="s">
        <v>926</v>
      </c>
      <c r="F101" s="5" t="s">
        <v>927</v>
      </c>
      <c r="H101" s="5" t="s">
        <v>928</v>
      </c>
      <c r="I101" s="5" t="s">
        <v>929</v>
      </c>
      <c r="J101" s="5" t="s">
        <v>618</v>
      </c>
      <c r="K101" s="5" t="s">
        <v>619</v>
      </c>
      <c r="L101" s="5" t="s">
        <v>67</v>
      </c>
      <c r="M101" s="5" t="s">
        <v>244</v>
      </c>
      <c r="N101" s="5" t="s">
        <v>302</v>
      </c>
      <c r="P101" s="13">
        <f ca="1">IFERROR(__xludf.DUMMYFUNCTION("IF(REGEXMATCH(UPPER(E101),""CONGRESO""),1,0)"),0)</f>
        <v>0</v>
      </c>
    </row>
    <row r="102" spans="1:16" ht="15.75" customHeight="1" x14ac:dyDescent="0.2">
      <c r="A102" s="5" t="s">
        <v>276</v>
      </c>
      <c r="B102" s="5" t="s">
        <v>305</v>
      </c>
      <c r="C102" s="5" t="s">
        <v>306</v>
      </c>
      <c r="D102" s="5" t="s">
        <v>612</v>
      </c>
      <c r="E102" s="5" t="s">
        <v>930</v>
      </c>
      <c r="F102" s="5" t="s">
        <v>931</v>
      </c>
      <c r="H102" s="5" t="s">
        <v>932</v>
      </c>
      <c r="I102" s="5" t="s">
        <v>649</v>
      </c>
      <c r="J102" s="5" t="s">
        <v>649</v>
      </c>
      <c r="K102" s="5" t="s">
        <v>619</v>
      </c>
      <c r="L102" s="5" t="s">
        <v>313</v>
      </c>
      <c r="M102" s="5" t="s">
        <v>932</v>
      </c>
      <c r="N102" s="5" t="s">
        <v>932</v>
      </c>
      <c r="O102" s="5" t="s">
        <v>933</v>
      </c>
      <c r="P102" s="13">
        <f ca="1">IFERROR(__xludf.DUMMYFUNCTION("IF(REGEXMATCH(UPPER(E102),""CONGRESO""),1,0)"),0)</f>
        <v>0</v>
      </c>
    </row>
    <row r="103" spans="1:16" ht="15.75" customHeight="1" x14ac:dyDescent="0.2">
      <c r="A103" s="5" t="s">
        <v>276</v>
      </c>
      <c r="B103" s="5" t="s">
        <v>305</v>
      </c>
      <c r="C103" s="5" t="s">
        <v>306</v>
      </c>
      <c r="D103" s="5" t="s">
        <v>612</v>
      </c>
      <c r="E103" s="5" t="s">
        <v>934</v>
      </c>
      <c r="F103" s="5" t="s">
        <v>935</v>
      </c>
      <c r="H103" s="5" t="s">
        <v>936</v>
      </c>
      <c r="I103" s="5" t="s">
        <v>688</v>
      </c>
      <c r="J103" s="5" t="s">
        <v>624</v>
      </c>
      <c r="K103" s="5" t="s">
        <v>619</v>
      </c>
      <c r="L103" s="5" t="s">
        <v>313</v>
      </c>
      <c r="M103" s="5" t="s">
        <v>932</v>
      </c>
      <c r="N103" s="5" t="s">
        <v>932</v>
      </c>
      <c r="O103" s="5" t="s">
        <v>937</v>
      </c>
      <c r="P103" s="13">
        <f ca="1">IFERROR(__xludf.DUMMYFUNCTION("IF(REGEXMATCH(UPPER(E103),""CONGRESO""),1,0)"),0)</f>
        <v>0</v>
      </c>
    </row>
    <row r="104" spans="1:16" ht="15.75" customHeight="1" x14ac:dyDescent="0.2">
      <c r="A104" s="5" t="s">
        <v>276</v>
      </c>
      <c r="B104" s="5" t="s">
        <v>305</v>
      </c>
      <c r="C104" s="5" t="s">
        <v>306</v>
      </c>
      <c r="D104" s="5" t="s">
        <v>612</v>
      </c>
      <c r="E104" s="5" t="s">
        <v>938</v>
      </c>
      <c r="F104" s="5" t="s">
        <v>939</v>
      </c>
      <c r="H104" s="5" t="s">
        <v>940</v>
      </c>
      <c r="I104" s="5" t="s">
        <v>941</v>
      </c>
      <c r="J104" s="5" t="s">
        <v>618</v>
      </c>
      <c r="K104" s="5" t="s">
        <v>619</v>
      </c>
      <c r="L104" s="5" t="s">
        <v>313</v>
      </c>
      <c r="M104" s="5" t="s">
        <v>932</v>
      </c>
      <c r="N104" s="5" t="s">
        <v>932</v>
      </c>
      <c r="P104" s="13">
        <f ca="1">IFERROR(__xludf.DUMMYFUNCTION("IF(REGEXMATCH(UPPER(E104),""CONGRESO""),1,0)"),0)</f>
        <v>0</v>
      </c>
    </row>
    <row r="105" spans="1:16" ht="15.75" customHeight="1" x14ac:dyDescent="0.2">
      <c r="A105" s="5" t="s">
        <v>276</v>
      </c>
      <c r="B105" s="5" t="s">
        <v>305</v>
      </c>
      <c r="C105" s="5" t="s">
        <v>306</v>
      </c>
      <c r="D105" s="5" t="s">
        <v>612</v>
      </c>
      <c r="E105" s="5" t="s">
        <v>934</v>
      </c>
      <c r="F105" s="5" t="s">
        <v>935</v>
      </c>
      <c r="H105" s="5" t="s">
        <v>942</v>
      </c>
      <c r="I105" s="5" t="s">
        <v>649</v>
      </c>
      <c r="J105" s="5" t="s">
        <v>649</v>
      </c>
      <c r="K105" s="5" t="s">
        <v>619</v>
      </c>
      <c r="L105" s="5" t="s">
        <v>313</v>
      </c>
      <c r="M105" s="5" t="s">
        <v>932</v>
      </c>
      <c r="N105" s="5" t="s">
        <v>932</v>
      </c>
      <c r="O105" s="5" t="s">
        <v>943</v>
      </c>
      <c r="P105" s="13">
        <f ca="1">IFERROR(__xludf.DUMMYFUNCTION("IF(REGEXMATCH(UPPER(E105),""CONGRESO""),1,0)"),0)</f>
        <v>0</v>
      </c>
    </row>
    <row r="106" spans="1:16" ht="15.75" customHeight="1" x14ac:dyDescent="0.2">
      <c r="A106" s="5" t="s">
        <v>276</v>
      </c>
      <c r="B106" s="5" t="s">
        <v>316</v>
      </c>
      <c r="C106" s="5" t="s">
        <v>317</v>
      </c>
      <c r="D106" s="5" t="s">
        <v>612</v>
      </c>
      <c r="E106" s="5" t="s">
        <v>944</v>
      </c>
      <c r="F106" s="5" t="s">
        <v>622</v>
      </c>
      <c r="G106" s="5" t="s">
        <v>615</v>
      </c>
      <c r="H106" s="5" t="s">
        <v>760</v>
      </c>
      <c r="I106" s="5" t="s">
        <v>627</v>
      </c>
      <c r="J106" s="5" t="s">
        <v>618</v>
      </c>
      <c r="K106" s="5" t="s">
        <v>619</v>
      </c>
      <c r="L106" s="5" t="s">
        <v>46</v>
      </c>
      <c r="M106" s="5" t="s">
        <v>46</v>
      </c>
      <c r="N106" s="5" t="s">
        <v>46</v>
      </c>
      <c r="P106" s="13">
        <f ca="1">IFERROR(__xludf.DUMMYFUNCTION("IF(REGEXMATCH(UPPER(E106),""CONGRESO""),1,0)"),1)</f>
        <v>1</v>
      </c>
    </row>
    <row r="107" spans="1:16" ht="15.75" customHeight="1" x14ac:dyDescent="0.2">
      <c r="A107" s="5" t="s">
        <v>276</v>
      </c>
      <c r="B107" s="5" t="s">
        <v>316</v>
      </c>
      <c r="C107" s="5" t="s">
        <v>317</v>
      </c>
      <c r="D107" s="5" t="s">
        <v>612</v>
      </c>
      <c r="E107" s="5" t="s">
        <v>926</v>
      </c>
      <c r="F107" s="5" t="s">
        <v>945</v>
      </c>
      <c r="H107" s="5" t="s">
        <v>946</v>
      </c>
      <c r="I107" s="5" t="s">
        <v>750</v>
      </c>
      <c r="J107" s="5" t="s">
        <v>618</v>
      </c>
      <c r="K107" s="5" t="s">
        <v>619</v>
      </c>
      <c r="L107" s="5" t="s">
        <v>324</v>
      </c>
      <c r="M107" s="5" t="s">
        <v>947</v>
      </c>
      <c r="N107" s="5" t="s">
        <v>947</v>
      </c>
      <c r="P107" s="13">
        <f ca="1">IFERROR(__xludf.DUMMYFUNCTION("IF(REGEXMATCH(UPPER(E107),""CONGRESO""),1,0)"),0)</f>
        <v>0</v>
      </c>
    </row>
    <row r="108" spans="1:16" ht="15.75" customHeight="1" x14ac:dyDescent="0.2">
      <c r="A108" s="5" t="s">
        <v>276</v>
      </c>
      <c r="B108" s="5" t="s">
        <v>327</v>
      </c>
      <c r="C108" s="5" t="s">
        <v>328</v>
      </c>
      <c r="D108" s="5" t="s">
        <v>612</v>
      </c>
      <c r="E108" s="5" t="s">
        <v>807</v>
      </c>
      <c r="F108" s="5" t="s">
        <v>948</v>
      </c>
      <c r="G108" s="5" t="s">
        <v>949</v>
      </c>
      <c r="H108" s="5" t="s">
        <v>950</v>
      </c>
      <c r="I108" s="5" t="s">
        <v>627</v>
      </c>
      <c r="J108" s="5" t="s">
        <v>627</v>
      </c>
      <c r="K108" s="5" t="s">
        <v>619</v>
      </c>
      <c r="L108" s="5" t="s">
        <v>46</v>
      </c>
      <c r="M108" s="5" t="s">
        <v>46</v>
      </c>
      <c r="N108" s="5" t="s">
        <v>46</v>
      </c>
      <c r="P108" s="13">
        <f ca="1">IFERROR(__xludf.DUMMYFUNCTION("IF(REGEXMATCH(UPPER(E108),""CONGRESO""),1,0)"),0)</f>
        <v>0</v>
      </c>
    </row>
    <row r="109" spans="1:16" ht="15.75" customHeight="1" x14ac:dyDescent="0.2">
      <c r="A109" s="5" t="s">
        <v>276</v>
      </c>
      <c r="B109" s="5" t="s">
        <v>327</v>
      </c>
      <c r="C109" s="5" t="s">
        <v>328</v>
      </c>
      <c r="D109" s="5" t="s">
        <v>612</v>
      </c>
      <c r="E109" s="5" t="s">
        <v>951</v>
      </c>
      <c r="F109" s="5" t="s">
        <v>656</v>
      </c>
      <c r="H109" s="5" t="s">
        <v>952</v>
      </c>
      <c r="I109" s="5" t="s">
        <v>870</v>
      </c>
      <c r="J109" s="5" t="s">
        <v>653</v>
      </c>
      <c r="K109" s="5" t="s">
        <v>619</v>
      </c>
      <c r="L109" s="5" t="s">
        <v>333</v>
      </c>
      <c r="M109" s="5" t="s">
        <v>334</v>
      </c>
      <c r="N109" s="5" t="s">
        <v>953</v>
      </c>
      <c r="P109" s="13">
        <f ca="1">IFERROR(__xludf.DUMMYFUNCTION("IF(REGEXMATCH(UPPER(E109),""CONGRESO""),1,0)"),0)</f>
        <v>0</v>
      </c>
    </row>
    <row r="110" spans="1:16" ht="15.75" customHeight="1" x14ac:dyDescent="0.2">
      <c r="A110" s="5" t="s">
        <v>276</v>
      </c>
      <c r="B110" s="5" t="s">
        <v>337</v>
      </c>
      <c r="C110" s="5" t="s">
        <v>338</v>
      </c>
      <c r="D110" s="5" t="s">
        <v>612</v>
      </c>
      <c r="E110" s="5" t="s">
        <v>954</v>
      </c>
      <c r="F110" s="5" t="s">
        <v>676</v>
      </c>
      <c r="H110" s="5" t="s">
        <v>955</v>
      </c>
      <c r="I110" s="5" t="s">
        <v>621</v>
      </c>
      <c r="J110" s="5" t="s">
        <v>627</v>
      </c>
      <c r="K110" s="5" t="s">
        <v>619</v>
      </c>
      <c r="L110" s="5" t="s">
        <v>333</v>
      </c>
      <c r="M110" s="5" t="s">
        <v>956</v>
      </c>
      <c r="N110" s="5" t="s">
        <v>956</v>
      </c>
      <c r="P110" s="13">
        <f ca="1">IFERROR(__xludf.DUMMYFUNCTION("IF(REGEXMATCH(UPPER(E110),""CONGRESO""),1,0)"),0)</f>
        <v>0</v>
      </c>
    </row>
    <row r="111" spans="1:16" ht="15.75" customHeight="1" x14ac:dyDescent="0.2">
      <c r="A111" s="5" t="s">
        <v>276</v>
      </c>
      <c r="B111" s="5" t="s">
        <v>337</v>
      </c>
      <c r="C111" s="5" t="s">
        <v>338</v>
      </c>
      <c r="D111" s="5" t="s">
        <v>612</v>
      </c>
      <c r="E111" s="5" t="s">
        <v>665</v>
      </c>
      <c r="F111" s="5" t="s">
        <v>793</v>
      </c>
      <c r="H111" s="5" t="s">
        <v>744</v>
      </c>
      <c r="I111" s="5" t="s">
        <v>624</v>
      </c>
      <c r="J111" s="5" t="s">
        <v>632</v>
      </c>
      <c r="K111" s="5" t="s">
        <v>619</v>
      </c>
      <c r="L111" s="5" t="s">
        <v>46</v>
      </c>
      <c r="M111" s="5" t="s">
        <v>46</v>
      </c>
      <c r="N111" s="5" t="s">
        <v>46</v>
      </c>
      <c r="P111" s="13">
        <f ca="1">IFERROR(__xludf.DUMMYFUNCTION("IF(REGEXMATCH(UPPER(E111),""CONGRESO""),1,0)"),1)</f>
        <v>1</v>
      </c>
    </row>
    <row r="112" spans="1:16" ht="15.75" customHeight="1" x14ac:dyDescent="0.2">
      <c r="A112" s="5" t="s">
        <v>276</v>
      </c>
      <c r="B112" s="5" t="s">
        <v>337</v>
      </c>
      <c r="C112" s="5" t="s">
        <v>338</v>
      </c>
      <c r="D112" s="5" t="s">
        <v>612</v>
      </c>
      <c r="E112" s="5" t="s">
        <v>957</v>
      </c>
      <c r="F112" s="5" t="s">
        <v>958</v>
      </c>
      <c r="H112" s="5" t="s">
        <v>334</v>
      </c>
      <c r="I112" s="5" t="s">
        <v>618</v>
      </c>
      <c r="J112" s="5" t="s">
        <v>618</v>
      </c>
      <c r="K112" s="5" t="s">
        <v>619</v>
      </c>
      <c r="L112" s="5" t="s">
        <v>333</v>
      </c>
      <c r="M112" s="5" t="s">
        <v>334</v>
      </c>
      <c r="N112" s="5" t="s">
        <v>333</v>
      </c>
      <c r="P112" s="13">
        <f ca="1">IFERROR(__xludf.DUMMYFUNCTION("IF(REGEXMATCH(UPPER(E112),""CONGRESO""),1,0)"),0)</f>
        <v>0</v>
      </c>
    </row>
    <row r="113" spans="1:16" ht="15.75" customHeight="1" x14ac:dyDescent="0.2">
      <c r="A113" s="5" t="s">
        <v>276</v>
      </c>
      <c r="B113" s="5" t="s">
        <v>337</v>
      </c>
      <c r="C113" s="5" t="s">
        <v>338</v>
      </c>
      <c r="D113" s="5" t="s">
        <v>612</v>
      </c>
      <c r="E113" s="5" t="s">
        <v>954</v>
      </c>
      <c r="F113" s="5" t="s">
        <v>676</v>
      </c>
      <c r="H113" s="5" t="s">
        <v>955</v>
      </c>
      <c r="I113" s="5" t="s">
        <v>688</v>
      </c>
      <c r="J113" s="5" t="s">
        <v>624</v>
      </c>
      <c r="K113" s="5" t="s">
        <v>619</v>
      </c>
      <c r="L113" s="5" t="s">
        <v>333</v>
      </c>
      <c r="M113" s="5" t="s">
        <v>956</v>
      </c>
      <c r="N113" s="5" t="s">
        <v>956</v>
      </c>
      <c r="P113" s="13">
        <f ca="1">IFERROR(__xludf.DUMMYFUNCTION("IF(REGEXMATCH(UPPER(E113),""CONGRESO""),1,0)"),0)</f>
        <v>0</v>
      </c>
    </row>
    <row r="114" spans="1:16" ht="15.75" customHeight="1" x14ac:dyDescent="0.2">
      <c r="A114" s="5" t="s">
        <v>276</v>
      </c>
      <c r="B114" s="5" t="s">
        <v>337</v>
      </c>
      <c r="C114" s="5" t="s">
        <v>338</v>
      </c>
      <c r="D114" s="5" t="s">
        <v>612</v>
      </c>
      <c r="E114" s="5" t="s">
        <v>735</v>
      </c>
      <c r="F114" s="5" t="s">
        <v>959</v>
      </c>
      <c r="H114" s="5" t="s">
        <v>744</v>
      </c>
      <c r="I114" s="5" t="s">
        <v>627</v>
      </c>
      <c r="J114" s="5" t="s">
        <v>649</v>
      </c>
      <c r="K114" s="5" t="s">
        <v>619</v>
      </c>
      <c r="L114" s="5" t="s">
        <v>46</v>
      </c>
      <c r="M114" s="5" t="s">
        <v>46</v>
      </c>
      <c r="N114" s="5" t="s">
        <v>46</v>
      </c>
      <c r="P114" s="13">
        <f ca="1">IFERROR(__xludf.DUMMYFUNCTION("IF(REGEXMATCH(UPPER(E114),""CONGRESO""),1,0)"),1)</f>
        <v>1</v>
      </c>
    </row>
    <row r="115" spans="1:16" ht="15.75" customHeight="1" x14ac:dyDescent="0.2">
      <c r="A115" s="5" t="s">
        <v>276</v>
      </c>
      <c r="B115" s="5" t="s">
        <v>346</v>
      </c>
      <c r="C115" s="5" t="s">
        <v>347</v>
      </c>
      <c r="D115" s="5" t="s">
        <v>612</v>
      </c>
      <c r="E115" s="5" t="s">
        <v>960</v>
      </c>
      <c r="F115" s="5" t="s">
        <v>961</v>
      </c>
      <c r="H115" s="5" t="s">
        <v>962</v>
      </c>
      <c r="I115" s="5" t="s">
        <v>617</v>
      </c>
      <c r="J115" s="5" t="s">
        <v>618</v>
      </c>
      <c r="K115" s="5" t="s">
        <v>619</v>
      </c>
      <c r="L115" s="5" t="s">
        <v>263</v>
      </c>
      <c r="M115" s="5" t="s">
        <v>352</v>
      </c>
      <c r="N115" s="5" t="s">
        <v>963</v>
      </c>
      <c r="P115" s="13">
        <f ca="1">IFERROR(__xludf.DUMMYFUNCTION("IF(REGEXMATCH(UPPER(E115),""CONGRESO""),1,0)"),0)</f>
        <v>0</v>
      </c>
    </row>
    <row r="116" spans="1:16" ht="15.75" customHeight="1" x14ac:dyDescent="0.2">
      <c r="A116" s="5" t="s">
        <v>276</v>
      </c>
      <c r="B116" s="5" t="s">
        <v>355</v>
      </c>
      <c r="C116" s="5" t="s">
        <v>356</v>
      </c>
      <c r="D116" s="5" t="s">
        <v>612</v>
      </c>
      <c r="E116" s="5" t="s">
        <v>735</v>
      </c>
      <c r="F116" s="5" t="s">
        <v>666</v>
      </c>
      <c r="G116" s="5" t="s">
        <v>615</v>
      </c>
      <c r="H116" s="5" t="s">
        <v>786</v>
      </c>
      <c r="I116" s="5" t="s">
        <v>627</v>
      </c>
      <c r="J116" s="5" t="s">
        <v>618</v>
      </c>
      <c r="K116" s="5" t="s">
        <v>619</v>
      </c>
      <c r="L116" s="5" t="s">
        <v>46</v>
      </c>
      <c r="M116" s="5" t="s">
        <v>46</v>
      </c>
      <c r="N116" s="5" t="s">
        <v>46</v>
      </c>
      <c r="P116" s="13">
        <f ca="1">IFERROR(__xludf.DUMMYFUNCTION("IF(REGEXMATCH(UPPER(E116),""CONGRESO""),1,0)"),1)</f>
        <v>1</v>
      </c>
    </row>
    <row r="117" spans="1:16" ht="15.75" customHeight="1" x14ac:dyDescent="0.2">
      <c r="A117" s="5" t="s">
        <v>276</v>
      </c>
      <c r="B117" s="5" t="s">
        <v>355</v>
      </c>
      <c r="C117" s="5" t="s">
        <v>356</v>
      </c>
      <c r="D117" s="5" t="s">
        <v>612</v>
      </c>
      <c r="E117" s="5" t="s">
        <v>964</v>
      </c>
      <c r="F117" s="5" t="s">
        <v>965</v>
      </c>
      <c r="G117" s="5" t="s">
        <v>966</v>
      </c>
      <c r="H117" s="5" t="s">
        <v>967</v>
      </c>
      <c r="I117" s="5" t="s">
        <v>688</v>
      </c>
      <c r="J117" s="5" t="s">
        <v>631</v>
      </c>
      <c r="K117" s="5" t="s">
        <v>619</v>
      </c>
      <c r="L117" s="5" t="s">
        <v>35</v>
      </c>
      <c r="M117" s="5" t="s">
        <v>35</v>
      </c>
      <c r="N117" s="5" t="s">
        <v>35</v>
      </c>
      <c r="P117" s="13">
        <f ca="1">IFERROR(__xludf.DUMMYFUNCTION("IF(REGEXMATCH(UPPER(E117),""CONGRESO""),1,0)"),0)</f>
        <v>0</v>
      </c>
    </row>
    <row r="118" spans="1:16" ht="15.75" customHeight="1" x14ac:dyDescent="0.2">
      <c r="A118" s="5" t="s">
        <v>276</v>
      </c>
      <c r="B118" s="5" t="s">
        <v>355</v>
      </c>
      <c r="C118" s="5" t="s">
        <v>356</v>
      </c>
      <c r="D118" s="5" t="s">
        <v>612</v>
      </c>
      <c r="E118" s="5" t="s">
        <v>968</v>
      </c>
      <c r="F118" s="5" t="s">
        <v>884</v>
      </c>
      <c r="G118" s="5" t="s">
        <v>966</v>
      </c>
      <c r="H118" s="5" t="s">
        <v>969</v>
      </c>
      <c r="I118" s="5" t="s">
        <v>693</v>
      </c>
      <c r="J118" s="5" t="s">
        <v>627</v>
      </c>
      <c r="K118" s="5" t="s">
        <v>619</v>
      </c>
      <c r="L118" s="5" t="s">
        <v>35</v>
      </c>
      <c r="M118" s="5" t="s">
        <v>35</v>
      </c>
      <c r="N118" s="5" t="s">
        <v>35</v>
      </c>
      <c r="P118" s="13">
        <f ca="1">IFERROR(__xludf.DUMMYFUNCTION("IF(REGEXMATCH(UPPER(E118),""CONGRESO""),1,0)"),0)</f>
        <v>0</v>
      </c>
    </row>
    <row r="119" spans="1:16" ht="15.75" customHeight="1" x14ac:dyDescent="0.2">
      <c r="A119" s="5" t="s">
        <v>276</v>
      </c>
      <c r="B119" s="5" t="s">
        <v>363</v>
      </c>
      <c r="C119" s="5" t="s">
        <v>364</v>
      </c>
      <c r="D119" s="5" t="s">
        <v>612</v>
      </c>
      <c r="E119" s="5" t="s">
        <v>970</v>
      </c>
      <c r="F119" s="5" t="s">
        <v>971</v>
      </c>
      <c r="H119" s="5" t="s">
        <v>972</v>
      </c>
      <c r="I119" s="5" t="s">
        <v>631</v>
      </c>
      <c r="J119" s="5" t="s">
        <v>693</v>
      </c>
      <c r="K119" s="5" t="s">
        <v>619</v>
      </c>
      <c r="L119" s="5" t="s">
        <v>46</v>
      </c>
      <c r="M119" s="5" t="s">
        <v>46</v>
      </c>
      <c r="N119" s="5" t="s">
        <v>551</v>
      </c>
      <c r="P119" s="13">
        <f ca="1">IFERROR(__xludf.DUMMYFUNCTION("IF(REGEXMATCH(UPPER(E119),""CONGRESO""),1,0)"),0)</f>
        <v>0</v>
      </c>
    </row>
    <row r="120" spans="1:16" ht="15.75" customHeight="1" x14ac:dyDescent="0.2">
      <c r="A120" s="5" t="s">
        <v>276</v>
      </c>
      <c r="B120" s="5" t="s">
        <v>363</v>
      </c>
      <c r="C120" s="5" t="s">
        <v>364</v>
      </c>
      <c r="D120" s="5" t="s">
        <v>612</v>
      </c>
      <c r="E120" s="5" t="s">
        <v>973</v>
      </c>
      <c r="F120" s="5" t="s">
        <v>974</v>
      </c>
      <c r="H120" s="5" t="s">
        <v>975</v>
      </c>
      <c r="I120" s="5" t="s">
        <v>632</v>
      </c>
      <c r="J120" s="5" t="s">
        <v>627</v>
      </c>
      <c r="K120" s="5" t="s">
        <v>619</v>
      </c>
      <c r="L120" s="5" t="s">
        <v>150</v>
      </c>
      <c r="M120" s="5" t="s">
        <v>369</v>
      </c>
      <c r="N120" s="5" t="s">
        <v>369</v>
      </c>
      <c r="P120" s="13">
        <f ca="1">IFERROR(__xludf.DUMMYFUNCTION("IF(REGEXMATCH(UPPER(E120),""CONGRESO""),1,0)"),0)</f>
        <v>0</v>
      </c>
    </row>
    <row r="121" spans="1:16" ht="15.75" customHeight="1" x14ac:dyDescent="0.2">
      <c r="A121" s="5" t="s">
        <v>276</v>
      </c>
      <c r="B121" s="5" t="s">
        <v>363</v>
      </c>
      <c r="C121" s="5" t="s">
        <v>364</v>
      </c>
      <c r="D121" s="5" t="s">
        <v>612</v>
      </c>
      <c r="E121" s="5" t="s">
        <v>944</v>
      </c>
      <c r="F121" s="5" t="s">
        <v>622</v>
      </c>
      <c r="G121" s="5" t="s">
        <v>615</v>
      </c>
      <c r="H121" s="5" t="s">
        <v>760</v>
      </c>
      <c r="I121" s="5" t="s">
        <v>627</v>
      </c>
      <c r="J121" s="5" t="s">
        <v>618</v>
      </c>
      <c r="K121" s="5" t="s">
        <v>619</v>
      </c>
      <c r="L121" s="5" t="s">
        <v>46</v>
      </c>
      <c r="M121" s="5" t="s">
        <v>46</v>
      </c>
      <c r="N121" s="5" t="s">
        <v>46</v>
      </c>
      <c r="O121" s="5" t="s">
        <v>976</v>
      </c>
      <c r="P121" s="13">
        <f ca="1">IFERROR(__xludf.DUMMYFUNCTION("IF(REGEXMATCH(UPPER(E121),""CONGRESO""),1,0)"),1)</f>
        <v>1</v>
      </c>
    </row>
    <row r="122" spans="1:16" ht="15.75" customHeight="1" x14ac:dyDescent="0.2">
      <c r="A122" s="5" t="s">
        <v>276</v>
      </c>
      <c r="B122" s="5" t="s">
        <v>363</v>
      </c>
      <c r="C122" s="5" t="s">
        <v>364</v>
      </c>
      <c r="D122" s="5" t="s">
        <v>612</v>
      </c>
      <c r="E122" s="5" t="s">
        <v>977</v>
      </c>
      <c r="F122" s="5" t="s">
        <v>978</v>
      </c>
      <c r="H122" s="5" t="s">
        <v>979</v>
      </c>
      <c r="I122" s="5" t="s">
        <v>653</v>
      </c>
      <c r="J122" s="5" t="s">
        <v>653</v>
      </c>
      <c r="K122" s="5" t="s">
        <v>619</v>
      </c>
      <c r="L122" s="5" t="s">
        <v>46</v>
      </c>
      <c r="M122" s="5" t="s">
        <v>46</v>
      </c>
      <c r="N122" s="5" t="s">
        <v>689</v>
      </c>
      <c r="P122" s="13">
        <f ca="1">IFERROR(__xludf.DUMMYFUNCTION("IF(REGEXMATCH(UPPER(E122),""CONGRESO""),1,0)"),0)</f>
        <v>0</v>
      </c>
    </row>
    <row r="123" spans="1:16" ht="15.75" customHeight="1" x14ac:dyDescent="0.2">
      <c r="A123" s="5" t="s">
        <v>276</v>
      </c>
      <c r="B123" s="5" t="s">
        <v>372</v>
      </c>
      <c r="C123" s="5" t="s">
        <v>373</v>
      </c>
      <c r="D123" s="5" t="s">
        <v>612</v>
      </c>
      <c r="E123" s="5" t="s">
        <v>980</v>
      </c>
      <c r="F123" s="5" t="s">
        <v>981</v>
      </c>
      <c r="H123" s="5" t="s">
        <v>982</v>
      </c>
      <c r="I123" s="5" t="s">
        <v>618</v>
      </c>
      <c r="J123" s="5" t="s">
        <v>618</v>
      </c>
      <c r="K123" s="5" t="s">
        <v>619</v>
      </c>
      <c r="L123" s="5" t="s">
        <v>57</v>
      </c>
      <c r="M123" s="5" t="s">
        <v>57</v>
      </c>
      <c r="N123" s="5" t="s">
        <v>983</v>
      </c>
      <c r="P123" s="13">
        <f ca="1">IFERROR(__xludf.DUMMYFUNCTION("IF(REGEXMATCH(UPPER(E123),""CONGRESO""),1,0)"),0)</f>
        <v>0</v>
      </c>
    </row>
    <row r="124" spans="1:16" ht="15.75" customHeight="1" x14ac:dyDescent="0.2">
      <c r="A124" s="5" t="s">
        <v>276</v>
      </c>
      <c r="B124" s="5" t="s">
        <v>372</v>
      </c>
      <c r="C124" s="5" t="s">
        <v>373</v>
      </c>
      <c r="D124" s="5" t="s">
        <v>612</v>
      </c>
      <c r="E124" s="5" t="s">
        <v>984</v>
      </c>
      <c r="F124" s="5" t="s">
        <v>985</v>
      </c>
      <c r="H124" s="5" t="s">
        <v>986</v>
      </c>
      <c r="I124" s="5" t="s">
        <v>706</v>
      </c>
      <c r="J124" s="5" t="s">
        <v>624</v>
      </c>
      <c r="K124" s="5" t="s">
        <v>619</v>
      </c>
      <c r="L124" s="5" t="s">
        <v>57</v>
      </c>
      <c r="M124" s="5" t="s">
        <v>57</v>
      </c>
      <c r="N124" s="5" t="s">
        <v>57</v>
      </c>
      <c r="P124" s="13">
        <f ca="1">IFERROR(__xludf.DUMMYFUNCTION("IF(REGEXMATCH(UPPER(E124),""CONGRESO""),1,0)"),0)</f>
        <v>0</v>
      </c>
    </row>
    <row r="125" spans="1:16" ht="15.75" customHeight="1" x14ac:dyDescent="0.2">
      <c r="A125" s="5" t="s">
        <v>380</v>
      </c>
      <c r="B125" s="5" t="s">
        <v>381</v>
      </c>
      <c r="C125" s="5" t="s">
        <v>382</v>
      </c>
      <c r="D125" s="5" t="s">
        <v>612</v>
      </c>
      <c r="E125" s="5" t="s">
        <v>987</v>
      </c>
      <c r="F125" s="5" t="s">
        <v>988</v>
      </c>
      <c r="G125" s="5" t="s">
        <v>989</v>
      </c>
      <c r="H125" s="5" t="s">
        <v>46</v>
      </c>
      <c r="I125" s="5" t="s">
        <v>750</v>
      </c>
      <c r="J125" s="5" t="s">
        <v>618</v>
      </c>
      <c r="K125" s="5" t="s">
        <v>619</v>
      </c>
      <c r="L125" s="5" t="s">
        <v>46</v>
      </c>
      <c r="M125" s="5" t="s">
        <v>46</v>
      </c>
      <c r="N125" s="5" t="s">
        <v>881</v>
      </c>
      <c r="P125" s="13">
        <f ca="1">IFERROR(__xludf.DUMMYFUNCTION("IF(REGEXMATCH(UPPER(E125),""CONGRESO""),1,0)"),0)</f>
        <v>0</v>
      </c>
    </row>
    <row r="126" spans="1:16" ht="15.75" customHeight="1" x14ac:dyDescent="0.2">
      <c r="A126" s="5" t="s">
        <v>380</v>
      </c>
      <c r="B126" s="5" t="s">
        <v>390</v>
      </c>
      <c r="C126" s="5" t="s">
        <v>391</v>
      </c>
      <c r="D126" s="5" t="s">
        <v>612</v>
      </c>
      <c r="E126" s="5" t="s">
        <v>990</v>
      </c>
      <c r="F126" s="5" t="s">
        <v>991</v>
      </c>
      <c r="G126" s="5" t="s">
        <v>992</v>
      </c>
      <c r="H126" s="5" t="s">
        <v>993</v>
      </c>
      <c r="I126" s="5" t="s">
        <v>653</v>
      </c>
      <c r="J126" s="5" t="s">
        <v>653</v>
      </c>
      <c r="K126" s="5" t="s">
        <v>619</v>
      </c>
      <c r="L126" s="5" t="s">
        <v>46</v>
      </c>
      <c r="M126" s="5" t="s">
        <v>46</v>
      </c>
      <c r="N126" s="5" t="s">
        <v>551</v>
      </c>
      <c r="P126" s="13">
        <f ca="1">IFERROR(__xludf.DUMMYFUNCTION("IF(REGEXMATCH(UPPER(E126),""CONGRESO""),1,0)"),0)</f>
        <v>0</v>
      </c>
    </row>
    <row r="127" spans="1:16" ht="15.75" customHeight="1" x14ac:dyDescent="0.2">
      <c r="A127" s="5" t="s">
        <v>380</v>
      </c>
      <c r="B127" s="5" t="s">
        <v>390</v>
      </c>
      <c r="C127" s="5" t="s">
        <v>391</v>
      </c>
      <c r="D127" s="5" t="s">
        <v>612</v>
      </c>
      <c r="E127" s="5" t="s">
        <v>994</v>
      </c>
      <c r="F127" s="5" t="s">
        <v>995</v>
      </c>
      <c r="G127" s="5" t="s">
        <v>996</v>
      </c>
      <c r="H127" s="5" t="s">
        <v>997</v>
      </c>
      <c r="I127" s="5" t="s">
        <v>631</v>
      </c>
      <c r="J127" s="5" t="s">
        <v>631</v>
      </c>
      <c r="K127" s="5" t="s">
        <v>619</v>
      </c>
      <c r="L127" s="5" t="s">
        <v>46</v>
      </c>
      <c r="M127" s="5" t="s">
        <v>46</v>
      </c>
      <c r="N127" s="5" t="s">
        <v>46</v>
      </c>
      <c r="P127" s="13">
        <f ca="1">IFERROR(__xludf.DUMMYFUNCTION("IF(REGEXMATCH(UPPER(E127),""CONGRESO""),1,0)"),0)</f>
        <v>0</v>
      </c>
    </row>
    <row r="128" spans="1:16" ht="15.75" customHeight="1" x14ac:dyDescent="0.2">
      <c r="A128" s="5" t="s">
        <v>380</v>
      </c>
      <c r="B128" s="5" t="s">
        <v>390</v>
      </c>
      <c r="C128" s="5" t="s">
        <v>391</v>
      </c>
      <c r="D128" s="5" t="s">
        <v>612</v>
      </c>
      <c r="E128" s="5" t="s">
        <v>998</v>
      </c>
      <c r="F128" s="5" t="s">
        <v>999</v>
      </c>
      <c r="G128" s="5" t="s">
        <v>1000</v>
      </c>
      <c r="H128" s="5" t="s">
        <v>1001</v>
      </c>
      <c r="I128" s="5" t="s">
        <v>653</v>
      </c>
      <c r="J128" s="5" t="s">
        <v>653</v>
      </c>
      <c r="K128" s="5" t="s">
        <v>619</v>
      </c>
      <c r="L128" s="5" t="s">
        <v>46</v>
      </c>
      <c r="M128" s="5" t="s">
        <v>46</v>
      </c>
      <c r="N128" s="5" t="s">
        <v>217</v>
      </c>
      <c r="P128" s="13">
        <f ca="1">IFERROR(__xludf.DUMMYFUNCTION("IF(REGEXMATCH(UPPER(E128),""CONGRESO""),1,0)"),0)</f>
        <v>0</v>
      </c>
    </row>
    <row r="129" spans="1:16" ht="15.75" customHeight="1" x14ac:dyDescent="0.2">
      <c r="A129" s="5" t="s">
        <v>380</v>
      </c>
      <c r="B129" s="5" t="s">
        <v>390</v>
      </c>
      <c r="C129" s="5" t="s">
        <v>391</v>
      </c>
      <c r="D129" s="5" t="s">
        <v>612</v>
      </c>
      <c r="E129" s="5" t="s">
        <v>1002</v>
      </c>
      <c r="F129" s="5" t="s">
        <v>1003</v>
      </c>
      <c r="G129" s="5" t="s">
        <v>615</v>
      </c>
      <c r="H129" s="5" t="s">
        <v>1004</v>
      </c>
      <c r="I129" s="5" t="s">
        <v>621</v>
      </c>
      <c r="J129" s="5" t="s">
        <v>627</v>
      </c>
      <c r="K129" s="5" t="s">
        <v>619</v>
      </c>
      <c r="L129" s="5" t="s">
        <v>46</v>
      </c>
      <c r="M129" s="5" t="s">
        <v>46</v>
      </c>
      <c r="N129" s="5" t="s">
        <v>46</v>
      </c>
      <c r="P129" s="13">
        <f ca="1">IFERROR(__xludf.DUMMYFUNCTION("IF(REGEXMATCH(UPPER(E129),""CONGRESO""),1,0)"),1)</f>
        <v>1</v>
      </c>
    </row>
    <row r="130" spans="1:16" ht="15.75" customHeight="1" x14ac:dyDescent="0.2">
      <c r="A130" s="5" t="s">
        <v>380</v>
      </c>
      <c r="B130" s="5" t="s">
        <v>390</v>
      </c>
      <c r="C130" s="5" t="s">
        <v>391</v>
      </c>
      <c r="D130" s="5" t="s">
        <v>612</v>
      </c>
      <c r="E130" s="5" t="s">
        <v>1005</v>
      </c>
      <c r="F130" s="5" t="s">
        <v>1006</v>
      </c>
      <c r="G130" s="5" t="s">
        <v>1007</v>
      </c>
      <c r="H130" s="5" t="s">
        <v>1008</v>
      </c>
      <c r="I130" s="5" t="s">
        <v>617</v>
      </c>
      <c r="J130" s="5" t="s">
        <v>618</v>
      </c>
      <c r="K130" s="5" t="s">
        <v>619</v>
      </c>
      <c r="L130" s="5" t="s">
        <v>46</v>
      </c>
      <c r="M130" s="5" t="s">
        <v>46</v>
      </c>
      <c r="N130" s="5" t="s">
        <v>46</v>
      </c>
      <c r="P130" s="13">
        <f ca="1">IFERROR(__xludf.DUMMYFUNCTION("IF(REGEXMATCH(UPPER(E130),""CONGRESO""),1,0)"),0)</f>
        <v>0</v>
      </c>
    </row>
    <row r="131" spans="1:16" ht="15.75" customHeight="1" x14ac:dyDescent="0.2">
      <c r="A131" s="5" t="s">
        <v>380</v>
      </c>
      <c r="B131" s="5" t="s">
        <v>399</v>
      </c>
      <c r="C131" s="5" t="s">
        <v>400</v>
      </c>
      <c r="D131" s="5" t="s">
        <v>612</v>
      </c>
      <c r="E131" s="5" t="s">
        <v>1009</v>
      </c>
      <c r="F131" s="5" t="s">
        <v>711</v>
      </c>
      <c r="G131" s="5" t="s">
        <v>1010</v>
      </c>
      <c r="H131" s="5" t="s">
        <v>1011</v>
      </c>
      <c r="I131" s="5" t="s">
        <v>1012</v>
      </c>
      <c r="J131" s="5" t="s">
        <v>618</v>
      </c>
      <c r="K131" s="5" t="s">
        <v>619</v>
      </c>
      <c r="L131" s="5" t="s">
        <v>46</v>
      </c>
      <c r="M131" s="5" t="s">
        <v>46</v>
      </c>
      <c r="N131" s="5" t="s">
        <v>727</v>
      </c>
      <c r="P131" s="13">
        <f ca="1">IFERROR(__xludf.DUMMYFUNCTION("IF(REGEXMATCH(UPPER(E131),""CONGRESO""),1,0)"),0)</f>
        <v>0</v>
      </c>
    </row>
    <row r="132" spans="1:16" ht="15.75" customHeight="1" x14ac:dyDescent="0.2">
      <c r="A132" s="5" t="s">
        <v>380</v>
      </c>
      <c r="B132" s="5" t="s">
        <v>407</v>
      </c>
      <c r="C132" s="5" t="s">
        <v>408</v>
      </c>
      <c r="D132" s="5" t="s">
        <v>913</v>
      </c>
      <c r="P132" s="13">
        <f ca="1">IFERROR(__xludf.DUMMYFUNCTION("IF(REGEXMATCH(UPPER(E132),""CONGRESO""),1,0)"),0)</f>
        <v>0</v>
      </c>
    </row>
    <row r="133" spans="1:16" ht="15.75" customHeight="1" x14ac:dyDescent="0.2">
      <c r="A133" s="5" t="s">
        <v>380</v>
      </c>
      <c r="B133" s="5" t="s">
        <v>417</v>
      </c>
      <c r="C133" s="5" t="s">
        <v>418</v>
      </c>
      <c r="D133" s="5" t="s">
        <v>612</v>
      </c>
      <c r="E133" s="5" t="s">
        <v>1013</v>
      </c>
      <c r="F133" s="5" t="s">
        <v>1014</v>
      </c>
      <c r="G133" s="5" t="s">
        <v>1015</v>
      </c>
      <c r="H133" s="5" t="s">
        <v>1016</v>
      </c>
      <c r="I133" s="5" t="s">
        <v>1017</v>
      </c>
      <c r="J133" s="5" t="s">
        <v>618</v>
      </c>
      <c r="K133" s="5" t="s">
        <v>619</v>
      </c>
      <c r="L133" s="5" t="s">
        <v>423</v>
      </c>
      <c r="M133" s="5" t="s">
        <v>423</v>
      </c>
      <c r="N133" s="5" t="s">
        <v>423</v>
      </c>
      <c r="O133" s="5" t="s">
        <v>1018</v>
      </c>
      <c r="P133" s="13">
        <f ca="1">IFERROR(__xludf.DUMMYFUNCTION("IF(REGEXMATCH(UPPER(E133),""CONGRESO""),1,0)"),0)</f>
        <v>0</v>
      </c>
    </row>
    <row r="134" spans="1:16" ht="15.75" customHeight="1" x14ac:dyDescent="0.2">
      <c r="A134" s="5" t="s">
        <v>426</v>
      </c>
      <c r="B134" s="5" t="s">
        <v>427</v>
      </c>
      <c r="C134" s="5" t="s">
        <v>428</v>
      </c>
      <c r="D134" s="5" t="s">
        <v>612</v>
      </c>
      <c r="E134" s="5" t="s">
        <v>1019</v>
      </c>
      <c r="F134" s="5" t="s">
        <v>676</v>
      </c>
      <c r="H134" s="5" t="s">
        <v>1020</v>
      </c>
      <c r="I134" s="5" t="s">
        <v>1021</v>
      </c>
      <c r="J134" s="5" t="s">
        <v>618</v>
      </c>
      <c r="K134" s="5" t="s">
        <v>619</v>
      </c>
      <c r="L134" s="5" t="s">
        <v>46</v>
      </c>
      <c r="M134" s="5" t="s">
        <v>46</v>
      </c>
      <c r="N134" s="5" t="s">
        <v>777</v>
      </c>
      <c r="P134" s="13">
        <f ca="1">IFERROR(__xludf.DUMMYFUNCTION("IF(REGEXMATCH(UPPER(E134),""CONGRESO""),1,0)"),0)</f>
        <v>0</v>
      </c>
    </row>
    <row r="135" spans="1:16" ht="15.75" customHeight="1" x14ac:dyDescent="0.2">
      <c r="A135" s="5" t="s">
        <v>426</v>
      </c>
      <c r="B135" s="5" t="s">
        <v>435</v>
      </c>
      <c r="C135" s="5" t="s">
        <v>436</v>
      </c>
      <c r="D135" s="5" t="s">
        <v>612</v>
      </c>
      <c r="E135" s="5" t="s">
        <v>1022</v>
      </c>
      <c r="F135" s="5" t="s">
        <v>851</v>
      </c>
      <c r="G135" s="5" t="s">
        <v>1023</v>
      </c>
      <c r="H135" s="5" t="s">
        <v>1024</v>
      </c>
      <c r="I135" s="5" t="s">
        <v>632</v>
      </c>
      <c r="J135" s="5" t="s">
        <v>618</v>
      </c>
      <c r="K135" s="5" t="s">
        <v>619</v>
      </c>
      <c r="L135" s="5" t="s">
        <v>46</v>
      </c>
      <c r="M135" s="5" t="s">
        <v>46</v>
      </c>
      <c r="N135" s="5" t="s">
        <v>777</v>
      </c>
      <c r="P135" s="13">
        <f ca="1">IFERROR(__xludf.DUMMYFUNCTION("IF(REGEXMATCH(UPPER(E135),""CONGRESO""),1,0)"),0)</f>
        <v>0</v>
      </c>
    </row>
    <row r="136" spans="1:16" ht="15.75" customHeight="1" x14ac:dyDescent="0.2">
      <c r="A136" s="5" t="s">
        <v>426</v>
      </c>
      <c r="B136" s="5" t="s">
        <v>435</v>
      </c>
      <c r="C136" s="5" t="s">
        <v>436</v>
      </c>
      <c r="D136" s="5" t="s">
        <v>612</v>
      </c>
      <c r="E136" s="5" t="s">
        <v>1025</v>
      </c>
      <c r="F136" s="5" t="s">
        <v>1026</v>
      </c>
      <c r="G136" s="5" t="s">
        <v>1027</v>
      </c>
      <c r="H136" s="5" t="s">
        <v>1028</v>
      </c>
      <c r="I136" s="5" t="s">
        <v>624</v>
      </c>
      <c r="J136" s="5" t="s">
        <v>624</v>
      </c>
      <c r="K136" s="5" t="s">
        <v>619</v>
      </c>
      <c r="L136" s="5" t="s">
        <v>46</v>
      </c>
      <c r="M136" s="5" t="s">
        <v>46</v>
      </c>
      <c r="N136" s="5" t="s">
        <v>46</v>
      </c>
      <c r="O136" s="5" t="s">
        <v>1029</v>
      </c>
      <c r="P136" s="13">
        <f ca="1">IFERROR(__xludf.DUMMYFUNCTION("IF(REGEXMATCH(UPPER(E136),""CONGRESO""),1,0)"),0)</f>
        <v>0</v>
      </c>
    </row>
    <row r="137" spans="1:16" ht="15.75" customHeight="1" x14ac:dyDescent="0.2">
      <c r="A137" s="5" t="s">
        <v>426</v>
      </c>
      <c r="B137" s="5" t="s">
        <v>435</v>
      </c>
      <c r="C137" s="5" t="s">
        <v>436</v>
      </c>
      <c r="D137" s="5" t="s">
        <v>612</v>
      </c>
      <c r="E137" s="5" t="s">
        <v>1030</v>
      </c>
      <c r="F137" s="5" t="s">
        <v>1031</v>
      </c>
      <c r="G137" s="5" t="s">
        <v>1032</v>
      </c>
      <c r="H137" s="5" t="s">
        <v>1033</v>
      </c>
      <c r="I137" s="5" t="s">
        <v>631</v>
      </c>
      <c r="J137" s="5" t="s">
        <v>693</v>
      </c>
      <c r="K137" s="5" t="s">
        <v>619</v>
      </c>
      <c r="L137" s="5" t="s">
        <v>46</v>
      </c>
      <c r="M137" s="5" t="s">
        <v>46</v>
      </c>
      <c r="N137" s="5" t="s">
        <v>217</v>
      </c>
      <c r="O137" s="5" t="s">
        <v>1029</v>
      </c>
      <c r="P137" s="13">
        <f ca="1">IFERROR(__xludf.DUMMYFUNCTION("IF(REGEXMATCH(UPPER(E137),""CONGRESO""),1,0)"),0)</f>
        <v>0</v>
      </c>
    </row>
    <row r="138" spans="1:16" ht="15.75" customHeight="1" x14ac:dyDescent="0.2">
      <c r="A138" s="5" t="s">
        <v>426</v>
      </c>
      <c r="B138" s="5" t="s">
        <v>435</v>
      </c>
      <c r="C138" s="5" t="s">
        <v>436</v>
      </c>
      <c r="D138" s="5" t="s">
        <v>612</v>
      </c>
      <c r="E138" s="5" t="s">
        <v>1034</v>
      </c>
      <c r="F138" s="5" t="s">
        <v>1035</v>
      </c>
      <c r="G138" s="5" t="s">
        <v>1036</v>
      </c>
      <c r="H138" s="5" t="s">
        <v>1037</v>
      </c>
      <c r="I138" s="5" t="s">
        <v>624</v>
      </c>
      <c r="J138" s="5" t="s">
        <v>624</v>
      </c>
      <c r="K138" s="5" t="s">
        <v>619</v>
      </c>
      <c r="L138" s="5" t="s">
        <v>46</v>
      </c>
      <c r="M138" s="5" t="s">
        <v>46</v>
      </c>
      <c r="N138" s="5" t="s">
        <v>551</v>
      </c>
      <c r="O138" s="5" t="s">
        <v>1029</v>
      </c>
      <c r="P138" s="13">
        <f ca="1">IFERROR(__xludf.DUMMYFUNCTION("IF(REGEXMATCH(UPPER(E138),""CONGRESO""),1,0)"),0)</f>
        <v>0</v>
      </c>
    </row>
    <row r="139" spans="1:16" ht="15.75" customHeight="1" x14ac:dyDescent="0.2">
      <c r="A139" s="5" t="s">
        <v>426</v>
      </c>
      <c r="B139" s="5" t="s">
        <v>444</v>
      </c>
      <c r="C139" s="5" t="s">
        <v>445</v>
      </c>
      <c r="D139" s="5" t="s">
        <v>612</v>
      </c>
      <c r="E139" s="5" t="s">
        <v>659</v>
      </c>
      <c r="F139" s="5" t="s">
        <v>1038</v>
      </c>
      <c r="G139" s="5" t="s">
        <v>1039</v>
      </c>
      <c r="H139" s="5" t="s">
        <v>660</v>
      </c>
      <c r="I139" s="5" t="s">
        <v>1040</v>
      </c>
      <c r="J139" s="5" t="s">
        <v>618</v>
      </c>
      <c r="K139" s="5" t="s">
        <v>619</v>
      </c>
      <c r="L139" s="5" t="s">
        <v>46</v>
      </c>
      <c r="M139" s="5" t="s">
        <v>46</v>
      </c>
      <c r="N139" s="5" t="s">
        <v>661</v>
      </c>
      <c r="P139" s="13">
        <f ca="1">IFERROR(__xludf.DUMMYFUNCTION("IF(REGEXMATCH(UPPER(E139),""CONGRESO""),1,0)"),0)</f>
        <v>0</v>
      </c>
    </row>
    <row r="140" spans="1:16" ht="15.75" customHeight="1" x14ac:dyDescent="0.2">
      <c r="A140" s="5" t="s">
        <v>426</v>
      </c>
      <c r="B140" s="5" t="s">
        <v>444</v>
      </c>
      <c r="C140" s="5" t="s">
        <v>445</v>
      </c>
      <c r="D140" s="5" t="s">
        <v>612</v>
      </c>
      <c r="E140" s="5" t="s">
        <v>1041</v>
      </c>
      <c r="F140" s="5" t="s">
        <v>1042</v>
      </c>
      <c r="G140" s="5" t="s">
        <v>1043</v>
      </c>
      <c r="H140" s="5" t="s">
        <v>1044</v>
      </c>
      <c r="I140" s="5" t="s">
        <v>706</v>
      </c>
      <c r="J140" s="5" t="s">
        <v>624</v>
      </c>
      <c r="K140" s="5" t="s">
        <v>619</v>
      </c>
      <c r="L140" s="5" t="s">
        <v>46</v>
      </c>
      <c r="M140" s="5" t="s">
        <v>46</v>
      </c>
      <c r="N140" s="5" t="s">
        <v>689</v>
      </c>
      <c r="P140" s="13">
        <f ca="1">IFERROR(__xludf.DUMMYFUNCTION("IF(REGEXMATCH(UPPER(E140),""CONGRESO""),1,0)"),0)</f>
        <v>0</v>
      </c>
    </row>
    <row r="141" spans="1:16" ht="15.75" customHeight="1" x14ac:dyDescent="0.2">
      <c r="A141" s="5" t="s">
        <v>426</v>
      </c>
      <c r="B141" s="5" t="s">
        <v>452</v>
      </c>
      <c r="C141" s="5" t="s">
        <v>453</v>
      </c>
      <c r="D141" s="5" t="s">
        <v>612</v>
      </c>
      <c r="E141" s="5" t="s">
        <v>917</v>
      </c>
      <c r="F141" s="5" t="s">
        <v>945</v>
      </c>
      <c r="H141" s="5" t="s">
        <v>1045</v>
      </c>
      <c r="I141" s="5" t="s">
        <v>717</v>
      </c>
      <c r="J141" s="5" t="s">
        <v>617</v>
      </c>
      <c r="K141" s="5" t="s">
        <v>619</v>
      </c>
      <c r="L141" s="5" t="s">
        <v>35</v>
      </c>
      <c r="M141" s="5" t="s">
        <v>35</v>
      </c>
      <c r="N141" s="5" t="s">
        <v>35</v>
      </c>
      <c r="P141" s="13">
        <f ca="1">IFERROR(__xludf.DUMMYFUNCTION("IF(REGEXMATCH(UPPER(E141),""CONGRESO""),1,0)"),0)</f>
        <v>0</v>
      </c>
    </row>
    <row r="142" spans="1:16" ht="15.75" customHeight="1" x14ac:dyDescent="0.2">
      <c r="A142" s="5" t="s">
        <v>426</v>
      </c>
      <c r="B142" s="5" t="s">
        <v>460</v>
      </c>
      <c r="C142" s="5" t="s">
        <v>461</v>
      </c>
      <c r="D142" s="5" t="s">
        <v>612</v>
      </c>
      <c r="E142" s="5" t="s">
        <v>1046</v>
      </c>
      <c r="F142" s="5" t="s">
        <v>1047</v>
      </c>
      <c r="H142" s="5" t="s">
        <v>1048</v>
      </c>
      <c r="I142" s="5" t="s">
        <v>941</v>
      </c>
      <c r="J142" s="5" t="s">
        <v>688</v>
      </c>
      <c r="K142" s="5" t="s">
        <v>1049</v>
      </c>
      <c r="O142" s="5" t="s">
        <v>1050</v>
      </c>
      <c r="P142" s="13">
        <f ca="1">IFERROR(__xludf.DUMMYFUNCTION("IF(REGEXMATCH(UPPER(E142),""CONGRESO""),1,0)"),0)</f>
        <v>0</v>
      </c>
    </row>
    <row r="143" spans="1:16" ht="15.75" customHeight="1" x14ac:dyDescent="0.2">
      <c r="A143" s="5" t="s">
        <v>426</v>
      </c>
      <c r="B143" s="5" t="s">
        <v>460</v>
      </c>
      <c r="C143" s="5" t="s">
        <v>461</v>
      </c>
      <c r="D143" s="5" t="s">
        <v>612</v>
      </c>
      <c r="E143" s="5" t="s">
        <v>1051</v>
      </c>
      <c r="F143" s="5" t="s">
        <v>1052</v>
      </c>
      <c r="G143" s="5" t="s">
        <v>677</v>
      </c>
      <c r="H143" s="5" t="s">
        <v>1053</v>
      </c>
      <c r="I143" s="5" t="s">
        <v>641</v>
      </c>
      <c r="J143" s="5" t="s">
        <v>688</v>
      </c>
      <c r="K143" s="5" t="s">
        <v>619</v>
      </c>
      <c r="L143" s="5" t="s">
        <v>46</v>
      </c>
      <c r="M143" s="5" t="s">
        <v>46</v>
      </c>
      <c r="N143" s="5" t="s">
        <v>679</v>
      </c>
      <c r="O143" s="5" t="s">
        <v>1054</v>
      </c>
      <c r="P143" s="13">
        <f ca="1">IFERROR(__xludf.DUMMYFUNCTION("IF(REGEXMATCH(UPPER(E143),""CONGRESO""),1,0)"),0)</f>
        <v>0</v>
      </c>
    </row>
    <row r="144" spans="1:16" ht="15.75" customHeight="1" x14ac:dyDescent="0.2">
      <c r="A144" s="5" t="s">
        <v>426</v>
      </c>
      <c r="B144" s="5" t="s">
        <v>460</v>
      </c>
      <c r="C144" s="5" t="s">
        <v>461</v>
      </c>
      <c r="D144" s="5" t="s">
        <v>612</v>
      </c>
      <c r="E144" s="5" t="s">
        <v>1055</v>
      </c>
      <c r="F144" s="5" t="s">
        <v>1056</v>
      </c>
      <c r="G144" s="5" t="s">
        <v>1057</v>
      </c>
      <c r="H144" s="5" t="s">
        <v>1058</v>
      </c>
      <c r="I144" s="5" t="s">
        <v>688</v>
      </c>
      <c r="J144" s="5" t="s">
        <v>631</v>
      </c>
      <c r="K144" s="5" t="s">
        <v>619</v>
      </c>
      <c r="L144" s="5" t="s">
        <v>57</v>
      </c>
      <c r="M144" s="5" t="s">
        <v>57</v>
      </c>
      <c r="N144" s="5" t="s">
        <v>1059</v>
      </c>
      <c r="O144" s="5" t="s">
        <v>1060</v>
      </c>
      <c r="P144" s="13">
        <f ca="1">IFERROR(__xludf.DUMMYFUNCTION("IF(REGEXMATCH(UPPER(E144),""CONGRESO""),1,0)"),0)</f>
        <v>0</v>
      </c>
    </row>
    <row r="145" spans="1:16" ht="15.75" customHeight="1" x14ac:dyDescent="0.2">
      <c r="A145" s="5" t="s">
        <v>426</v>
      </c>
      <c r="B145" s="5" t="s">
        <v>460</v>
      </c>
      <c r="C145" s="5" t="s">
        <v>461</v>
      </c>
      <c r="D145" s="5" t="s">
        <v>612</v>
      </c>
      <c r="E145" s="5" t="s">
        <v>1061</v>
      </c>
      <c r="F145" s="5" t="s">
        <v>1062</v>
      </c>
      <c r="G145" s="5" t="s">
        <v>1063</v>
      </c>
      <c r="H145" s="5" t="s">
        <v>1064</v>
      </c>
      <c r="I145" s="5" t="s">
        <v>688</v>
      </c>
      <c r="J145" s="5" t="s">
        <v>631</v>
      </c>
      <c r="K145" s="5" t="s">
        <v>619</v>
      </c>
      <c r="L145" s="5" t="s">
        <v>46</v>
      </c>
      <c r="M145" s="5" t="s">
        <v>46</v>
      </c>
      <c r="N145" s="5" t="s">
        <v>777</v>
      </c>
      <c r="O145" s="5" t="s">
        <v>1065</v>
      </c>
      <c r="P145" s="13">
        <f ca="1">IFERROR(__xludf.DUMMYFUNCTION("IF(REGEXMATCH(UPPER(E145),""CONGRESO""),1,0)"),0)</f>
        <v>0</v>
      </c>
    </row>
    <row r="146" spans="1:16" ht="15.75" customHeight="1" x14ac:dyDescent="0.2">
      <c r="A146" s="5" t="s">
        <v>426</v>
      </c>
      <c r="B146" s="5" t="s">
        <v>460</v>
      </c>
      <c r="C146" s="5" t="s">
        <v>461</v>
      </c>
      <c r="D146" s="5" t="s">
        <v>612</v>
      </c>
      <c r="E146" s="5" t="s">
        <v>1066</v>
      </c>
      <c r="F146" s="5" t="s">
        <v>1067</v>
      </c>
      <c r="G146" s="5" t="s">
        <v>1068</v>
      </c>
      <c r="H146" s="5" t="s">
        <v>1069</v>
      </c>
      <c r="I146" s="5" t="s">
        <v>688</v>
      </c>
      <c r="J146" s="5" t="s">
        <v>621</v>
      </c>
      <c r="K146" s="5" t="s">
        <v>619</v>
      </c>
      <c r="L146" s="5" t="s">
        <v>46</v>
      </c>
      <c r="M146" s="5" t="s">
        <v>46</v>
      </c>
      <c r="N146" s="5" t="s">
        <v>874</v>
      </c>
      <c r="O146" s="5" t="s">
        <v>1070</v>
      </c>
      <c r="P146" s="13">
        <f ca="1">IFERROR(__xludf.DUMMYFUNCTION("IF(REGEXMATCH(UPPER(E146),""CONGRESO""),1,0)"),0)</f>
        <v>0</v>
      </c>
    </row>
    <row r="147" spans="1:16" ht="15.75" customHeight="1" x14ac:dyDescent="0.2">
      <c r="A147" s="5" t="s">
        <v>426</v>
      </c>
      <c r="B147" s="5" t="s">
        <v>468</v>
      </c>
      <c r="C147" s="5" t="s">
        <v>469</v>
      </c>
      <c r="D147" s="5" t="s">
        <v>612</v>
      </c>
      <c r="E147" s="5" t="s">
        <v>1071</v>
      </c>
      <c r="F147" s="5" t="s">
        <v>1072</v>
      </c>
      <c r="H147" s="5" t="s">
        <v>1073</v>
      </c>
      <c r="I147" s="5" t="s">
        <v>837</v>
      </c>
      <c r="J147" s="5" t="s">
        <v>688</v>
      </c>
      <c r="K147" s="5" t="s">
        <v>619</v>
      </c>
      <c r="L147" s="5" t="s">
        <v>46</v>
      </c>
      <c r="M147" s="5" t="s">
        <v>46</v>
      </c>
      <c r="N147" s="5" t="s">
        <v>99</v>
      </c>
      <c r="P147" s="13">
        <f ca="1">IFERROR(__xludf.DUMMYFUNCTION("IF(REGEXMATCH(UPPER(E147),""CONGRESO""),1,0)"),0)</f>
        <v>0</v>
      </c>
    </row>
    <row r="148" spans="1:16" ht="15.75" customHeight="1" x14ac:dyDescent="0.2">
      <c r="A148" s="5" t="s">
        <v>426</v>
      </c>
      <c r="B148" s="5" t="s">
        <v>468</v>
      </c>
      <c r="C148" s="5" t="s">
        <v>469</v>
      </c>
      <c r="D148" s="5" t="s">
        <v>612</v>
      </c>
      <c r="E148" s="5" t="s">
        <v>1074</v>
      </c>
      <c r="F148" s="5" t="s">
        <v>1075</v>
      </c>
      <c r="H148" s="5" t="s">
        <v>1076</v>
      </c>
      <c r="I148" s="5" t="s">
        <v>653</v>
      </c>
      <c r="J148" s="5" t="s">
        <v>618</v>
      </c>
      <c r="K148" s="5" t="s">
        <v>619</v>
      </c>
      <c r="L148" s="5" t="s">
        <v>46</v>
      </c>
      <c r="M148" s="5" t="s">
        <v>46</v>
      </c>
      <c r="N148" s="5" t="s">
        <v>46</v>
      </c>
      <c r="O148" s="5" t="s">
        <v>1077</v>
      </c>
      <c r="P148" s="13">
        <f ca="1">IFERROR(__xludf.DUMMYFUNCTION("IF(REGEXMATCH(UPPER(E148),""CONGRESO""),1,0)"),0)</f>
        <v>0</v>
      </c>
    </row>
    <row r="149" spans="1:16" ht="15.75" customHeight="1" x14ac:dyDescent="0.2">
      <c r="A149" s="5" t="s">
        <v>426</v>
      </c>
      <c r="B149" s="5" t="s">
        <v>468</v>
      </c>
      <c r="C149" s="5" t="s">
        <v>469</v>
      </c>
      <c r="D149" s="5" t="s">
        <v>612</v>
      </c>
      <c r="E149" s="5" t="s">
        <v>1078</v>
      </c>
      <c r="F149" s="5" t="s">
        <v>1079</v>
      </c>
      <c r="H149" s="5" t="s">
        <v>1080</v>
      </c>
      <c r="I149" s="5" t="s">
        <v>621</v>
      </c>
      <c r="J149" s="5" t="s">
        <v>627</v>
      </c>
      <c r="K149" s="5" t="s">
        <v>619</v>
      </c>
      <c r="L149" s="5" t="s">
        <v>46</v>
      </c>
      <c r="M149" s="5" t="s">
        <v>46</v>
      </c>
      <c r="N149" s="5" t="s">
        <v>46</v>
      </c>
      <c r="P149" s="13">
        <f ca="1">IFERROR(__xludf.DUMMYFUNCTION("IF(REGEXMATCH(UPPER(E149),""CONGRESO""),1,0)"),1)</f>
        <v>1</v>
      </c>
    </row>
    <row r="150" spans="1:16" ht="15.75" customHeight="1" x14ac:dyDescent="0.2">
      <c r="A150" s="5" t="s">
        <v>426</v>
      </c>
      <c r="B150" s="5" t="s">
        <v>468</v>
      </c>
      <c r="C150" s="5" t="s">
        <v>469</v>
      </c>
      <c r="D150" s="5" t="s">
        <v>612</v>
      </c>
      <c r="E150" s="5" t="s">
        <v>1081</v>
      </c>
      <c r="F150" s="5" t="s">
        <v>1082</v>
      </c>
      <c r="H150" s="5" t="s">
        <v>1083</v>
      </c>
      <c r="I150" s="5" t="s">
        <v>837</v>
      </c>
      <c r="J150" s="5" t="s">
        <v>837</v>
      </c>
      <c r="K150" s="5" t="s">
        <v>619</v>
      </c>
      <c r="L150" s="5" t="s">
        <v>46</v>
      </c>
      <c r="M150" s="5" t="s">
        <v>46</v>
      </c>
      <c r="N150" s="5" t="s">
        <v>217</v>
      </c>
      <c r="O150" s="5" t="s">
        <v>1084</v>
      </c>
      <c r="P150" s="13">
        <f ca="1">IFERROR(__xludf.DUMMYFUNCTION("IF(REGEXMATCH(UPPER(E150),""CONGRESO""),1,0)"),0)</f>
        <v>0</v>
      </c>
    </row>
    <row r="151" spans="1:16" ht="15.75" customHeight="1" x14ac:dyDescent="0.2">
      <c r="A151" s="5" t="s">
        <v>426</v>
      </c>
      <c r="B151" s="5" t="s">
        <v>468</v>
      </c>
      <c r="C151" s="5" t="s">
        <v>469</v>
      </c>
      <c r="D151" s="5" t="s">
        <v>612</v>
      </c>
      <c r="E151" s="5" t="s">
        <v>1085</v>
      </c>
      <c r="F151" s="5" t="s">
        <v>1086</v>
      </c>
      <c r="H151" s="5" t="s">
        <v>1087</v>
      </c>
      <c r="I151" s="5" t="s">
        <v>1088</v>
      </c>
      <c r="J151" s="5" t="s">
        <v>732</v>
      </c>
      <c r="K151" s="5" t="s">
        <v>619</v>
      </c>
      <c r="L151" s="5" t="s">
        <v>46</v>
      </c>
      <c r="M151" s="5" t="s">
        <v>46</v>
      </c>
      <c r="N151" s="5" t="s">
        <v>689</v>
      </c>
      <c r="P151" s="13">
        <f ca="1">IFERROR(__xludf.DUMMYFUNCTION("IF(REGEXMATCH(UPPER(E151),""CONGRESO""),1,0)"),0)</f>
        <v>0</v>
      </c>
    </row>
    <row r="152" spans="1:16" ht="15.75" customHeight="1" x14ac:dyDescent="0.2">
      <c r="A152" s="5" t="s">
        <v>426</v>
      </c>
      <c r="B152" s="5" t="s">
        <v>476</v>
      </c>
      <c r="C152" s="5" t="s">
        <v>477</v>
      </c>
      <c r="D152" s="5" t="s">
        <v>612</v>
      </c>
      <c r="E152" s="5" t="s">
        <v>684</v>
      </c>
      <c r="F152" s="5" t="s">
        <v>1089</v>
      </c>
      <c r="G152" s="5" t="s">
        <v>686</v>
      </c>
      <c r="H152" s="5" t="s">
        <v>1090</v>
      </c>
      <c r="I152" s="5" t="s">
        <v>706</v>
      </c>
      <c r="J152" s="5" t="s">
        <v>624</v>
      </c>
      <c r="K152" s="5" t="s">
        <v>619</v>
      </c>
      <c r="L152" s="5" t="s">
        <v>46</v>
      </c>
      <c r="M152" s="5" t="s">
        <v>46</v>
      </c>
      <c r="N152" s="5" t="s">
        <v>689</v>
      </c>
      <c r="P152" s="13">
        <f ca="1">IFERROR(__xludf.DUMMYFUNCTION("IF(REGEXMATCH(UPPER(E152),""CONGRESO""),1,0)"),0)</f>
        <v>0</v>
      </c>
    </row>
    <row r="153" spans="1:16" ht="15.75" customHeight="1" x14ac:dyDescent="0.2">
      <c r="A153" s="5" t="s">
        <v>426</v>
      </c>
      <c r="B153" s="5" t="s">
        <v>476</v>
      </c>
      <c r="C153" s="5" t="s">
        <v>477</v>
      </c>
      <c r="D153" s="5" t="s">
        <v>612</v>
      </c>
      <c r="E153" s="5" t="s">
        <v>1091</v>
      </c>
      <c r="F153" s="5" t="s">
        <v>1092</v>
      </c>
      <c r="G153" s="5" t="s">
        <v>1093</v>
      </c>
      <c r="H153" s="5" t="s">
        <v>1094</v>
      </c>
      <c r="I153" s="5" t="s">
        <v>624</v>
      </c>
      <c r="J153" s="5" t="s">
        <v>618</v>
      </c>
      <c r="K153" s="5" t="s">
        <v>619</v>
      </c>
      <c r="L153" s="5" t="s">
        <v>46</v>
      </c>
      <c r="M153" s="5" t="s">
        <v>46</v>
      </c>
      <c r="N153" s="5" t="s">
        <v>689</v>
      </c>
      <c r="P153" s="13">
        <f ca="1">IFERROR(__xludf.DUMMYFUNCTION("IF(REGEXMATCH(UPPER(E153),""CONGRESO""),1,0)"),0)</f>
        <v>0</v>
      </c>
    </row>
    <row r="154" spans="1:16" ht="15.75" customHeight="1" x14ac:dyDescent="0.2">
      <c r="A154" s="5" t="s">
        <v>426</v>
      </c>
      <c r="B154" s="5" t="s">
        <v>476</v>
      </c>
      <c r="C154" s="5" t="s">
        <v>477</v>
      </c>
      <c r="D154" s="5" t="s">
        <v>612</v>
      </c>
      <c r="E154" s="5" t="s">
        <v>1095</v>
      </c>
      <c r="F154" s="5" t="s">
        <v>1096</v>
      </c>
      <c r="G154" s="5" t="s">
        <v>1093</v>
      </c>
      <c r="H154" s="5" t="s">
        <v>1094</v>
      </c>
      <c r="I154" s="5" t="s">
        <v>618</v>
      </c>
      <c r="J154" s="5" t="s">
        <v>618</v>
      </c>
      <c r="K154" s="5" t="s">
        <v>619</v>
      </c>
      <c r="L154" s="5" t="s">
        <v>46</v>
      </c>
      <c r="M154" s="5" t="s">
        <v>46</v>
      </c>
      <c r="N154" s="5" t="s">
        <v>689</v>
      </c>
      <c r="P154" s="13">
        <f ca="1">IFERROR(__xludf.DUMMYFUNCTION("IF(REGEXMATCH(UPPER(E154),""CONGRESO""),1,0)"),0)</f>
        <v>0</v>
      </c>
    </row>
    <row r="155" spans="1:16" ht="15.75" customHeight="1" x14ac:dyDescent="0.2">
      <c r="A155" s="5" t="s">
        <v>485</v>
      </c>
      <c r="B155" s="5" t="s">
        <v>486</v>
      </c>
      <c r="C155" s="5" t="s">
        <v>487</v>
      </c>
      <c r="D155" s="5" t="s">
        <v>612</v>
      </c>
      <c r="E155" s="5" t="s">
        <v>613</v>
      </c>
      <c r="F155" s="5" t="s">
        <v>622</v>
      </c>
      <c r="G155" s="5" t="s">
        <v>615</v>
      </c>
      <c r="H155" s="5" t="s">
        <v>1097</v>
      </c>
      <c r="I155" s="5" t="s">
        <v>713</v>
      </c>
      <c r="J155" s="5" t="s">
        <v>621</v>
      </c>
      <c r="K155" s="5" t="s">
        <v>619</v>
      </c>
      <c r="L155" s="5" t="s">
        <v>46</v>
      </c>
      <c r="M155" s="5" t="s">
        <v>46</v>
      </c>
      <c r="N155" s="5" t="s">
        <v>46</v>
      </c>
      <c r="P155" s="13">
        <f ca="1">IFERROR(__xludf.DUMMYFUNCTION("IF(REGEXMATCH(UPPER(E155),""CONGRESO""),1,0)"),1)</f>
        <v>1</v>
      </c>
    </row>
    <row r="156" spans="1:16" ht="15.75" customHeight="1" x14ac:dyDescent="0.2">
      <c r="A156" s="5" t="s">
        <v>485</v>
      </c>
      <c r="B156" s="5" t="s">
        <v>494</v>
      </c>
      <c r="C156" s="5" t="s">
        <v>495</v>
      </c>
      <c r="D156" s="5" t="s">
        <v>612</v>
      </c>
      <c r="E156" s="5" t="s">
        <v>735</v>
      </c>
      <c r="F156" s="5" t="s">
        <v>1098</v>
      </c>
      <c r="G156" s="5" t="s">
        <v>1099</v>
      </c>
      <c r="H156" s="5" t="s">
        <v>786</v>
      </c>
      <c r="I156" s="5" t="s">
        <v>617</v>
      </c>
      <c r="J156" s="5" t="s">
        <v>618</v>
      </c>
      <c r="K156" s="5" t="s">
        <v>619</v>
      </c>
      <c r="L156" s="5" t="s">
        <v>46</v>
      </c>
      <c r="M156" s="5" t="s">
        <v>46</v>
      </c>
      <c r="N156" s="5" t="s">
        <v>46</v>
      </c>
      <c r="O156" s="5" t="s">
        <v>1100</v>
      </c>
      <c r="P156" s="13">
        <f ca="1">IFERROR(__xludf.DUMMYFUNCTION("IF(REGEXMATCH(UPPER(E156),""CONGRESO""),1,0)"),1)</f>
        <v>1</v>
      </c>
    </row>
    <row r="157" spans="1:16" ht="15.75" customHeight="1" x14ac:dyDescent="0.2">
      <c r="A157" s="5" t="s">
        <v>485</v>
      </c>
      <c r="B157" s="5" t="s">
        <v>503</v>
      </c>
      <c r="C157" s="5" t="s">
        <v>504</v>
      </c>
      <c r="D157" s="5" t="s">
        <v>612</v>
      </c>
      <c r="E157" s="5" t="s">
        <v>1101</v>
      </c>
      <c r="F157" s="5" t="s">
        <v>1102</v>
      </c>
      <c r="H157" s="5" t="s">
        <v>1103</v>
      </c>
      <c r="I157" s="5" t="s">
        <v>1104</v>
      </c>
      <c r="J157" s="5" t="s">
        <v>621</v>
      </c>
      <c r="K157" s="5" t="s">
        <v>619</v>
      </c>
      <c r="L157" s="5" t="s">
        <v>118</v>
      </c>
      <c r="M157" s="5" t="s">
        <v>118</v>
      </c>
      <c r="N157" s="5" t="s">
        <v>1105</v>
      </c>
      <c r="P157" s="13">
        <f ca="1">IFERROR(__xludf.DUMMYFUNCTION("IF(REGEXMATCH(UPPER(E157),""CONGRESO""),1,0)"),0)</f>
        <v>0</v>
      </c>
    </row>
    <row r="158" spans="1:16" ht="15.75" customHeight="1" x14ac:dyDescent="0.2">
      <c r="A158" s="5" t="s">
        <v>485</v>
      </c>
      <c r="B158" s="5" t="s">
        <v>511</v>
      </c>
      <c r="C158" s="5" t="s">
        <v>512</v>
      </c>
      <c r="D158" s="5" t="s">
        <v>612</v>
      </c>
      <c r="E158" s="5" t="s">
        <v>735</v>
      </c>
      <c r="F158" s="5" t="s">
        <v>666</v>
      </c>
      <c r="G158" s="5" t="s">
        <v>615</v>
      </c>
      <c r="H158" s="5" t="s">
        <v>1106</v>
      </c>
      <c r="I158" s="5" t="s">
        <v>653</v>
      </c>
      <c r="J158" s="5" t="s">
        <v>618</v>
      </c>
      <c r="K158" s="5" t="s">
        <v>619</v>
      </c>
      <c r="L158" s="5" t="s">
        <v>46</v>
      </c>
      <c r="M158" s="5" t="s">
        <v>46</v>
      </c>
      <c r="N158" s="5" t="s">
        <v>46</v>
      </c>
      <c r="P158" s="13">
        <f ca="1">IFERROR(__xludf.DUMMYFUNCTION("IF(REGEXMATCH(UPPER(E158),""CONGRESO""),1,0)"),1)</f>
        <v>1</v>
      </c>
    </row>
    <row r="159" spans="1:16" ht="15.75" customHeight="1" x14ac:dyDescent="0.2">
      <c r="A159" s="5" t="s">
        <v>485</v>
      </c>
      <c r="B159" s="5" t="s">
        <v>511</v>
      </c>
      <c r="C159" s="5" t="s">
        <v>512</v>
      </c>
      <c r="D159" s="5" t="s">
        <v>612</v>
      </c>
      <c r="E159" s="5" t="s">
        <v>1107</v>
      </c>
      <c r="F159" s="5" t="s">
        <v>1108</v>
      </c>
      <c r="G159" s="5" t="s">
        <v>1109</v>
      </c>
      <c r="H159" s="5" t="s">
        <v>1110</v>
      </c>
      <c r="I159" s="5" t="s">
        <v>1111</v>
      </c>
      <c r="J159" s="5" t="s">
        <v>621</v>
      </c>
      <c r="K159" s="5" t="s">
        <v>619</v>
      </c>
      <c r="L159" s="5" t="s">
        <v>46</v>
      </c>
      <c r="M159" s="5" t="s">
        <v>46</v>
      </c>
      <c r="N159" s="5" t="s">
        <v>874</v>
      </c>
      <c r="P159" s="13">
        <f ca="1">IFERROR(__xludf.DUMMYFUNCTION("IF(REGEXMATCH(UPPER(E159),""CONGRESO""),1,0)"),0)</f>
        <v>0</v>
      </c>
    </row>
    <row r="160" spans="1:16" ht="15.75" customHeight="1" x14ac:dyDescent="0.2">
      <c r="A160" s="5" t="s">
        <v>485</v>
      </c>
      <c r="B160" s="5" t="s">
        <v>519</v>
      </c>
      <c r="C160" s="5" t="s">
        <v>520</v>
      </c>
      <c r="D160" s="5" t="s">
        <v>612</v>
      </c>
      <c r="E160" s="5" t="s">
        <v>796</v>
      </c>
      <c r="F160" s="5" t="s">
        <v>1112</v>
      </c>
      <c r="G160" s="5" t="s">
        <v>1113</v>
      </c>
      <c r="H160" s="5" t="s">
        <v>1114</v>
      </c>
      <c r="I160" s="5" t="s">
        <v>649</v>
      </c>
      <c r="J160" s="5" t="s">
        <v>618</v>
      </c>
      <c r="K160" s="5" t="s">
        <v>619</v>
      </c>
      <c r="L160" s="5" t="s">
        <v>46</v>
      </c>
      <c r="M160" s="5" t="s">
        <v>46</v>
      </c>
      <c r="N160" s="5" t="s">
        <v>46</v>
      </c>
      <c r="P160" s="13">
        <f ca="1">IFERROR(__xludf.DUMMYFUNCTION("IF(REGEXMATCH(UPPER(E160),""CONGRESO""),1,0)"),0)</f>
        <v>0</v>
      </c>
    </row>
    <row r="161" spans="1:16" ht="15.75" customHeight="1" x14ac:dyDescent="0.2">
      <c r="A161" s="5" t="s">
        <v>485</v>
      </c>
      <c r="B161" s="5" t="s">
        <v>519</v>
      </c>
      <c r="C161" s="5" t="s">
        <v>520</v>
      </c>
      <c r="D161" s="5" t="s">
        <v>612</v>
      </c>
      <c r="E161" s="5" t="s">
        <v>1115</v>
      </c>
      <c r="F161" s="5" t="s">
        <v>1116</v>
      </c>
      <c r="G161" s="5" t="s">
        <v>1117</v>
      </c>
      <c r="H161" s="5" t="s">
        <v>1118</v>
      </c>
      <c r="I161" s="5" t="s">
        <v>631</v>
      </c>
      <c r="J161" s="5" t="s">
        <v>621</v>
      </c>
      <c r="K161" s="5" t="s">
        <v>619</v>
      </c>
      <c r="L161" s="5" t="s">
        <v>46</v>
      </c>
      <c r="M161" s="5" t="s">
        <v>46</v>
      </c>
      <c r="N161" s="5" t="s">
        <v>633</v>
      </c>
      <c r="P161" s="13">
        <f ca="1">IFERROR(__xludf.DUMMYFUNCTION("IF(REGEXMATCH(UPPER(E161),""CONGRESO""),1,0)"),0)</f>
        <v>0</v>
      </c>
    </row>
    <row r="162" spans="1:16" ht="15.75" customHeight="1" x14ac:dyDescent="0.2">
      <c r="A162" s="5" t="s">
        <v>485</v>
      </c>
      <c r="B162" s="5" t="s">
        <v>519</v>
      </c>
      <c r="C162" s="5" t="s">
        <v>520</v>
      </c>
      <c r="D162" s="5" t="s">
        <v>612</v>
      </c>
      <c r="E162" s="5" t="s">
        <v>1119</v>
      </c>
      <c r="F162" s="5" t="s">
        <v>1120</v>
      </c>
      <c r="G162" s="5" t="s">
        <v>1121</v>
      </c>
      <c r="H162" s="5" t="s">
        <v>1122</v>
      </c>
      <c r="I162" s="5" t="s">
        <v>1123</v>
      </c>
      <c r="J162" s="5" t="s">
        <v>653</v>
      </c>
      <c r="K162" s="5" t="s">
        <v>619</v>
      </c>
      <c r="L162" s="5" t="s">
        <v>46</v>
      </c>
      <c r="M162" s="5" t="s">
        <v>46</v>
      </c>
      <c r="N162" s="5" t="s">
        <v>99</v>
      </c>
      <c r="P162" s="13">
        <f ca="1">IFERROR(__xludf.DUMMYFUNCTION("IF(REGEXMATCH(UPPER(E162),""CONGRESO""),1,0)"),0)</f>
        <v>0</v>
      </c>
    </row>
    <row r="163" spans="1:16" ht="15.75" customHeight="1" x14ac:dyDescent="0.2">
      <c r="A163" s="5" t="s">
        <v>485</v>
      </c>
      <c r="B163" s="5" t="s">
        <v>519</v>
      </c>
      <c r="C163" s="5" t="s">
        <v>520</v>
      </c>
      <c r="D163" s="5" t="s">
        <v>612</v>
      </c>
      <c r="E163" s="5" t="s">
        <v>1124</v>
      </c>
      <c r="F163" s="5" t="s">
        <v>1120</v>
      </c>
      <c r="G163" s="5" t="s">
        <v>1125</v>
      </c>
      <c r="H163" s="5" t="s">
        <v>1126</v>
      </c>
      <c r="I163" s="5" t="s">
        <v>1123</v>
      </c>
      <c r="J163" s="5" t="s">
        <v>653</v>
      </c>
      <c r="K163" s="5" t="s">
        <v>619</v>
      </c>
      <c r="L163" s="5" t="s">
        <v>46</v>
      </c>
      <c r="M163" s="5" t="s">
        <v>46</v>
      </c>
      <c r="N163" s="5" t="s">
        <v>99</v>
      </c>
      <c r="P163" s="13">
        <f ca="1">IFERROR(__xludf.DUMMYFUNCTION("IF(REGEXMATCH(UPPER(E163),""CONGRESO""),1,0)"),0)</f>
        <v>0</v>
      </c>
    </row>
    <row r="164" spans="1:16" ht="15.75" customHeight="1" x14ac:dyDescent="0.2">
      <c r="A164" s="5" t="s">
        <v>485</v>
      </c>
      <c r="B164" s="5" t="s">
        <v>519</v>
      </c>
      <c r="C164" s="5" t="s">
        <v>520</v>
      </c>
      <c r="D164" s="5" t="s">
        <v>612</v>
      </c>
      <c r="E164" s="5" t="s">
        <v>1127</v>
      </c>
      <c r="F164" s="5" t="s">
        <v>1120</v>
      </c>
      <c r="G164" s="5" t="s">
        <v>1128</v>
      </c>
      <c r="H164" s="5" t="s">
        <v>1126</v>
      </c>
      <c r="I164" s="5" t="s">
        <v>636</v>
      </c>
      <c r="J164" s="5" t="s">
        <v>653</v>
      </c>
      <c r="K164" s="5" t="s">
        <v>619</v>
      </c>
      <c r="L164" s="5" t="s">
        <v>46</v>
      </c>
      <c r="M164" s="5" t="s">
        <v>46</v>
      </c>
      <c r="N164" s="5" t="s">
        <v>99</v>
      </c>
      <c r="P164" s="13">
        <f ca="1">IFERROR(__xludf.DUMMYFUNCTION("IF(REGEXMATCH(UPPER(E164),""CONGRESO""),1,0)"),0)</f>
        <v>0</v>
      </c>
    </row>
    <row r="165" spans="1:16" ht="15.75" customHeight="1" x14ac:dyDescent="0.2">
      <c r="A165" s="5" t="s">
        <v>485</v>
      </c>
      <c r="B165" s="5" t="s">
        <v>527</v>
      </c>
      <c r="C165" s="5" t="s">
        <v>528</v>
      </c>
      <c r="D165" s="5" t="s">
        <v>612</v>
      </c>
      <c r="E165" s="5" t="s">
        <v>1129</v>
      </c>
      <c r="F165" s="5" t="s">
        <v>958</v>
      </c>
      <c r="G165" s="5" t="s">
        <v>1130</v>
      </c>
      <c r="H165" s="5" t="s">
        <v>1131</v>
      </c>
      <c r="I165" s="5" t="s">
        <v>750</v>
      </c>
      <c r="J165" s="5" t="s">
        <v>618</v>
      </c>
      <c r="K165" s="5" t="s">
        <v>619</v>
      </c>
      <c r="L165" s="5" t="s">
        <v>322</v>
      </c>
      <c r="M165" s="5" t="s">
        <v>322</v>
      </c>
      <c r="N165" s="5" t="s">
        <v>322</v>
      </c>
      <c r="P165" s="13">
        <f ca="1">IFERROR(__xludf.DUMMYFUNCTION("IF(REGEXMATCH(UPPER(E165),""CONGRESO""),1,0)"),0)</f>
        <v>0</v>
      </c>
    </row>
    <row r="166" spans="1:16" ht="15.75" customHeight="1" x14ac:dyDescent="0.2">
      <c r="A166" s="5" t="s">
        <v>485</v>
      </c>
      <c r="B166" s="5" t="s">
        <v>537</v>
      </c>
      <c r="C166" s="5" t="s">
        <v>538</v>
      </c>
      <c r="D166" s="5" t="s">
        <v>612</v>
      </c>
      <c r="E166" s="5" t="s">
        <v>735</v>
      </c>
      <c r="F166" s="5" t="s">
        <v>666</v>
      </c>
      <c r="G166" s="5" t="s">
        <v>615</v>
      </c>
      <c r="H166" s="5" t="s">
        <v>1132</v>
      </c>
      <c r="I166" s="5" t="s">
        <v>627</v>
      </c>
      <c r="J166" s="5" t="s">
        <v>618</v>
      </c>
      <c r="K166" s="5" t="s">
        <v>619</v>
      </c>
      <c r="L166" s="5" t="s">
        <v>46</v>
      </c>
      <c r="M166" s="5" t="s">
        <v>46</v>
      </c>
      <c r="N166" s="5" t="s">
        <v>46</v>
      </c>
      <c r="P166" s="13">
        <f ca="1">IFERROR(__xludf.DUMMYFUNCTION("IF(REGEXMATCH(UPPER(E166),""CONGRESO""),1,0)"),1)</f>
        <v>1</v>
      </c>
    </row>
    <row r="167" spans="1:16" ht="15.75" customHeight="1" x14ac:dyDescent="0.2">
      <c r="A167" s="5" t="s">
        <v>485</v>
      </c>
      <c r="B167" s="5" t="s">
        <v>537</v>
      </c>
      <c r="C167" s="5" t="s">
        <v>538</v>
      </c>
      <c r="D167" s="5" t="s">
        <v>612</v>
      </c>
      <c r="E167" s="5" t="s">
        <v>613</v>
      </c>
      <c r="F167" s="5" t="s">
        <v>614</v>
      </c>
      <c r="G167" s="5" t="s">
        <v>615</v>
      </c>
      <c r="H167" s="5" t="s">
        <v>1133</v>
      </c>
      <c r="I167" s="5" t="s">
        <v>632</v>
      </c>
      <c r="J167" s="5" t="s">
        <v>632</v>
      </c>
      <c r="K167" s="5" t="s">
        <v>619</v>
      </c>
      <c r="L167" s="5" t="s">
        <v>46</v>
      </c>
      <c r="M167" s="5" t="s">
        <v>46</v>
      </c>
      <c r="N167" s="5" t="s">
        <v>46</v>
      </c>
      <c r="O167" s="5" t="s">
        <v>1134</v>
      </c>
      <c r="P167" s="13">
        <f ca="1">IFERROR(__xludf.DUMMYFUNCTION("IF(REGEXMATCH(UPPER(E167),""CONGRESO""),1,0)"),1)</f>
        <v>1</v>
      </c>
    </row>
    <row r="168" spans="1:16" ht="15.75" customHeight="1" x14ac:dyDescent="0.2">
      <c r="A168" s="5" t="s">
        <v>485</v>
      </c>
      <c r="B168" s="5" t="s">
        <v>537</v>
      </c>
      <c r="C168" s="5" t="s">
        <v>538</v>
      </c>
      <c r="D168" s="5" t="s">
        <v>612</v>
      </c>
      <c r="E168" s="5" t="s">
        <v>1135</v>
      </c>
      <c r="F168" s="5" t="s">
        <v>945</v>
      </c>
      <c r="H168" s="5" t="s">
        <v>1136</v>
      </c>
      <c r="I168" s="5" t="s">
        <v>632</v>
      </c>
      <c r="J168" s="5" t="s">
        <v>621</v>
      </c>
      <c r="K168" s="5" t="s">
        <v>619</v>
      </c>
      <c r="L168" s="5" t="s">
        <v>46</v>
      </c>
      <c r="M168" s="5" t="s">
        <v>46</v>
      </c>
      <c r="N168" s="5" t="s">
        <v>46</v>
      </c>
      <c r="O168" s="5" t="s">
        <v>1137</v>
      </c>
      <c r="P168" s="13">
        <f ca="1">IFERROR(__xludf.DUMMYFUNCTION("IF(REGEXMATCH(UPPER(E168),""CONGRESO""),1,0)"),0)</f>
        <v>0</v>
      </c>
    </row>
    <row r="169" spans="1:16" ht="15.75" customHeight="1" x14ac:dyDescent="0.2">
      <c r="A169" s="5" t="s">
        <v>485</v>
      </c>
      <c r="B169" s="5" t="s">
        <v>546</v>
      </c>
      <c r="C169" s="5" t="s">
        <v>547</v>
      </c>
      <c r="D169" s="5" t="s">
        <v>612</v>
      </c>
      <c r="E169" s="5" t="s">
        <v>1138</v>
      </c>
      <c r="F169" s="5" t="s">
        <v>1139</v>
      </c>
      <c r="H169" s="5" t="s">
        <v>1140</v>
      </c>
      <c r="I169" s="5" t="s">
        <v>1141</v>
      </c>
      <c r="J169" s="5" t="s">
        <v>617</v>
      </c>
      <c r="K169" s="5" t="s">
        <v>1142</v>
      </c>
      <c r="P169" s="13">
        <f ca="1">IFERROR(__xludf.DUMMYFUNCTION("IF(REGEXMATCH(UPPER(E169),""CONGRESO""),1,0)"),0)</f>
        <v>0</v>
      </c>
    </row>
    <row r="170" spans="1:16" ht="15.75" customHeight="1" x14ac:dyDescent="0.2">
      <c r="A170" t="s">
        <v>70</v>
      </c>
      <c r="B170" t="s">
        <v>555</v>
      </c>
      <c r="C170" t="s">
        <v>556</v>
      </c>
      <c r="D170" t="s">
        <v>612</v>
      </c>
      <c r="E170" t="s">
        <v>1143</v>
      </c>
      <c r="F170" t="s">
        <v>676</v>
      </c>
      <c r="H170" t="s">
        <v>1144</v>
      </c>
      <c r="I170" t="s">
        <v>653</v>
      </c>
      <c r="J170" t="s">
        <v>618</v>
      </c>
      <c r="K170" t="s">
        <v>619</v>
      </c>
      <c r="L170" t="s">
        <v>46</v>
      </c>
      <c r="M170" t="s">
        <v>46</v>
      </c>
      <c r="N170" t="s">
        <v>777</v>
      </c>
      <c r="O170" t="s">
        <v>1145</v>
      </c>
      <c r="P170" s="13">
        <f ca="1">IFERROR(__xludf.DUMMYFUNCTION("IF(REGEXMATCH(UPPER(E170),""CONGRESO""),1,0)"),0)</f>
        <v>0</v>
      </c>
    </row>
    <row r="171" spans="1:16" ht="15.75" customHeight="1" x14ac:dyDescent="0.2">
      <c r="A171" t="s">
        <v>70</v>
      </c>
      <c r="B171" t="s">
        <v>555</v>
      </c>
      <c r="C171" t="s">
        <v>556</v>
      </c>
      <c r="D171" t="s">
        <v>612</v>
      </c>
      <c r="E171" t="s">
        <v>1146</v>
      </c>
      <c r="F171" t="s">
        <v>676</v>
      </c>
      <c r="H171" t="s">
        <v>1147</v>
      </c>
      <c r="I171" t="s">
        <v>693</v>
      </c>
      <c r="J171" t="s">
        <v>617</v>
      </c>
      <c r="K171" t="s">
        <v>619</v>
      </c>
      <c r="L171" t="s">
        <v>46</v>
      </c>
      <c r="M171" t="s">
        <v>46</v>
      </c>
      <c r="N171" t="s">
        <v>874</v>
      </c>
      <c r="O171" t="s">
        <v>1148</v>
      </c>
      <c r="P171" s="13">
        <f ca="1">IFERROR(__xludf.DUMMYFUNCTION("IF(REGEXMATCH(UPPER(E171),""CONGRESO""),1,0)"),0)</f>
        <v>0</v>
      </c>
    </row>
    <row r="172" spans="1:16" ht="15.75" customHeight="1" x14ac:dyDescent="0.2">
      <c r="A172" t="s">
        <v>70</v>
      </c>
      <c r="B172" t="s">
        <v>555</v>
      </c>
      <c r="C172" t="s">
        <v>556</v>
      </c>
      <c r="D172" t="s">
        <v>612</v>
      </c>
      <c r="E172" t="s">
        <v>665</v>
      </c>
      <c r="F172" t="s">
        <v>1149</v>
      </c>
      <c r="H172" t="s">
        <v>1150</v>
      </c>
      <c r="I172" t="s">
        <v>627</v>
      </c>
      <c r="J172" t="s">
        <v>618</v>
      </c>
      <c r="K172" t="s">
        <v>619</v>
      </c>
      <c r="L172" t="s">
        <v>46</v>
      </c>
      <c r="M172" t="s">
        <v>46</v>
      </c>
      <c r="N172" t="s">
        <v>46</v>
      </c>
      <c r="O172" t="s">
        <v>778</v>
      </c>
      <c r="P172" s="13">
        <f ca="1">IFERROR(__xludf.DUMMYFUNCTION("IF(REGEXMATCH(UPPER(E172),""CONGRESO""),1,0)"),1)</f>
        <v>1</v>
      </c>
    </row>
    <row r="173" spans="1:16" ht="15.75" customHeight="1" x14ac:dyDescent="0.2">
      <c r="A173" t="s">
        <v>70</v>
      </c>
      <c r="B173" t="s">
        <v>555</v>
      </c>
      <c r="C173" t="s">
        <v>556</v>
      </c>
      <c r="D173" t="s">
        <v>612</v>
      </c>
      <c r="E173" t="s">
        <v>1151</v>
      </c>
      <c r="F173" t="s">
        <v>676</v>
      </c>
      <c r="H173" t="s">
        <v>1152</v>
      </c>
      <c r="I173" t="s">
        <v>713</v>
      </c>
      <c r="J173" t="s">
        <v>618</v>
      </c>
      <c r="K173" t="s">
        <v>619</v>
      </c>
      <c r="L173" t="s">
        <v>46</v>
      </c>
      <c r="M173" t="s">
        <v>46</v>
      </c>
      <c r="N173" t="s">
        <v>777</v>
      </c>
      <c r="O173" t="s">
        <v>1153</v>
      </c>
      <c r="P173" s="13">
        <f ca="1">IFERROR(__xludf.DUMMYFUNCTION("IF(REGEXMATCH(UPPER(E173),""CONGRESO""),1,0)"),0)</f>
        <v>0</v>
      </c>
    </row>
    <row r="174" spans="1:16" ht="15.75" customHeight="1" x14ac:dyDescent="0.2">
      <c r="A174" t="s">
        <v>70</v>
      </c>
      <c r="B174" t="s">
        <v>555</v>
      </c>
      <c r="C174" t="s">
        <v>556</v>
      </c>
      <c r="D174" t="s">
        <v>612</v>
      </c>
      <c r="E174" t="s">
        <v>1154</v>
      </c>
      <c r="F174" t="s">
        <v>1155</v>
      </c>
      <c r="G174" t="s">
        <v>1156</v>
      </c>
      <c r="H174" t="s">
        <v>1157</v>
      </c>
      <c r="I174" t="s">
        <v>621</v>
      </c>
      <c r="J174" t="s">
        <v>617</v>
      </c>
      <c r="K174" t="s">
        <v>619</v>
      </c>
      <c r="L174" t="s">
        <v>46</v>
      </c>
      <c r="M174" t="s">
        <v>46</v>
      </c>
      <c r="N174" t="s">
        <v>404</v>
      </c>
      <c r="P174" s="13">
        <f ca="1">IFERROR(__xludf.DUMMYFUNCTION("IF(REGEXMATCH(UPPER(E174),""CONGRESO""),1,0)"),0)</f>
        <v>0</v>
      </c>
    </row>
    <row r="175" spans="1:16" ht="15.75" customHeight="1" x14ac:dyDescent="0.2">
      <c r="A175" t="s">
        <v>276</v>
      </c>
      <c r="B175" t="s">
        <v>562</v>
      </c>
      <c r="C175" t="s">
        <v>563</v>
      </c>
      <c r="D175" t="s">
        <v>612</v>
      </c>
      <c r="E175" t="s">
        <v>1158</v>
      </c>
      <c r="F175" t="s">
        <v>676</v>
      </c>
      <c r="H175" t="s">
        <v>1159</v>
      </c>
      <c r="I175" t="s">
        <v>627</v>
      </c>
      <c r="J175" t="s">
        <v>618</v>
      </c>
      <c r="K175" t="s">
        <v>619</v>
      </c>
      <c r="L175" t="s">
        <v>322</v>
      </c>
      <c r="M175" t="s">
        <v>567</v>
      </c>
      <c r="N175" t="s">
        <v>567</v>
      </c>
      <c r="P175" s="13">
        <f ca="1">IFERROR(__xludf.DUMMYFUNCTION("IF(REGEXMATCH(UPPER(E175),""CONGRESO""),1,0)"),0)</f>
        <v>0</v>
      </c>
    </row>
    <row r="176" spans="1:16" ht="15.75" customHeight="1" x14ac:dyDescent="0.2">
      <c r="A176" t="s">
        <v>276</v>
      </c>
      <c r="B176" t="s">
        <v>562</v>
      </c>
      <c r="C176" t="s">
        <v>563</v>
      </c>
      <c r="D176" t="s">
        <v>612</v>
      </c>
      <c r="E176" t="s">
        <v>1160</v>
      </c>
      <c r="F176" t="s">
        <v>676</v>
      </c>
      <c r="K176" t="s">
        <v>619</v>
      </c>
      <c r="L176" t="s">
        <v>322</v>
      </c>
      <c r="M176" t="s">
        <v>567</v>
      </c>
      <c r="N176" t="s">
        <v>567</v>
      </c>
      <c r="P176" s="13">
        <f ca="1">IFERROR(__xludf.DUMMYFUNCTION("IF(REGEXMATCH(UPPER(E176),""CONGRESO""),1,0)"),0)</f>
        <v>0</v>
      </c>
    </row>
    <row r="177" spans="1:16" ht="15.75" customHeight="1" x14ac:dyDescent="0.2">
      <c r="A177" t="s">
        <v>276</v>
      </c>
      <c r="B177" t="s">
        <v>568</v>
      </c>
      <c r="C177" t="s">
        <v>569</v>
      </c>
      <c r="D177" t="s">
        <v>612</v>
      </c>
      <c r="E177" t="s">
        <v>1161</v>
      </c>
      <c r="F177" t="s">
        <v>1162</v>
      </c>
      <c r="G177" t="s">
        <v>1163</v>
      </c>
      <c r="H177" t="s">
        <v>1164</v>
      </c>
      <c r="I177" t="s">
        <v>632</v>
      </c>
      <c r="J177" t="s">
        <v>618</v>
      </c>
      <c r="K177" t="s">
        <v>619</v>
      </c>
      <c r="L177" t="s">
        <v>341</v>
      </c>
      <c r="M177" t="s">
        <v>341</v>
      </c>
      <c r="N177" t="s">
        <v>341</v>
      </c>
      <c r="P177" s="13">
        <f ca="1">IFERROR(__xludf.DUMMYFUNCTION("IF(REGEXMATCH(UPPER(E177),""CONGRESO""),1,0)"),0)</f>
        <v>0</v>
      </c>
    </row>
    <row r="178" spans="1:16" ht="15.75" customHeight="1" x14ac:dyDescent="0.2">
      <c r="A178" t="s">
        <v>276</v>
      </c>
      <c r="B178" t="s">
        <v>568</v>
      </c>
      <c r="C178" t="s">
        <v>569</v>
      </c>
      <c r="D178" t="s">
        <v>612</v>
      </c>
      <c r="E178" t="s">
        <v>1165</v>
      </c>
      <c r="F178" t="s">
        <v>1166</v>
      </c>
      <c r="K178" t="s">
        <v>619</v>
      </c>
      <c r="L178" t="s">
        <v>150</v>
      </c>
      <c r="N178" t="s">
        <v>1167</v>
      </c>
      <c r="O178" t="s">
        <v>1168</v>
      </c>
      <c r="P178" s="13">
        <f ca="1">IFERROR(__xludf.DUMMYFUNCTION("IF(REGEXMATCH(UPPER(E178),""CONGRESO""),1,0)"),0)</f>
        <v>0</v>
      </c>
    </row>
    <row r="179" spans="1:16" ht="15.75" customHeight="1" x14ac:dyDescent="0.2">
      <c r="A179" t="s">
        <v>276</v>
      </c>
      <c r="B179" t="s">
        <v>568</v>
      </c>
      <c r="C179" t="s">
        <v>569</v>
      </c>
      <c r="D179" t="s">
        <v>612</v>
      </c>
      <c r="E179" t="s">
        <v>1165</v>
      </c>
      <c r="F179" t="s">
        <v>1169</v>
      </c>
      <c r="H179" t="s">
        <v>1170</v>
      </c>
      <c r="I179" t="s">
        <v>641</v>
      </c>
      <c r="J179" t="s">
        <v>688</v>
      </c>
      <c r="K179" t="s">
        <v>619</v>
      </c>
      <c r="L179" t="s">
        <v>341</v>
      </c>
      <c r="M179" t="s">
        <v>341</v>
      </c>
      <c r="N179" t="s">
        <v>341</v>
      </c>
      <c r="O179" t="s">
        <v>1171</v>
      </c>
      <c r="P179" s="13">
        <f ca="1">IFERROR(__xludf.DUMMYFUNCTION("IF(REGEXMATCH(UPPER(E179),""CONGRESO""),1,0)"),0)</f>
        <v>0</v>
      </c>
    </row>
    <row r="180" spans="1:16" ht="15.75" customHeight="1" x14ac:dyDescent="0.2">
      <c r="A180" t="s">
        <v>276</v>
      </c>
      <c r="B180" t="s">
        <v>574</v>
      </c>
      <c r="C180" t="s">
        <v>575</v>
      </c>
      <c r="D180" t="s">
        <v>612</v>
      </c>
      <c r="E180" t="s">
        <v>917</v>
      </c>
      <c r="F180" t="s">
        <v>1172</v>
      </c>
      <c r="H180" t="s">
        <v>1173</v>
      </c>
      <c r="I180" t="s">
        <v>649</v>
      </c>
      <c r="J180" t="s">
        <v>618</v>
      </c>
      <c r="K180" t="s">
        <v>619</v>
      </c>
      <c r="L180" t="s">
        <v>580</v>
      </c>
      <c r="M180" t="s">
        <v>581</v>
      </c>
      <c r="N180" t="s">
        <v>582</v>
      </c>
      <c r="P180" s="13">
        <f ca="1">IFERROR(__xludf.DUMMYFUNCTION("IF(REGEXMATCH(UPPER(E180),""CONGRESO""),1,0)"),0)</f>
        <v>0</v>
      </c>
    </row>
    <row r="181" spans="1:16" ht="15.75" customHeight="1" x14ac:dyDescent="0.2">
      <c r="A181" t="s">
        <v>276</v>
      </c>
      <c r="B181" t="s">
        <v>574</v>
      </c>
      <c r="C181" t="s">
        <v>575</v>
      </c>
      <c r="D181" t="s">
        <v>612</v>
      </c>
      <c r="E181" t="s">
        <v>1174</v>
      </c>
      <c r="F181" t="s">
        <v>1175</v>
      </c>
      <c r="K181" t="s">
        <v>619</v>
      </c>
      <c r="L181" t="s">
        <v>580</v>
      </c>
      <c r="M181" t="s">
        <v>581</v>
      </c>
      <c r="N181" t="s">
        <v>581</v>
      </c>
      <c r="P181" s="13">
        <f ca="1">IFERROR(__xludf.DUMMYFUNCTION("IF(REGEXMATCH(UPPER(E181),""CONGRESO""),1,0)"),0)</f>
        <v>0</v>
      </c>
    </row>
    <row r="182" spans="1:16" ht="15.75" customHeight="1" x14ac:dyDescent="0.2">
      <c r="P182" s="13"/>
    </row>
    <row r="183" spans="1:16" ht="15.75" customHeight="1" x14ac:dyDescent="0.2">
      <c r="P183" s="13"/>
    </row>
    <row r="184" spans="1:16" ht="15.75" customHeight="1" x14ac:dyDescent="0.2">
      <c r="P184" s="13"/>
    </row>
    <row r="185" spans="1:16" ht="15.75" customHeight="1" x14ac:dyDescent="0.2">
      <c r="P185" s="13"/>
    </row>
    <row r="186" spans="1:16" ht="15.75" customHeight="1" x14ac:dyDescent="0.2">
      <c r="P186" s="13"/>
    </row>
    <row r="187" spans="1:16" ht="15.75" customHeight="1" x14ac:dyDescent="0.2">
      <c r="P187" s="13"/>
    </row>
    <row r="188" spans="1:16" ht="15.75" customHeight="1" x14ac:dyDescent="0.2">
      <c r="P188" s="13"/>
    </row>
    <row r="189" spans="1:16" ht="15.75" customHeight="1" x14ac:dyDescent="0.2">
      <c r="P189" s="13"/>
    </row>
    <row r="190" spans="1:16" ht="15.75" customHeight="1" x14ac:dyDescent="0.2">
      <c r="P190" s="13"/>
    </row>
    <row r="191" spans="1:16" ht="15.75" customHeight="1" x14ac:dyDescent="0.2">
      <c r="P191" s="13"/>
    </row>
    <row r="192" spans="1:16" ht="15.75" customHeight="1" x14ac:dyDescent="0.2">
      <c r="P192" s="13"/>
    </row>
    <row r="193" spans="16:16" ht="15.75" customHeight="1" x14ac:dyDescent="0.2">
      <c r="P193" s="13"/>
    </row>
    <row r="194" spans="16:16" ht="15.75" customHeight="1" x14ac:dyDescent="0.2">
      <c r="P194" s="13"/>
    </row>
    <row r="195" spans="16:16" ht="15.75" customHeight="1" x14ac:dyDescent="0.2">
      <c r="P195" s="13"/>
    </row>
    <row r="196" spans="16:16" ht="15.75" customHeight="1" x14ac:dyDescent="0.2">
      <c r="P196" s="13"/>
    </row>
    <row r="197" spans="16:16" ht="15.75" customHeight="1" x14ac:dyDescent="0.2">
      <c r="P197" s="13"/>
    </row>
    <row r="198" spans="16:16" ht="15.75" customHeight="1" x14ac:dyDescent="0.2">
      <c r="P198" s="13"/>
    </row>
    <row r="199" spans="16:16" ht="15.75" customHeight="1" x14ac:dyDescent="0.2">
      <c r="P199" s="13"/>
    </row>
    <row r="200" spans="16:16" ht="15.75" customHeight="1" x14ac:dyDescent="0.2">
      <c r="P200" s="13"/>
    </row>
    <row r="201" spans="16:16" ht="15.75" customHeight="1" x14ac:dyDescent="0.2">
      <c r="P201" s="13"/>
    </row>
    <row r="202" spans="16:16" ht="15.75" customHeight="1" x14ac:dyDescent="0.2">
      <c r="P202" s="13"/>
    </row>
    <row r="203" spans="16:16" ht="15.75" customHeight="1" x14ac:dyDescent="0.2">
      <c r="P203" s="13"/>
    </row>
    <row r="204" spans="16:16" ht="15.75" customHeight="1" x14ac:dyDescent="0.2">
      <c r="P204" s="13"/>
    </row>
    <row r="205" spans="16:16" ht="15.75" customHeight="1" x14ac:dyDescent="0.2">
      <c r="P205" s="13"/>
    </row>
    <row r="206" spans="16:16" ht="15.75" customHeight="1" x14ac:dyDescent="0.2">
      <c r="P206" s="13"/>
    </row>
    <row r="207" spans="16:16" ht="15.75" customHeight="1" x14ac:dyDescent="0.2">
      <c r="P207" s="13"/>
    </row>
    <row r="208" spans="16:16" ht="15.75" customHeight="1" x14ac:dyDescent="0.2">
      <c r="P208" s="13"/>
    </row>
    <row r="209" spans="16:16" ht="15.75" customHeight="1" x14ac:dyDescent="0.2">
      <c r="P209" s="13"/>
    </row>
    <row r="210" spans="16:16" ht="15.75" customHeight="1" x14ac:dyDescent="0.2">
      <c r="P210" s="13"/>
    </row>
    <row r="211" spans="16:16" ht="15.75" customHeight="1" x14ac:dyDescent="0.2">
      <c r="P211" s="13"/>
    </row>
    <row r="212" spans="16:16" ht="15.75" customHeight="1" x14ac:dyDescent="0.2">
      <c r="P212" s="13"/>
    </row>
    <row r="213" spans="16:16" ht="15.75" customHeight="1" x14ac:dyDescent="0.2">
      <c r="P213" s="13"/>
    </row>
    <row r="214" spans="16:16" ht="15.75" customHeight="1" x14ac:dyDescent="0.2">
      <c r="P214" s="13"/>
    </row>
    <row r="215" spans="16:16" ht="15.75" customHeight="1" x14ac:dyDescent="0.2">
      <c r="P215" s="13"/>
    </row>
    <row r="216" spans="16:16" ht="15.75" customHeight="1" x14ac:dyDescent="0.2">
      <c r="P216" s="13"/>
    </row>
    <row r="217" spans="16:16" ht="15.75" customHeight="1" x14ac:dyDescent="0.2">
      <c r="P217" s="13"/>
    </row>
    <row r="218" spans="16:16" ht="15.75" customHeight="1" x14ac:dyDescent="0.2">
      <c r="P218" s="13"/>
    </row>
    <row r="219" spans="16:16" ht="15.75" customHeight="1" x14ac:dyDescent="0.2">
      <c r="P219" s="13"/>
    </row>
    <row r="220" spans="16:16" ht="15.75" customHeight="1" x14ac:dyDescent="0.2">
      <c r="P220" s="13"/>
    </row>
    <row r="221" spans="16:16" ht="15.75" customHeight="1" x14ac:dyDescent="0.2">
      <c r="P221" s="13"/>
    </row>
    <row r="222" spans="16:16" ht="15.75" customHeight="1" x14ac:dyDescent="0.2">
      <c r="P222" s="13"/>
    </row>
    <row r="223" spans="16:16" ht="15.75" customHeight="1" x14ac:dyDescent="0.2">
      <c r="P223" s="13"/>
    </row>
    <row r="224" spans="16:16" ht="15.75" customHeight="1" x14ac:dyDescent="0.2">
      <c r="P224" s="13"/>
    </row>
    <row r="225" spans="16:16" ht="15.75" customHeight="1" x14ac:dyDescent="0.2">
      <c r="P225" s="13"/>
    </row>
    <row r="226" spans="16:16" ht="15.75" customHeight="1" x14ac:dyDescent="0.2">
      <c r="P226" s="13"/>
    </row>
    <row r="227" spans="16:16" ht="15.75" customHeight="1" x14ac:dyDescent="0.2">
      <c r="P227" s="13"/>
    </row>
    <row r="228" spans="16:16" ht="15.75" customHeight="1" x14ac:dyDescent="0.2">
      <c r="P228" s="13"/>
    </row>
    <row r="229" spans="16:16" ht="15.75" customHeight="1" x14ac:dyDescent="0.2">
      <c r="P229" s="13"/>
    </row>
    <row r="230" spans="16:16" ht="15.75" customHeight="1" x14ac:dyDescent="0.2">
      <c r="P230" s="13"/>
    </row>
    <row r="231" spans="16:16" ht="15.75" customHeight="1" x14ac:dyDescent="0.2">
      <c r="P231" s="13"/>
    </row>
    <row r="232" spans="16:16" ht="15.75" customHeight="1" x14ac:dyDescent="0.2">
      <c r="P232" s="13"/>
    </row>
    <row r="233" spans="16:16" ht="15.75" customHeight="1" x14ac:dyDescent="0.2">
      <c r="P233" s="13"/>
    </row>
    <row r="234" spans="16:16" ht="15.75" customHeight="1" x14ac:dyDescent="0.2">
      <c r="P234" s="13"/>
    </row>
    <row r="235" spans="16:16" ht="15.75" customHeight="1" x14ac:dyDescent="0.2">
      <c r="P235" s="13"/>
    </row>
    <row r="236" spans="16:16" ht="15.75" customHeight="1" x14ac:dyDescent="0.2">
      <c r="P236" s="13"/>
    </row>
    <row r="237" spans="16:16" ht="15.75" customHeight="1" x14ac:dyDescent="0.2">
      <c r="P237" s="13"/>
    </row>
    <row r="238" spans="16:16" ht="15.75" customHeight="1" x14ac:dyDescent="0.2">
      <c r="P238" s="13"/>
    </row>
    <row r="239" spans="16:16" ht="15.75" customHeight="1" x14ac:dyDescent="0.2">
      <c r="P239" s="13"/>
    </row>
    <row r="240" spans="16:16" ht="15.75" customHeight="1" x14ac:dyDescent="0.2">
      <c r="P240" s="13"/>
    </row>
    <row r="241" spans="16:16" ht="15.75" customHeight="1" x14ac:dyDescent="0.2">
      <c r="P241" s="13"/>
    </row>
    <row r="242" spans="16:16" ht="15.75" customHeight="1" x14ac:dyDescent="0.2">
      <c r="P242" s="13"/>
    </row>
    <row r="243" spans="16:16" ht="15.75" customHeight="1" x14ac:dyDescent="0.2">
      <c r="P243" s="13"/>
    </row>
    <row r="244" spans="16:16" ht="15.75" customHeight="1" x14ac:dyDescent="0.2">
      <c r="P244" s="13"/>
    </row>
    <row r="245" spans="16:16" ht="15.75" customHeight="1" x14ac:dyDescent="0.2">
      <c r="P245" s="13"/>
    </row>
    <row r="246" spans="16:16" ht="15.75" customHeight="1" x14ac:dyDescent="0.2">
      <c r="P246" s="13"/>
    </row>
    <row r="247" spans="16:16" ht="15.75" customHeight="1" x14ac:dyDescent="0.2">
      <c r="P247" s="13"/>
    </row>
    <row r="248" spans="16:16" ht="15.75" customHeight="1" x14ac:dyDescent="0.2">
      <c r="P248" s="13"/>
    </row>
    <row r="249" spans="16:16" ht="15.75" customHeight="1" x14ac:dyDescent="0.2">
      <c r="P249" s="13"/>
    </row>
    <row r="250" spans="16:16" ht="15.75" customHeight="1" x14ac:dyDescent="0.2">
      <c r="P250" s="13"/>
    </row>
    <row r="251" spans="16:16" ht="15.75" customHeight="1" x14ac:dyDescent="0.2">
      <c r="P251" s="13"/>
    </row>
    <row r="252" spans="16:16" ht="15.75" customHeight="1" x14ac:dyDescent="0.2">
      <c r="P252" s="13"/>
    </row>
    <row r="253" spans="16:16" ht="15.75" customHeight="1" x14ac:dyDescent="0.2">
      <c r="P253" s="13"/>
    </row>
    <row r="254" spans="16:16" ht="15.75" customHeight="1" x14ac:dyDescent="0.2">
      <c r="P254" s="13"/>
    </row>
    <row r="255" spans="16:16" ht="15.75" customHeight="1" x14ac:dyDescent="0.2">
      <c r="P255" s="13"/>
    </row>
    <row r="256" spans="16:16" ht="15.75" customHeight="1" x14ac:dyDescent="0.2">
      <c r="P256" s="13"/>
    </row>
    <row r="257" spans="16:16" ht="15.75" customHeight="1" x14ac:dyDescent="0.2">
      <c r="P257" s="13"/>
    </row>
    <row r="258" spans="16:16" ht="15.75" customHeight="1" x14ac:dyDescent="0.2">
      <c r="P258" s="13"/>
    </row>
    <row r="259" spans="16:16" ht="15.75" customHeight="1" x14ac:dyDescent="0.2">
      <c r="P259" s="13"/>
    </row>
    <row r="260" spans="16:16" ht="15.75" customHeight="1" x14ac:dyDescent="0.2">
      <c r="P260" s="13"/>
    </row>
    <row r="261" spans="16:16" ht="15.75" customHeight="1" x14ac:dyDescent="0.2">
      <c r="P261" s="13"/>
    </row>
    <row r="262" spans="16:16" ht="15.75" customHeight="1" x14ac:dyDescent="0.2">
      <c r="P262" s="13"/>
    </row>
    <row r="263" spans="16:16" ht="15.75" customHeight="1" x14ac:dyDescent="0.2">
      <c r="P263" s="13"/>
    </row>
    <row r="264" spans="16:16" ht="15.75" customHeight="1" x14ac:dyDescent="0.2">
      <c r="P264" s="13"/>
    </row>
    <row r="265" spans="16:16" ht="15.75" customHeight="1" x14ac:dyDescent="0.2">
      <c r="P265" s="13"/>
    </row>
    <row r="266" spans="16:16" ht="15.75" customHeight="1" x14ac:dyDescent="0.2">
      <c r="P266" s="13"/>
    </row>
    <row r="267" spans="16:16" ht="15.75" customHeight="1" x14ac:dyDescent="0.2">
      <c r="P267" s="13"/>
    </row>
    <row r="268" spans="16:16" ht="15.75" customHeight="1" x14ac:dyDescent="0.2">
      <c r="P268" s="13"/>
    </row>
    <row r="269" spans="16:16" ht="15.75" customHeight="1" x14ac:dyDescent="0.2">
      <c r="P269" s="13"/>
    </row>
    <row r="270" spans="16:16" ht="15.75" customHeight="1" x14ac:dyDescent="0.2">
      <c r="P270" s="13"/>
    </row>
    <row r="271" spans="16:16" ht="15.75" customHeight="1" x14ac:dyDescent="0.2">
      <c r="P271" s="13"/>
    </row>
    <row r="272" spans="16:16" ht="15.75" customHeight="1" x14ac:dyDescent="0.2">
      <c r="P272" s="13"/>
    </row>
    <row r="273" spans="16:16" ht="15.75" customHeight="1" x14ac:dyDescent="0.2">
      <c r="P273" s="13"/>
    </row>
    <row r="274" spans="16:16" ht="15.75" customHeight="1" x14ac:dyDescent="0.2">
      <c r="P274" s="13"/>
    </row>
    <row r="275" spans="16:16" ht="15.75" customHeight="1" x14ac:dyDescent="0.2">
      <c r="P275" s="13"/>
    </row>
    <row r="276" spans="16:16" ht="15.75" customHeight="1" x14ac:dyDescent="0.2">
      <c r="P276" s="13"/>
    </row>
    <row r="277" spans="16:16" ht="15.75" customHeight="1" x14ac:dyDescent="0.2">
      <c r="P277" s="13"/>
    </row>
    <row r="278" spans="16:16" ht="15.75" customHeight="1" x14ac:dyDescent="0.2">
      <c r="P278" s="13"/>
    </row>
    <row r="279" spans="16:16" ht="15.75" customHeight="1" x14ac:dyDescent="0.2">
      <c r="P279" s="13"/>
    </row>
    <row r="280" spans="16:16" ht="15.75" customHeight="1" x14ac:dyDescent="0.2">
      <c r="P280" s="13"/>
    </row>
    <row r="281" spans="16:16" ht="15.75" customHeight="1" x14ac:dyDescent="0.2">
      <c r="P281" s="13"/>
    </row>
    <row r="282" spans="16:16" ht="15.75" customHeight="1" x14ac:dyDescent="0.2">
      <c r="P282" s="13"/>
    </row>
    <row r="283" spans="16:16" ht="15.75" customHeight="1" x14ac:dyDescent="0.2">
      <c r="P283" s="13"/>
    </row>
    <row r="284" spans="16:16" ht="15.75" customHeight="1" x14ac:dyDescent="0.2">
      <c r="P284" s="13"/>
    </row>
    <row r="285" spans="16:16" ht="15.75" customHeight="1" x14ac:dyDescent="0.2">
      <c r="P285" s="13"/>
    </row>
    <row r="286" spans="16:16" ht="15.75" customHeight="1" x14ac:dyDescent="0.2">
      <c r="P286" s="13"/>
    </row>
    <row r="287" spans="16:16" ht="15.75" customHeight="1" x14ac:dyDescent="0.2">
      <c r="P287" s="13"/>
    </row>
    <row r="288" spans="16:16" ht="15.75" customHeight="1" x14ac:dyDescent="0.2">
      <c r="P288" s="13"/>
    </row>
    <row r="289" spans="16:16" ht="15.75" customHeight="1" x14ac:dyDescent="0.2">
      <c r="P289" s="13"/>
    </row>
    <row r="290" spans="16:16" ht="15.75" customHeight="1" x14ac:dyDescent="0.2">
      <c r="P290" s="13"/>
    </row>
    <row r="291" spans="16:16" ht="15.75" customHeight="1" x14ac:dyDescent="0.2">
      <c r="P291" s="13"/>
    </row>
    <row r="292" spans="16:16" ht="15.75" customHeight="1" x14ac:dyDescent="0.2">
      <c r="P292" s="13"/>
    </row>
    <row r="293" spans="16:16" ht="15.75" customHeight="1" x14ac:dyDescent="0.2">
      <c r="P293" s="13"/>
    </row>
    <row r="294" spans="16:16" ht="15.75" customHeight="1" x14ac:dyDescent="0.2">
      <c r="P294" s="13"/>
    </row>
    <row r="295" spans="16:16" ht="15.75" customHeight="1" x14ac:dyDescent="0.2">
      <c r="P295" s="13"/>
    </row>
    <row r="296" spans="16:16" ht="15.75" customHeight="1" x14ac:dyDescent="0.2">
      <c r="P296" s="13"/>
    </row>
    <row r="297" spans="16:16" ht="15.75" customHeight="1" x14ac:dyDescent="0.2">
      <c r="P297" s="13"/>
    </row>
    <row r="298" spans="16:16" ht="15.75" customHeight="1" x14ac:dyDescent="0.2">
      <c r="P298" s="13"/>
    </row>
    <row r="299" spans="16:16" ht="15.75" customHeight="1" x14ac:dyDescent="0.2">
      <c r="P299" s="13"/>
    </row>
    <row r="300" spans="16:16" ht="15.75" customHeight="1" x14ac:dyDescent="0.2">
      <c r="P300" s="13"/>
    </row>
    <row r="301" spans="16:16" ht="15.75" customHeight="1" x14ac:dyDescent="0.2">
      <c r="P301" s="13"/>
    </row>
    <row r="302" spans="16:16" ht="15.75" customHeight="1" x14ac:dyDescent="0.2">
      <c r="P302" s="13"/>
    </row>
    <row r="303" spans="16:16" ht="15.75" customHeight="1" x14ac:dyDescent="0.2">
      <c r="P303" s="13"/>
    </row>
    <row r="304" spans="16:16" ht="15.75" customHeight="1" x14ac:dyDescent="0.2">
      <c r="P304" s="13"/>
    </row>
    <row r="305" spans="16:16" ht="15.75" customHeight="1" x14ac:dyDescent="0.2">
      <c r="P305" s="13"/>
    </row>
    <row r="306" spans="16:16" ht="15.75" customHeight="1" x14ac:dyDescent="0.2">
      <c r="P306" s="13"/>
    </row>
    <row r="307" spans="16:16" ht="15.75" customHeight="1" x14ac:dyDescent="0.2">
      <c r="P307" s="13"/>
    </row>
    <row r="308" spans="16:16" ht="15.75" customHeight="1" x14ac:dyDescent="0.2">
      <c r="P308" s="13"/>
    </row>
    <row r="309" spans="16:16" ht="15.75" customHeight="1" x14ac:dyDescent="0.2">
      <c r="P309" s="13"/>
    </row>
    <row r="310" spans="16:16" ht="15.75" customHeight="1" x14ac:dyDescent="0.2">
      <c r="P310" s="13"/>
    </row>
    <row r="311" spans="16:16" ht="15.75" customHeight="1" x14ac:dyDescent="0.2">
      <c r="P311" s="13"/>
    </row>
    <row r="312" spans="16:16" ht="15.75" customHeight="1" x14ac:dyDescent="0.2">
      <c r="P312" s="13"/>
    </row>
    <row r="313" spans="16:16" ht="15.75" customHeight="1" x14ac:dyDescent="0.2">
      <c r="P313" s="13"/>
    </row>
    <row r="314" spans="16:16" ht="15.75" customHeight="1" x14ac:dyDescent="0.2">
      <c r="P314" s="13"/>
    </row>
    <row r="315" spans="16:16" ht="15.75" customHeight="1" x14ac:dyDescent="0.2">
      <c r="P315" s="13"/>
    </row>
    <row r="316" spans="16:16" ht="15.75" customHeight="1" x14ac:dyDescent="0.2">
      <c r="P316" s="13"/>
    </row>
    <row r="317" spans="16:16" ht="15.75" customHeight="1" x14ac:dyDescent="0.2">
      <c r="P317" s="13"/>
    </row>
    <row r="318" spans="16:16" ht="15.75" customHeight="1" x14ac:dyDescent="0.2">
      <c r="P318" s="13"/>
    </row>
    <row r="319" spans="16:16" ht="15.75" customHeight="1" x14ac:dyDescent="0.2">
      <c r="P319" s="13"/>
    </row>
    <row r="320" spans="16:16" ht="15.75" customHeight="1" x14ac:dyDescent="0.2">
      <c r="P320" s="13"/>
    </row>
    <row r="321" spans="16:16" ht="15.75" customHeight="1" x14ac:dyDescent="0.2">
      <c r="P321" s="13"/>
    </row>
    <row r="322" spans="16:16" ht="15.75" customHeight="1" x14ac:dyDescent="0.2">
      <c r="P322" s="13"/>
    </row>
    <row r="323" spans="16:16" ht="15.75" customHeight="1" x14ac:dyDescent="0.2">
      <c r="P323" s="13"/>
    </row>
    <row r="324" spans="16:16" ht="15.75" customHeight="1" x14ac:dyDescent="0.2">
      <c r="P324" s="13"/>
    </row>
    <row r="325" spans="16:16" ht="15.75" customHeight="1" x14ac:dyDescent="0.2">
      <c r="P325" s="13"/>
    </row>
    <row r="326" spans="16:16" ht="15.75" customHeight="1" x14ac:dyDescent="0.2">
      <c r="P326" s="13"/>
    </row>
    <row r="327" spans="16:16" ht="15.75" customHeight="1" x14ac:dyDescent="0.2">
      <c r="P327" s="13"/>
    </row>
    <row r="328" spans="16:16" ht="15.75" customHeight="1" x14ac:dyDescent="0.2">
      <c r="P328" s="13"/>
    </row>
    <row r="329" spans="16:16" ht="15.75" customHeight="1" x14ac:dyDescent="0.2">
      <c r="P329" s="13"/>
    </row>
    <row r="330" spans="16:16" ht="15.75" customHeight="1" x14ac:dyDescent="0.2">
      <c r="P330" s="13"/>
    </row>
    <row r="331" spans="16:16" ht="15.75" customHeight="1" x14ac:dyDescent="0.2">
      <c r="P331" s="13"/>
    </row>
    <row r="332" spans="16:16" ht="15.75" customHeight="1" x14ac:dyDescent="0.2">
      <c r="P332" s="13"/>
    </row>
    <row r="333" spans="16:16" ht="15.75" customHeight="1" x14ac:dyDescent="0.2">
      <c r="P333" s="13"/>
    </row>
    <row r="334" spans="16:16" ht="15.75" customHeight="1" x14ac:dyDescent="0.2">
      <c r="P334" s="13"/>
    </row>
    <row r="335" spans="16:16" ht="15.75" customHeight="1" x14ac:dyDescent="0.2">
      <c r="P335" s="13"/>
    </row>
    <row r="336" spans="16:16" ht="15.75" customHeight="1" x14ac:dyDescent="0.2">
      <c r="P336" s="13"/>
    </row>
    <row r="337" spans="16:16" ht="15.75" customHeight="1" x14ac:dyDescent="0.2">
      <c r="P337" s="13"/>
    </row>
    <row r="338" spans="16:16" ht="15.75" customHeight="1" x14ac:dyDescent="0.2">
      <c r="P338" s="13"/>
    </row>
    <row r="339" spans="16:16" ht="15.75" customHeight="1" x14ac:dyDescent="0.2">
      <c r="P339" s="13"/>
    </row>
    <row r="340" spans="16:16" ht="15.75" customHeight="1" x14ac:dyDescent="0.2">
      <c r="P340" s="13"/>
    </row>
    <row r="341" spans="16:16" ht="15.75" customHeight="1" x14ac:dyDescent="0.2">
      <c r="P341" s="13"/>
    </row>
    <row r="342" spans="16:16" ht="15.75" customHeight="1" x14ac:dyDescent="0.2">
      <c r="P342" s="13"/>
    </row>
    <row r="343" spans="16:16" ht="15.75" customHeight="1" x14ac:dyDescent="0.2">
      <c r="P343" s="13"/>
    </row>
    <row r="344" spans="16:16" ht="15.75" customHeight="1" x14ac:dyDescent="0.2">
      <c r="P344" s="13"/>
    </row>
    <row r="345" spans="16:16" ht="15.75" customHeight="1" x14ac:dyDescent="0.2">
      <c r="P345" s="13"/>
    </row>
    <row r="346" spans="16:16" ht="15.75" customHeight="1" x14ac:dyDescent="0.2">
      <c r="P346" s="13"/>
    </row>
    <row r="347" spans="16:16" ht="15.75" customHeight="1" x14ac:dyDescent="0.2">
      <c r="P347" s="13"/>
    </row>
    <row r="348" spans="16:16" ht="15.75" customHeight="1" x14ac:dyDescent="0.2">
      <c r="P348" s="13"/>
    </row>
    <row r="349" spans="16:16" ht="15.75" customHeight="1" x14ac:dyDescent="0.2">
      <c r="P349" s="13"/>
    </row>
    <row r="350" spans="16:16" ht="15.75" customHeight="1" x14ac:dyDescent="0.2">
      <c r="P350" s="13"/>
    </row>
    <row r="351" spans="16:16" ht="15.75" customHeight="1" x14ac:dyDescent="0.2">
      <c r="P351" s="13"/>
    </row>
    <row r="352" spans="16:16" ht="15.75" customHeight="1" x14ac:dyDescent="0.2">
      <c r="P352" s="13"/>
    </row>
    <row r="353" spans="16:16" ht="15.75" customHeight="1" x14ac:dyDescent="0.2">
      <c r="P353" s="13"/>
    </row>
    <row r="354" spans="16:16" ht="15.75" customHeight="1" x14ac:dyDescent="0.2">
      <c r="P354" s="13"/>
    </row>
    <row r="355" spans="16:16" ht="15.75" customHeight="1" x14ac:dyDescent="0.2">
      <c r="P355" s="13"/>
    </row>
    <row r="356" spans="16:16" ht="15.75" customHeight="1" x14ac:dyDescent="0.2">
      <c r="P356" s="13"/>
    </row>
    <row r="357" spans="16:16" ht="15.75" customHeight="1" x14ac:dyDescent="0.2">
      <c r="P357" s="13"/>
    </row>
    <row r="358" spans="16:16" ht="15.75" customHeight="1" x14ac:dyDescent="0.2">
      <c r="P358" s="13"/>
    </row>
    <row r="359" spans="16:16" ht="15.75" customHeight="1" x14ac:dyDescent="0.2">
      <c r="P359" s="13"/>
    </row>
    <row r="360" spans="16:16" ht="15.75" customHeight="1" x14ac:dyDescent="0.2">
      <c r="P360" s="13"/>
    </row>
    <row r="361" spans="16:16" ht="15.75" customHeight="1" x14ac:dyDescent="0.2">
      <c r="P361" s="13"/>
    </row>
    <row r="362" spans="16:16" ht="15.75" customHeight="1" x14ac:dyDescent="0.2">
      <c r="P362" s="13"/>
    </row>
    <row r="363" spans="16:16" ht="15.75" customHeight="1" x14ac:dyDescent="0.2">
      <c r="P363" s="13"/>
    </row>
    <row r="364" spans="16:16" ht="15.75" customHeight="1" x14ac:dyDescent="0.2">
      <c r="P364" s="13"/>
    </row>
    <row r="365" spans="16:16" ht="15.75" customHeight="1" x14ac:dyDescent="0.2">
      <c r="P365" s="13"/>
    </row>
    <row r="366" spans="16:16" ht="15.75" customHeight="1" x14ac:dyDescent="0.2">
      <c r="P366" s="13"/>
    </row>
    <row r="367" spans="16:16" ht="15.75" customHeight="1" x14ac:dyDescent="0.2">
      <c r="P367" s="13"/>
    </row>
    <row r="368" spans="16:16" ht="15.75" customHeight="1" x14ac:dyDescent="0.2">
      <c r="P368" s="13"/>
    </row>
    <row r="369" spans="16:16" ht="15.75" customHeight="1" x14ac:dyDescent="0.2">
      <c r="P369" s="13"/>
    </row>
    <row r="370" spans="16:16" ht="15.75" customHeight="1" x14ac:dyDescent="0.2">
      <c r="P370" s="13"/>
    </row>
    <row r="371" spans="16:16" ht="15.75" customHeight="1" x14ac:dyDescent="0.2">
      <c r="P371" s="13"/>
    </row>
    <row r="372" spans="16:16" ht="15.75" customHeight="1" x14ac:dyDescent="0.2">
      <c r="P372" s="13"/>
    </row>
    <row r="373" spans="16:16" ht="15.75" customHeight="1" x14ac:dyDescent="0.2">
      <c r="P373" s="13"/>
    </row>
    <row r="374" spans="16:16" ht="15.75" customHeight="1" x14ac:dyDescent="0.2">
      <c r="P374" s="13"/>
    </row>
    <row r="375" spans="16:16" ht="15.75" customHeight="1" x14ac:dyDescent="0.2">
      <c r="P375" s="13"/>
    </row>
    <row r="376" spans="16:16" ht="15.75" customHeight="1" x14ac:dyDescent="0.2">
      <c r="P376" s="13"/>
    </row>
    <row r="377" spans="16:16" ht="15.75" customHeight="1" x14ac:dyDescent="0.2">
      <c r="P377" s="13"/>
    </row>
    <row r="378" spans="16:16" ht="15.75" customHeight="1" x14ac:dyDescent="0.2">
      <c r="P378" s="13"/>
    </row>
    <row r="379" spans="16:16" ht="15.75" customHeight="1" x14ac:dyDescent="0.2">
      <c r="P379" s="13"/>
    </row>
    <row r="380" spans="16:16" ht="15.75" customHeight="1" x14ac:dyDescent="0.2">
      <c r="P380" s="13"/>
    </row>
    <row r="381" spans="16:16" ht="15.75" customHeight="1" x14ac:dyDescent="0.2">
      <c r="P381" s="13"/>
    </row>
    <row r="382" spans="16:16" ht="15.75" customHeight="1" x14ac:dyDescent="0.2">
      <c r="P382" s="13"/>
    </row>
    <row r="383" spans="16:16" ht="15.75" customHeight="1" x14ac:dyDescent="0.2">
      <c r="P383" s="13"/>
    </row>
    <row r="384" spans="16:16" ht="15.75" customHeight="1" x14ac:dyDescent="0.2">
      <c r="P384" s="13"/>
    </row>
    <row r="385" spans="16:16" ht="15.75" customHeight="1" x14ac:dyDescent="0.2">
      <c r="P385" s="13"/>
    </row>
    <row r="386" spans="16:16" ht="15.75" customHeight="1" x14ac:dyDescent="0.2">
      <c r="P386" s="13"/>
    </row>
    <row r="387" spans="16:16" ht="15.75" customHeight="1" x14ac:dyDescent="0.2">
      <c r="P387" s="13"/>
    </row>
    <row r="388" spans="16:16" ht="15.75" customHeight="1" x14ac:dyDescent="0.2">
      <c r="P388" s="13"/>
    </row>
    <row r="389" spans="16:16" ht="15.75" customHeight="1" x14ac:dyDescent="0.2">
      <c r="P389" s="13"/>
    </row>
    <row r="390" spans="16:16" ht="15.75" customHeight="1" x14ac:dyDescent="0.2">
      <c r="P390" s="13"/>
    </row>
    <row r="391" spans="16:16" ht="15.75" customHeight="1" x14ac:dyDescent="0.2">
      <c r="P391" s="13"/>
    </row>
    <row r="392" spans="16:16" ht="15.75" customHeight="1" x14ac:dyDescent="0.2">
      <c r="P392" s="13"/>
    </row>
    <row r="393" spans="16:16" ht="15.75" customHeight="1" x14ac:dyDescent="0.2">
      <c r="P393" s="13"/>
    </row>
    <row r="394" spans="16:16" ht="15.75" customHeight="1" x14ac:dyDescent="0.2">
      <c r="P394" s="13"/>
    </row>
    <row r="395" spans="16:16" ht="15.75" customHeight="1" x14ac:dyDescent="0.2">
      <c r="P395" s="13"/>
    </row>
    <row r="396" spans="16:16" ht="15.75" customHeight="1" x14ac:dyDescent="0.2">
      <c r="P396" s="13"/>
    </row>
    <row r="397" spans="16:16" ht="15.75" customHeight="1" x14ac:dyDescent="0.2">
      <c r="P397" s="13"/>
    </row>
    <row r="398" spans="16:16" ht="15.75" customHeight="1" x14ac:dyDescent="0.2">
      <c r="P398" s="13"/>
    </row>
    <row r="399" spans="16:16" ht="15.75" customHeight="1" x14ac:dyDescent="0.2">
      <c r="P399" s="13"/>
    </row>
    <row r="400" spans="16:16" ht="15.75" customHeight="1" x14ac:dyDescent="0.2">
      <c r="P400" s="13"/>
    </row>
    <row r="401" spans="16:16" ht="15.75" customHeight="1" x14ac:dyDescent="0.2">
      <c r="P401" s="13"/>
    </row>
    <row r="402" spans="16:16" ht="15.75" customHeight="1" x14ac:dyDescent="0.2">
      <c r="P402" s="13"/>
    </row>
    <row r="403" spans="16:16" ht="15.75" customHeight="1" x14ac:dyDescent="0.2">
      <c r="P403" s="13"/>
    </row>
    <row r="404" spans="16:16" ht="15.75" customHeight="1" x14ac:dyDescent="0.2">
      <c r="P404" s="13"/>
    </row>
    <row r="405" spans="16:16" ht="15.75" customHeight="1" x14ac:dyDescent="0.2">
      <c r="P405" s="13"/>
    </row>
    <row r="406" spans="16:16" ht="15.75" customHeight="1" x14ac:dyDescent="0.2">
      <c r="P406" s="13"/>
    </row>
    <row r="407" spans="16:16" ht="15.75" customHeight="1" x14ac:dyDescent="0.2">
      <c r="P407" s="13"/>
    </row>
    <row r="408" spans="16:16" ht="15.75" customHeight="1" x14ac:dyDescent="0.2">
      <c r="P408" s="13"/>
    </row>
    <row r="409" spans="16:16" ht="15.75" customHeight="1" x14ac:dyDescent="0.2">
      <c r="P409" s="13"/>
    </row>
    <row r="410" spans="16:16" ht="15.75" customHeight="1" x14ac:dyDescent="0.2">
      <c r="P410" s="13"/>
    </row>
    <row r="411" spans="16:16" ht="15.75" customHeight="1" x14ac:dyDescent="0.2">
      <c r="P411" s="13"/>
    </row>
    <row r="412" spans="16:16" ht="15.75" customHeight="1" x14ac:dyDescent="0.2">
      <c r="P412" s="13"/>
    </row>
    <row r="413" spans="16:16" ht="15.75" customHeight="1" x14ac:dyDescent="0.2">
      <c r="P413" s="13"/>
    </row>
    <row r="414" spans="16:16" ht="15.75" customHeight="1" x14ac:dyDescent="0.2">
      <c r="P414" s="13"/>
    </row>
    <row r="415" spans="16:16" ht="15.75" customHeight="1" x14ac:dyDescent="0.2">
      <c r="P415" s="13"/>
    </row>
    <row r="416" spans="16:16" ht="15.75" customHeight="1" x14ac:dyDescent="0.2">
      <c r="P416" s="13"/>
    </row>
    <row r="417" spans="16:16" ht="15.75" customHeight="1" x14ac:dyDescent="0.2">
      <c r="P417" s="13"/>
    </row>
    <row r="418" spans="16:16" ht="15.75" customHeight="1" x14ac:dyDescent="0.2">
      <c r="P418" s="13"/>
    </row>
    <row r="419" spans="16:16" ht="15.75" customHeight="1" x14ac:dyDescent="0.2">
      <c r="P419" s="13"/>
    </row>
    <row r="420" spans="16:16" ht="15.75" customHeight="1" x14ac:dyDescent="0.2">
      <c r="P420" s="13"/>
    </row>
    <row r="421" spans="16:16" ht="15.75" customHeight="1" x14ac:dyDescent="0.2">
      <c r="P421" s="13"/>
    </row>
    <row r="422" spans="16:16" ht="15.75" customHeight="1" x14ac:dyDescent="0.2">
      <c r="P422" s="13"/>
    </row>
    <row r="423" spans="16:16" ht="15.75" customHeight="1" x14ac:dyDescent="0.2">
      <c r="P423" s="13"/>
    </row>
    <row r="424" spans="16:16" ht="15.75" customHeight="1" x14ac:dyDescent="0.2">
      <c r="P424" s="13"/>
    </row>
    <row r="425" spans="16:16" ht="15.75" customHeight="1" x14ac:dyDescent="0.2">
      <c r="P425" s="13"/>
    </row>
    <row r="426" spans="16:16" ht="15.75" customHeight="1" x14ac:dyDescent="0.2">
      <c r="P426" s="13"/>
    </row>
    <row r="427" spans="16:16" ht="15.75" customHeight="1" x14ac:dyDescent="0.2">
      <c r="P427" s="13"/>
    </row>
    <row r="428" spans="16:16" ht="15.75" customHeight="1" x14ac:dyDescent="0.2">
      <c r="P428" s="13"/>
    </row>
    <row r="429" spans="16:16" ht="15.75" customHeight="1" x14ac:dyDescent="0.2">
      <c r="P429" s="13"/>
    </row>
    <row r="430" spans="16:16" ht="15.75" customHeight="1" x14ac:dyDescent="0.2">
      <c r="P430" s="13"/>
    </row>
    <row r="431" spans="16:16" ht="15.75" customHeight="1" x14ac:dyDescent="0.2">
      <c r="P431" s="13"/>
    </row>
    <row r="432" spans="16:16" ht="15.75" customHeight="1" x14ac:dyDescent="0.2">
      <c r="P432" s="13"/>
    </row>
    <row r="433" spans="16:16" ht="15.75" customHeight="1" x14ac:dyDescent="0.2">
      <c r="P433" s="13"/>
    </row>
    <row r="434" spans="16:16" ht="15.75" customHeight="1" x14ac:dyDescent="0.2">
      <c r="P434" s="13"/>
    </row>
    <row r="435" spans="16:16" ht="15.75" customHeight="1" x14ac:dyDescent="0.2">
      <c r="P435" s="13"/>
    </row>
    <row r="436" spans="16:16" ht="15.75" customHeight="1" x14ac:dyDescent="0.2">
      <c r="P436" s="13"/>
    </row>
    <row r="437" spans="16:16" ht="15.75" customHeight="1" x14ac:dyDescent="0.2">
      <c r="P437" s="13"/>
    </row>
    <row r="438" spans="16:16" ht="15.75" customHeight="1" x14ac:dyDescent="0.2">
      <c r="P438" s="13"/>
    </row>
    <row r="439" spans="16:16" ht="15.75" customHeight="1" x14ac:dyDescent="0.2">
      <c r="P439" s="13"/>
    </row>
    <row r="440" spans="16:16" ht="15.75" customHeight="1" x14ac:dyDescent="0.2">
      <c r="P440" s="13"/>
    </row>
    <row r="441" spans="16:16" ht="15.75" customHeight="1" x14ac:dyDescent="0.2">
      <c r="P441" s="13"/>
    </row>
    <row r="442" spans="16:16" ht="15.75" customHeight="1" x14ac:dyDescent="0.2">
      <c r="P442" s="13"/>
    </row>
    <row r="443" spans="16:16" ht="15.75" customHeight="1" x14ac:dyDescent="0.2">
      <c r="P443" s="13"/>
    </row>
    <row r="444" spans="16:16" ht="15.75" customHeight="1" x14ac:dyDescent="0.2">
      <c r="P444" s="13"/>
    </row>
    <row r="445" spans="16:16" ht="15.75" customHeight="1" x14ac:dyDescent="0.2">
      <c r="P445" s="13"/>
    </row>
    <row r="446" spans="16:16" ht="15.75" customHeight="1" x14ac:dyDescent="0.2">
      <c r="P446" s="13"/>
    </row>
    <row r="447" spans="16:16" ht="15.75" customHeight="1" x14ac:dyDescent="0.2">
      <c r="P447" s="13"/>
    </row>
    <row r="448" spans="16:16" ht="15.75" customHeight="1" x14ac:dyDescent="0.2">
      <c r="P448" s="13"/>
    </row>
    <row r="449" spans="16:16" ht="15.75" customHeight="1" x14ac:dyDescent="0.2">
      <c r="P449" s="13"/>
    </row>
    <row r="450" spans="16:16" ht="15.75" customHeight="1" x14ac:dyDescent="0.2">
      <c r="P450" s="13"/>
    </row>
    <row r="451" spans="16:16" ht="15.75" customHeight="1" x14ac:dyDescent="0.2">
      <c r="P451" s="13"/>
    </row>
    <row r="452" spans="16:16" ht="15.75" customHeight="1" x14ac:dyDescent="0.2">
      <c r="P452" s="13"/>
    </row>
    <row r="453" spans="16:16" ht="15.75" customHeight="1" x14ac:dyDescent="0.2">
      <c r="P453" s="13"/>
    </row>
    <row r="454" spans="16:16" ht="15.75" customHeight="1" x14ac:dyDescent="0.2">
      <c r="P454" s="13"/>
    </row>
    <row r="455" spans="16:16" ht="15.75" customHeight="1" x14ac:dyDescent="0.2">
      <c r="P455" s="13"/>
    </row>
    <row r="456" spans="16:16" ht="15.75" customHeight="1" x14ac:dyDescent="0.2">
      <c r="P456" s="13"/>
    </row>
    <row r="457" spans="16:16" ht="15.75" customHeight="1" x14ac:dyDescent="0.2">
      <c r="P457" s="13"/>
    </row>
    <row r="458" spans="16:16" ht="15.75" customHeight="1" x14ac:dyDescent="0.2">
      <c r="P458" s="13"/>
    </row>
    <row r="459" spans="16:16" ht="15.75" customHeight="1" x14ac:dyDescent="0.2">
      <c r="P459" s="13"/>
    </row>
    <row r="460" spans="16:16" ht="15.75" customHeight="1" x14ac:dyDescent="0.2">
      <c r="P460" s="13"/>
    </row>
    <row r="461" spans="16:16" ht="15.75" customHeight="1" x14ac:dyDescent="0.2">
      <c r="P461" s="13"/>
    </row>
    <row r="462" spans="16:16" ht="15.75" customHeight="1" x14ac:dyDescent="0.2">
      <c r="P462" s="13"/>
    </row>
    <row r="463" spans="16:16" ht="15.75" customHeight="1" x14ac:dyDescent="0.2">
      <c r="P463" s="13"/>
    </row>
    <row r="464" spans="16:16" ht="15.75" customHeight="1" x14ac:dyDescent="0.2">
      <c r="P464" s="13"/>
    </row>
    <row r="465" spans="16:16" ht="15.75" customHeight="1" x14ac:dyDescent="0.2">
      <c r="P465" s="13"/>
    </row>
    <row r="466" spans="16:16" ht="15.75" customHeight="1" x14ac:dyDescent="0.2">
      <c r="P466" s="13"/>
    </row>
    <row r="467" spans="16:16" ht="15.75" customHeight="1" x14ac:dyDescent="0.2">
      <c r="P467" s="13"/>
    </row>
    <row r="468" spans="16:16" ht="15.75" customHeight="1" x14ac:dyDescent="0.2">
      <c r="P468" s="13"/>
    </row>
    <row r="469" spans="16:16" ht="15.75" customHeight="1" x14ac:dyDescent="0.2">
      <c r="P469" s="13"/>
    </row>
    <row r="470" spans="16:16" ht="15.75" customHeight="1" x14ac:dyDescent="0.2">
      <c r="P470" s="13"/>
    </row>
    <row r="471" spans="16:16" ht="15.75" customHeight="1" x14ac:dyDescent="0.2">
      <c r="P471" s="13"/>
    </row>
    <row r="472" spans="16:16" ht="15.75" customHeight="1" x14ac:dyDescent="0.2">
      <c r="P472" s="13"/>
    </row>
    <row r="473" spans="16:16" ht="15.75" customHeight="1" x14ac:dyDescent="0.2">
      <c r="P473" s="13"/>
    </row>
    <row r="474" spans="16:16" ht="15.75" customHeight="1" x14ac:dyDescent="0.2">
      <c r="P474" s="13"/>
    </row>
    <row r="475" spans="16:16" ht="15.75" customHeight="1" x14ac:dyDescent="0.2">
      <c r="P475" s="13"/>
    </row>
    <row r="476" spans="16:16" ht="15.75" customHeight="1" x14ac:dyDescent="0.2">
      <c r="P476" s="13"/>
    </row>
    <row r="477" spans="16:16" ht="15.75" customHeight="1" x14ac:dyDescent="0.2">
      <c r="P477" s="13"/>
    </row>
    <row r="478" spans="16:16" ht="15.75" customHeight="1" x14ac:dyDescent="0.2">
      <c r="P478" s="13"/>
    </row>
    <row r="479" spans="16:16" ht="15.75" customHeight="1" x14ac:dyDescent="0.2">
      <c r="P479" s="13"/>
    </row>
    <row r="480" spans="16:16" ht="15.75" customHeight="1" x14ac:dyDescent="0.2">
      <c r="P480" s="13"/>
    </row>
    <row r="481" spans="16:16" ht="15.75" customHeight="1" x14ac:dyDescent="0.2">
      <c r="P481" s="13"/>
    </row>
    <row r="482" spans="16:16" ht="15.75" customHeight="1" x14ac:dyDescent="0.2">
      <c r="P482" s="13"/>
    </row>
    <row r="483" spans="16:16" ht="15.75" customHeight="1" x14ac:dyDescent="0.2">
      <c r="P483" s="13"/>
    </row>
    <row r="484" spans="16:16" ht="15.75" customHeight="1" x14ac:dyDescent="0.2">
      <c r="P484" s="13"/>
    </row>
    <row r="485" spans="16:16" ht="15.75" customHeight="1" x14ac:dyDescent="0.2">
      <c r="P485" s="13"/>
    </row>
    <row r="486" spans="16:16" ht="15.75" customHeight="1" x14ac:dyDescent="0.2">
      <c r="P486" s="13"/>
    </row>
    <row r="487" spans="16:16" ht="15.75" customHeight="1" x14ac:dyDescent="0.2">
      <c r="P487" s="13"/>
    </row>
    <row r="488" spans="16:16" ht="15.75" customHeight="1" x14ac:dyDescent="0.2">
      <c r="P488" s="13"/>
    </row>
    <row r="489" spans="16:16" ht="15.75" customHeight="1" x14ac:dyDescent="0.2">
      <c r="P489" s="13"/>
    </row>
    <row r="490" spans="16:16" ht="15.75" customHeight="1" x14ac:dyDescent="0.2">
      <c r="P490" s="13"/>
    </row>
    <row r="491" spans="16:16" ht="15.75" customHeight="1" x14ac:dyDescent="0.2">
      <c r="P491" s="13"/>
    </row>
    <row r="492" spans="16:16" ht="15.75" customHeight="1" x14ac:dyDescent="0.2">
      <c r="P492" s="13"/>
    </row>
    <row r="493" spans="16:16" ht="15.75" customHeight="1" x14ac:dyDescent="0.2">
      <c r="P493" s="13"/>
    </row>
    <row r="494" spans="16:16" ht="15.75" customHeight="1" x14ac:dyDescent="0.2">
      <c r="P494" s="13"/>
    </row>
    <row r="495" spans="16:16" ht="15.75" customHeight="1" x14ac:dyDescent="0.2">
      <c r="P495" s="13"/>
    </row>
    <row r="496" spans="16:16" ht="15.75" customHeight="1" x14ac:dyDescent="0.2">
      <c r="P496" s="13"/>
    </row>
    <row r="497" spans="16:16" ht="15.75" customHeight="1" x14ac:dyDescent="0.2">
      <c r="P497" s="13"/>
    </row>
    <row r="498" spans="16:16" ht="15.75" customHeight="1" x14ac:dyDescent="0.2">
      <c r="P498" s="13"/>
    </row>
    <row r="499" spans="16:16" ht="15.75" customHeight="1" x14ac:dyDescent="0.2">
      <c r="P499" s="13"/>
    </row>
    <row r="500" spans="16:16" ht="15.75" customHeight="1" x14ac:dyDescent="0.2">
      <c r="P500" s="13"/>
    </row>
    <row r="501" spans="16:16" ht="15.75" customHeight="1" x14ac:dyDescent="0.2">
      <c r="P501" s="13"/>
    </row>
    <row r="502" spans="16:16" ht="15.75" customHeight="1" x14ac:dyDescent="0.2">
      <c r="P502" s="13"/>
    </row>
    <row r="503" spans="16:16" ht="15.75" customHeight="1" x14ac:dyDescent="0.2">
      <c r="P503" s="13"/>
    </row>
    <row r="504" spans="16:16" ht="15.75" customHeight="1" x14ac:dyDescent="0.2">
      <c r="P504" s="13"/>
    </row>
    <row r="505" spans="16:16" ht="15.75" customHeight="1" x14ac:dyDescent="0.2">
      <c r="P505" s="13"/>
    </row>
    <row r="506" spans="16:16" ht="15.75" customHeight="1" x14ac:dyDescent="0.2">
      <c r="P506" s="13"/>
    </row>
    <row r="507" spans="16:16" ht="15.75" customHeight="1" x14ac:dyDescent="0.2">
      <c r="P507" s="13"/>
    </row>
    <row r="508" spans="16:16" ht="15.75" customHeight="1" x14ac:dyDescent="0.2">
      <c r="P508" s="13"/>
    </row>
    <row r="509" spans="16:16" ht="15.75" customHeight="1" x14ac:dyDescent="0.2">
      <c r="P509" s="13"/>
    </row>
    <row r="510" spans="16:16" ht="15.75" customHeight="1" x14ac:dyDescent="0.2">
      <c r="P510" s="13"/>
    </row>
    <row r="511" spans="16:16" ht="15.75" customHeight="1" x14ac:dyDescent="0.2">
      <c r="P511" s="13"/>
    </row>
    <row r="512" spans="16:16" ht="15.75" customHeight="1" x14ac:dyDescent="0.2">
      <c r="P512" s="13"/>
    </row>
    <row r="513" spans="16:16" ht="15.75" customHeight="1" x14ac:dyDescent="0.2">
      <c r="P513" s="13"/>
    </row>
    <row r="514" spans="16:16" ht="15.75" customHeight="1" x14ac:dyDescent="0.2">
      <c r="P514" s="13"/>
    </row>
    <row r="515" spans="16:16" ht="15.75" customHeight="1" x14ac:dyDescent="0.2">
      <c r="P515" s="13"/>
    </row>
    <row r="516" spans="16:16" ht="15.75" customHeight="1" x14ac:dyDescent="0.2">
      <c r="P516" s="13"/>
    </row>
    <row r="517" spans="16:16" ht="15.75" customHeight="1" x14ac:dyDescent="0.2">
      <c r="P517" s="13"/>
    </row>
    <row r="518" spans="16:16" ht="15.75" customHeight="1" x14ac:dyDescent="0.2">
      <c r="P518" s="13"/>
    </row>
    <row r="519" spans="16:16" ht="15.75" customHeight="1" x14ac:dyDescent="0.2">
      <c r="P519" s="13"/>
    </row>
    <row r="520" spans="16:16" ht="15.75" customHeight="1" x14ac:dyDescent="0.2">
      <c r="P520" s="13"/>
    </row>
    <row r="521" spans="16:16" ht="15.75" customHeight="1" x14ac:dyDescent="0.2">
      <c r="P521" s="13"/>
    </row>
    <row r="522" spans="16:16" ht="15.75" customHeight="1" x14ac:dyDescent="0.2">
      <c r="P522" s="13"/>
    </row>
    <row r="523" spans="16:16" ht="15.75" customHeight="1" x14ac:dyDescent="0.2">
      <c r="P523" s="13"/>
    </row>
    <row r="524" spans="16:16" ht="15.75" customHeight="1" x14ac:dyDescent="0.2">
      <c r="P524" s="13"/>
    </row>
    <row r="525" spans="16:16" ht="15.75" customHeight="1" x14ac:dyDescent="0.2">
      <c r="P525" s="13"/>
    </row>
    <row r="526" spans="16:16" ht="15.75" customHeight="1" x14ac:dyDescent="0.2">
      <c r="P526" s="13"/>
    </row>
    <row r="527" spans="16:16" ht="15.75" customHeight="1" x14ac:dyDescent="0.2">
      <c r="P527" s="13"/>
    </row>
    <row r="528" spans="16:16" ht="15.75" customHeight="1" x14ac:dyDescent="0.2">
      <c r="P528" s="13"/>
    </row>
    <row r="529" spans="16:16" ht="15.75" customHeight="1" x14ac:dyDescent="0.2">
      <c r="P529" s="13"/>
    </row>
    <row r="530" spans="16:16" ht="15.75" customHeight="1" x14ac:dyDescent="0.2">
      <c r="P530" s="13"/>
    </row>
    <row r="531" spans="16:16" ht="15.75" customHeight="1" x14ac:dyDescent="0.2">
      <c r="P531" s="13"/>
    </row>
    <row r="532" spans="16:16" ht="15.75" customHeight="1" x14ac:dyDescent="0.2">
      <c r="P532" s="13"/>
    </row>
    <row r="533" spans="16:16" ht="15.75" customHeight="1" x14ac:dyDescent="0.2">
      <c r="P533" s="13"/>
    </row>
    <row r="534" spans="16:16" ht="15.75" customHeight="1" x14ac:dyDescent="0.2">
      <c r="P534" s="13"/>
    </row>
    <row r="535" spans="16:16" ht="15.75" customHeight="1" x14ac:dyDescent="0.2">
      <c r="P535" s="13"/>
    </row>
    <row r="536" spans="16:16" ht="15.75" customHeight="1" x14ac:dyDescent="0.2">
      <c r="P536" s="13"/>
    </row>
    <row r="537" spans="16:16" ht="15.75" customHeight="1" x14ac:dyDescent="0.2">
      <c r="P537" s="13"/>
    </row>
    <row r="538" spans="16:16" ht="15.75" customHeight="1" x14ac:dyDescent="0.2">
      <c r="P538" s="13"/>
    </row>
    <row r="539" spans="16:16" ht="15.75" customHeight="1" x14ac:dyDescent="0.2">
      <c r="P539" s="13"/>
    </row>
    <row r="540" spans="16:16" ht="15.75" customHeight="1" x14ac:dyDescent="0.2">
      <c r="P540" s="13"/>
    </row>
    <row r="541" spans="16:16" ht="15.75" customHeight="1" x14ac:dyDescent="0.2">
      <c r="P541" s="13"/>
    </row>
    <row r="542" spans="16:16" ht="15.75" customHeight="1" x14ac:dyDescent="0.2">
      <c r="P542" s="13"/>
    </row>
    <row r="543" spans="16:16" ht="15.75" customHeight="1" x14ac:dyDescent="0.2">
      <c r="P543" s="13"/>
    </row>
    <row r="544" spans="16:16" ht="15.75" customHeight="1" x14ac:dyDescent="0.2">
      <c r="P544" s="13"/>
    </row>
    <row r="545" spans="16:16" ht="15.75" customHeight="1" x14ac:dyDescent="0.2">
      <c r="P545" s="13"/>
    </row>
    <row r="546" spans="16:16" ht="15.75" customHeight="1" x14ac:dyDescent="0.2">
      <c r="P546" s="13"/>
    </row>
    <row r="547" spans="16:16" ht="15.75" customHeight="1" x14ac:dyDescent="0.2">
      <c r="P547" s="13"/>
    </row>
    <row r="548" spans="16:16" ht="15.75" customHeight="1" x14ac:dyDescent="0.2">
      <c r="P548" s="13"/>
    </row>
    <row r="549" spans="16:16" ht="15.75" customHeight="1" x14ac:dyDescent="0.2">
      <c r="P549" s="13"/>
    </row>
    <row r="550" spans="16:16" ht="15.75" customHeight="1" x14ac:dyDescent="0.2">
      <c r="P550" s="13"/>
    </row>
    <row r="551" spans="16:16" ht="15.75" customHeight="1" x14ac:dyDescent="0.2">
      <c r="P551" s="13"/>
    </row>
    <row r="552" spans="16:16" ht="15.75" customHeight="1" x14ac:dyDescent="0.2">
      <c r="P552" s="13"/>
    </row>
    <row r="553" spans="16:16" ht="15.75" customHeight="1" x14ac:dyDescent="0.2">
      <c r="P553" s="13"/>
    </row>
    <row r="554" spans="16:16" ht="15.75" customHeight="1" x14ac:dyDescent="0.2">
      <c r="P554" s="13"/>
    </row>
    <row r="555" spans="16:16" ht="15.75" customHeight="1" x14ac:dyDescent="0.2">
      <c r="P555" s="13"/>
    </row>
    <row r="556" spans="16:16" ht="15.75" customHeight="1" x14ac:dyDescent="0.2">
      <c r="P556" s="13"/>
    </row>
    <row r="557" spans="16:16" ht="15.75" customHeight="1" x14ac:dyDescent="0.2">
      <c r="P557" s="13"/>
    </row>
    <row r="558" spans="16:16" ht="15.75" customHeight="1" x14ac:dyDescent="0.2">
      <c r="P558" s="13"/>
    </row>
    <row r="559" spans="16:16" ht="15.75" customHeight="1" x14ac:dyDescent="0.2">
      <c r="P559" s="13"/>
    </row>
    <row r="560" spans="16:16" ht="15.75" customHeight="1" x14ac:dyDescent="0.2">
      <c r="P560" s="13"/>
    </row>
    <row r="561" spans="16:16" ht="15.75" customHeight="1" x14ac:dyDescent="0.2">
      <c r="P561" s="13"/>
    </row>
    <row r="562" spans="16:16" ht="15.75" customHeight="1" x14ac:dyDescent="0.2">
      <c r="P562" s="13"/>
    </row>
    <row r="563" spans="16:16" ht="15.75" customHeight="1" x14ac:dyDescent="0.2">
      <c r="P563" s="13"/>
    </row>
    <row r="564" spans="16:16" ht="15.75" customHeight="1" x14ac:dyDescent="0.2">
      <c r="P564" s="13"/>
    </row>
    <row r="565" spans="16:16" ht="15.75" customHeight="1" x14ac:dyDescent="0.2">
      <c r="P565" s="13"/>
    </row>
    <row r="566" spans="16:16" ht="15.75" customHeight="1" x14ac:dyDescent="0.2">
      <c r="P566" s="13"/>
    </row>
    <row r="567" spans="16:16" ht="15.75" customHeight="1" x14ac:dyDescent="0.2">
      <c r="P567" s="13"/>
    </row>
    <row r="568" spans="16:16" ht="15.75" customHeight="1" x14ac:dyDescent="0.2">
      <c r="P568" s="13"/>
    </row>
    <row r="569" spans="16:16" ht="15.75" customHeight="1" x14ac:dyDescent="0.2">
      <c r="P569" s="13"/>
    </row>
    <row r="570" spans="16:16" ht="15.75" customHeight="1" x14ac:dyDescent="0.2">
      <c r="P570" s="13"/>
    </row>
    <row r="571" spans="16:16" ht="15.75" customHeight="1" x14ac:dyDescent="0.2">
      <c r="P571" s="13"/>
    </row>
    <row r="572" spans="16:16" ht="15.75" customHeight="1" x14ac:dyDescent="0.2">
      <c r="P572" s="13"/>
    </row>
    <row r="573" spans="16:16" ht="15.75" customHeight="1" x14ac:dyDescent="0.2">
      <c r="P573" s="13"/>
    </row>
    <row r="574" spans="16:16" ht="15.75" customHeight="1" x14ac:dyDescent="0.2">
      <c r="P574" s="13"/>
    </row>
    <row r="575" spans="16:16" ht="15.75" customHeight="1" x14ac:dyDescent="0.2">
      <c r="P575" s="13"/>
    </row>
    <row r="576" spans="16:16" ht="15.75" customHeight="1" x14ac:dyDescent="0.2">
      <c r="P576" s="13"/>
    </row>
    <row r="577" spans="16:16" ht="15.75" customHeight="1" x14ac:dyDescent="0.2">
      <c r="P577" s="13"/>
    </row>
    <row r="578" spans="16:16" ht="15.75" customHeight="1" x14ac:dyDescent="0.2">
      <c r="P578" s="13"/>
    </row>
    <row r="579" spans="16:16" ht="15.75" customHeight="1" x14ac:dyDescent="0.2">
      <c r="P579" s="13"/>
    </row>
    <row r="580" spans="16:16" ht="15.75" customHeight="1" x14ac:dyDescent="0.2">
      <c r="P580" s="13"/>
    </row>
    <row r="581" spans="16:16" ht="15.75" customHeight="1" x14ac:dyDescent="0.2">
      <c r="P581" s="13"/>
    </row>
    <row r="582" spans="16:16" ht="15.75" customHeight="1" x14ac:dyDescent="0.2">
      <c r="P582" s="13"/>
    </row>
    <row r="583" spans="16:16" ht="15.75" customHeight="1" x14ac:dyDescent="0.2">
      <c r="P583" s="13"/>
    </row>
    <row r="584" spans="16:16" ht="15.75" customHeight="1" x14ac:dyDescent="0.2">
      <c r="P584" s="13"/>
    </row>
    <row r="585" spans="16:16" ht="15.75" customHeight="1" x14ac:dyDescent="0.2">
      <c r="P585" s="13"/>
    </row>
    <row r="586" spans="16:16" ht="15.75" customHeight="1" x14ac:dyDescent="0.2">
      <c r="P586" s="13"/>
    </row>
    <row r="587" spans="16:16" ht="15.75" customHeight="1" x14ac:dyDescent="0.2">
      <c r="P587" s="13"/>
    </row>
    <row r="588" spans="16:16" ht="15.75" customHeight="1" x14ac:dyDescent="0.2">
      <c r="P588" s="13"/>
    </row>
    <row r="589" spans="16:16" ht="15.75" customHeight="1" x14ac:dyDescent="0.2">
      <c r="P589" s="13"/>
    </row>
    <row r="590" spans="16:16" ht="15.75" customHeight="1" x14ac:dyDescent="0.2">
      <c r="P590" s="13"/>
    </row>
    <row r="591" spans="16:16" ht="15.75" customHeight="1" x14ac:dyDescent="0.2">
      <c r="P591" s="13"/>
    </row>
    <row r="592" spans="16:16" ht="15.75" customHeight="1" x14ac:dyDescent="0.2">
      <c r="P592" s="13"/>
    </row>
    <row r="593" spans="16:16" ht="15.75" customHeight="1" x14ac:dyDescent="0.2">
      <c r="P593" s="13"/>
    </row>
    <row r="594" spans="16:16" ht="15.75" customHeight="1" x14ac:dyDescent="0.2">
      <c r="P594" s="13"/>
    </row>
    <row r="595" spans="16:16" ht="15.75" customHeight="1" x14ac:dyDescent="0.2">
      <c r="P595" s="13"/>
    </row>
    <row r="596" spans="16:16" ht="15.75" customHeight="1" x14ac:dyDescent="0.2">
      <c r="P596" s="13"/>
    </row>
    <row r="597" spans="16:16" ht="15.75" customHeight="1" x14ac:dyDescent="0.2">
      <c r="P597" s="13"/>
    </row>
    <row r="598" spans="16:16" ht="15.75" customHeight="1" x14ac:dyDescent="0.2">
      <c r="P598" s="13"/>
    </row>
    <row r="599" spans="16:16" ht="15.75" customHeight="1" x14ac:dyDescent="0.2">
      <c r="P599" s="13"/>
    </row>
    <row r="600" spans="16:16" ht="15.75" customHeight="1" x14ac:dyDescent="0.2">
      <c r="P600" s="13"/>
    </row>
    <row r="601" spans="16:16" ht="15.75" customHeight="1" x14ac:dyDescent="0.2">
      <c r="P601" s="13"/>
    </row>
    <row r="602" spans="16:16" ht="15.75" customHeight="1" x14ac:dyDescent="0.2">
      <c r="P602" s="13"/>
    </row>
    <row r="603" spans="16:16" ht="15.75" customHeight="1" x14ac:dyDescent="0.2">
      <c r="P603" s="13"/>
    </row>
    <row r="604" spans="16:16" ht="15.75" customHeight="1" x14ac:dyDescent="0.2">
      <c r="P604" s="13"/>
    </row>
    <row r="605" spans="16:16" ht="15.75" customHeight="1" x14ac:dyDescent="0.2">
      <c r="P605" s="13"/>
    </row>
    <row r="606" spans="16:16" ht="15.75" customHeight="1" x14ac:dyDescent="0.2">
      <c r="P606" s="13"/>
    </row>
    <row r="607" spans="16:16" ht="15.75" customHeight="1" x14ac:dyDescent="0.2">
      <c r="P607" s="13"/>
    </row>
    <row r="608" spans="16:16" ht="15.75" customHeight="1" x14ac:dyDescent="0.2">
      <c r="P608" s="13"/>
    </row>
    <row r="609" spans="16:16" ht="15.75" customHeight="1" x14ac:dyDescent="0.2">
      <c r="P609" s="13"/>
    </row>
    <row r="610" spans="16:16" ht="15.75" customHeight="1" x14ac:dyDescent="0.2">
      <c r="P610" s="13"/>
    </row>
    <row r="611" spans="16:16" ht="15.75" customHeight="1" x14ac:dyDescent="0.2">
      <c r="P611" s="13"/>
    </row>
    <row r="612" spans="16:16" ht="15.75" customHeight="1" x14ac:dyDescent="0.2">
      <c r="P612" s="13"/>
    </row>
    <row r="613" spans="16:16" ht="15.75" customHeight="1" x14ac:dyDescent="0.2">
      <c r="P613" s="13"/>
    </row>
    <row r="614" spans="16:16" ht="15.75" customHeight="1" x14ac:dyDescent="0.2">
      <c r="P614" s="13"/>
    </row>
    <row r="615" spans="16:16" ht="15.75" customHeight="1" x14ac:dyDescent="0.2">
      <c r="P615" s="13"/>
    </row>
    <row r="616" spans="16:16" ht="15.75" customHeight="1" x14ac:dyDescent="0.2">
      <c r="P616" s="13"/>
    </row>
    <row r="617" spans="16:16" ht="15.75" customHeight="1" x14ac:dyDescent="0.2">
      <c r="P617" s="13"/>
    </row>
    <row r="618" spans="16:16" ht="15.75" customHeight="1" x14ac:dyDescent="0.2">
      <c r="P618" s="13"/>
    </row>
    <row r="619" spans="16:16" ht="15.75" customHeight="1" x14ac:dyDescent="0.2">
      <c r="P619" s="13"/>
    </row>
    <row r="620" spans="16:16" ht="15.75" customHeight="1" x14ac:dyDescent="0.2">
      <c r="P620" s="13"/>
    </row>
    <row r="621" spans="16:16" ht="15.75" customHeight="1" x14ac:dyDescent="0.2">
      <c r="P621" s="13"/>
    </row>
    <row r="622" spans="16:16" ht="15.75" customHeight="1" x14ac:dyDescent="0.2">
      <c r="P622" s="13"/>
    </row>
    <row r="623" spans="16:16" ht="15.75" customHeight="1" x14ac:dyDescent="0.2">
      <c r="P623" s="13"/>
    </row>
    <row r="624" spans="16:16" ht="15.75" customHeight="1" x14ac:dyDescent="0.2">
      <c r="P624" s="13"/>
    </row>
    <row r="625" spans="16:16" ht="15.75" customHeight="1" x14ac:dyDescent="0.2">
      <c r="P625" s="13"/>
    </row>
    <row r="626" spans="16:16" ht="15.75" customHeight="1" x14ac:dyDescent="0.2">
      <c r="P626" s="13"/>
    </row>
    <row r="627" spans="16:16" ht="15.75" customHeight="1" x14ac:dyDescent="0.2">
      <c r="P627" s="13"/>
    </row>
    <row r="628" spans="16:16" ht="15.75" customHeight="1" x14ac:dyDescent="0.2">
      <c r="P628" s="13"/>
    </row>
    <row r="629" spans="16:16" ht="15.75" customHeight="1" x14ac:dyDescent="0.2">
      <c r="P629" s="13"/>
    </row>
    <row r="630" spans="16:16" ht="15.75" customHeight="1" x14ac:dyDescent="0.2">
      <c r="P630" s="13"/>
    </row>
    <row r="631" spans="16:16" ht="15.75" customHeight="1" x14ac:dyDescent="0.2">
      <c r="P631" s="13"/>
    </row>
    <row r="632" spans="16:16" ht="15.75" customHeight="1" x14ac:dyDescent="0.2">
      <c r="P632" s="13"/>
    </row>
    <row r="633" spans="16:16" ht="15.75" customHeight="1" x14ac:dyDescent="0.2">
      <c r="P633" s="13"/>
    </row>
    <row r="634" spans="16:16" ht="15.75" customHeight="1" x14ac:dyDescent="0.2">
      <c r="P634" s="13"/>
    </row>
    <row r="635" spans="16:16" ht="15.75" customHeight="1" x14ac:dyDescent="0.2">
      <c r="P635" s="13"/>
    </row>
    <row r="636" spans="16:16" ht="15.75" customHeight="1" x14ac:dyDescent="0.2">
      <c r="P636" s="13"/>
    </row>
    <row r="637" spans="16:16" ht="15.75" customHeight="1" x14ac:dyDescent="0.2">
      <c r="P637" s="13"/>
    </row>
    <row r="638" spans="16:16" ht="15.75" customHeight="1" x14ac:dyDescent="0.2">
      <c r="P638" s="13"/>
    </row>
    <row r="639" spans="16:16" ht="15.75" customHeight="1" x14ac:dyDescent="0.2">
      <c r="P639" s="13"/>
    </row>
    <row r="640" spans="16:16" ht="15.75" customHeight="1" x14ac:dyDescent="0.2">
      <c r="P640" s="13"/>
    </row>
    <row r="641" spans="16:16" ht="15.75" customHeight="1" x14ac:dyDescent="0.2">
      <c r="P641" s="13"/>
    </row>
    <row r="642" spans="16:16" ht="15.75" customHeight="1" x14ac:dyDescent="0.2">
      <c r="P642" s="13"/>
    </row>
    <row r="643" spans="16:16" ht="15.75" customHeight="1" x14ac:dyDescent="0.2">
      <c r="P643" s="13"/>
    </row>
    <row r="644" spans="16:16" ht="15.75" customHeight="1" x14ac:dyDescent="0.2">
      <c r="P644" s="13"/>
    </row>
    <row r="645" spans="16:16" ht="15.75" customHeight="1" x14ac:dyDescent="0.2">
      <c r="P645" s="13"/>
    </row>
    <row r="646" spans="16:16" ht="15.75" customHeight="1" x14ac:dyDescent="0.2">
      <c r="P646" s="13"/>
    </row>
    <row r="647" spans="16:16" ht="15.75" customHeight="1" x14ac:dyDescent="0.2">
      <c r="P647" s="13"/>
    </row>
    <row r="648" spans="16:16" ht="15.75" customHeight="1" x14ac:dyDescent="0.2">
      <c r="P648" s="13"/>
    </row>
    <row r="649" spans="16:16" ht="15.75" customHeight="1" x14ac:dyDescent="0.2">
      <c r="P649" s="13"/>
    </row>
    <row r="650" spans="16:16" ht="15.75" customHeight="1" x14ac:dyDescent="0.2">
      <c r="P650" s="13"/>
    </row>
    <row r="651" spans="16:16" ht="15.75" customHeight="1" x14ac:dyDescent="0.2">
      <c r="P651" s="13"/>
    </row>
    <row r="652" spans="16:16" ht="15.75" customHeight="1" x14ac:dyDescent="0.2">
      <c r="P652" s="13"/>
    </row>
    <row r="653" spans="16:16" ht="15.75" customHeight="1" x14ac:dyDescent="0.2">
      <c r="P653" s="13"/>
    </row>
    <row r="654" spans="16:16" ht="15.75" customHeight="1" x14ac:dyDescent="0.2">
      <c r="P654" s="13"/>
    </row>
    <row r="655" spans="16:16" ht="15.75" customHeight="1" x14ac:dyDescent="0.2">
      <c r="P655" s="13"/>
    </row>
    <row r="656" spans="16:16" ht="15.75" customHeight="1" x14ac:dyDescent="0.2">
      <c r="P656" s="13"/>
    </row>
    <row r="657" spans="16:16" ht="15.75" customHeight="1" x14ac:dyDescent="0.2">
      <c r="P657" s="13"/>
    </row>
    <row r="658" spans="16:16" ht="15.75" customHeight="1" x14ac:dyDescent="0.2">
      <c r="P658" s="13"/>
    </row>
    <row r="659" spans="16:16" ht="15.75" customHeight="1" x14ac:dyDescent="0.2">
      <c r="P659" s="13"/>
    </row>
    <row r="660" spans="16:16" ht="15.75" customHeight="1" x14ac:dyDescent="0.2">
      <c r="P660" s="13"/>
    </row>
    <row r="661" spans="16:16" ht="15.75" customHeight="1" x14ac:dyDescent="0.2">
      <c r="P661" s="13"/>
    </row>
    <row r="662" spans="16:16" ht="15.75" customHeight="1" x14ac:dyDescent="0.2">
      <c r="P662" s="13"/>
    </row>
    <row r="663" spans="16:16" ht="15.75" customHeight="1" x14ac:dyDescent="0.2">
      <c r="P663" s="13"/>
    </row>
    <row r="664" spans="16:16" ht="15.75" customHeight="1" x14ac:dyDescent="0.2">
      <c r="P664" s="13"/>
    </row>
    <row r="665" spans="16:16" ht="15.75" customHeight="1" x14ac:dyDescent="0.2">
      <c r="P665" s="13"/>
    </row>
    <row r="666" spans="16:16" ht="15.75" customHeight="1" x14ac:dyDescent="0.2">
      <c r="P666" s="13"/>
    </row>
    <row r="667" spans="16:16" ht="15.75" customHeight="1" x14ac:dyDescent="0.2">
      <c r="P667" s="13"/>
    </row>
    <row r="668" spans="16:16" ht="15.75" customHeight="1" x14ac:dyDescent="0.2">
      <c r="P668" s="13"/>
    </row>
    <row r="669" spans="16:16" ht="15.75" customHeight="1" x14ac:dyDescent="0.2">
      <c r="P669" s="13"/>
    </row>
    <row r="670" spans="16:16" ht="15.75" customHeight="1" x14ac:dyDescent="0.2">
      <c r="P670" s="13"/>
    </row>
    <row r="671" spans="16:16" ht="15.75" customHeight="1" x14ac:dyDescent="0.2">
      <c r="P671" s="13"/>
    </row>
    <row r="672" spans="16:16" ht="15.75" customHeight="1" x14ac:dyDescent="0.2">
      <c r="P672" s="13"/>
    </row>
    <row r="673" spans="16:16" ht="15.75" customHeight="1" x14ac:dyDescent="0.2">
      <c r="P673" s="13"/>
    </row>
    <row r="674" spans="16:16" ht="15.75" customHeight="1" x14ac:dyDescent="0.2">
      <c r="P674" s="13"/>
    </row>
    <row r="675" spans="16:16" ht="15.75" customHeight="1" x14ac:dyDescent="0.2">
      <c r="P675" s="13"/>
    </row>
    <row r="676" spans="16:16" ht="15.75" customHeight="1" x14ac:dyDescent="0.2">
      <c r="P676" s="13"/>
    </row>
    <row r="677" spans="16:16" ht="15.75" customHeight="1" x14ac:dyDescent="0.2">
      <c r="P677" s="13"/>
    </row>
    <row r="678" spans="16:16" ht="15.75" customHeight="1" x14ac:dyDescent="0.2">
      <c r="P678" s="13"/>
    </row>
    <row r="679" spans="16:16" ht="15.75" customHeight="1" x14ac:dyDescent="0.2">
      <c r="P679" s="13"/>
    </row>
    <row r="680" spans="16:16" ht="15.75" customHeight="1" x14ac:dyDescent="0.2">
      <c r="P680" s="13"/>
    </row>
    <row r="681" spans="16:16" ht="15.75" customHeight="1" x14ac:dyDescent="0.2">
      <c r="P681" s="13"/>
    </row>
    <row r="682" spans="16:16" ht="15.75" customHeight="1" x14ac:dyDescent="0.2">
      <c r="P682" s="13"/>
    </row>
    <row r="683" spans="16:16" ht="15.75" customHeight="1" x14ac:dyDescent="0.2">
      <c r="P683" s="13"/>
    </row>
    <row r="684" spans="16:16" ht="15.75" customHeight="1" x14ac:dyDescent="0.2">
      <c r="P684" s="13"/>
    </row>
    <row r="685" spans="16:16" ht="15.75" customHeight="1" x14ac:dyDescent="0.2">
      <c r="P685" s="13"/>
    </row>
    <row r="686" spans="16:16" ht="15.75" customHeight="1" x14ac:dyDescent="0.2">
      <c r="P686" s="13"/>
    </row>
    <row r="687" spans="16:16" ht="15.75" customHeight="1" x14ac:dyDescent="0.2">
      <c r="P687" s="13"/>
    </row>
    <row r="688" spans="16:16" ht="15.75" customHeight="1" x14ac:dyDescent="0.2">
      <c r="P688" s="13"/>
    </row>
    <row r="689" spans="16:16" ht="15.75" customHeight="1" x14ac:dyDescent="0.2">
      <c r="P689" s="13"/>
    </row>
    <row r="690" spans="16:16" ht="15.75" customHeight="1" x14ac:dyDescent="0.2">
      <c r="P690" s="13"/>
    </row>
    <row r="691" spans="16:16" ht="15.75" customHeight="1" x14ac:dyDescent="0.2">
      <c r="P691" s="13"/>
    </row>
    <row r="692" spans="16:16" ht="15.75" customHeight="1" x14ac:dyDescent="0.2">
      <c r="P692" s="13"/>
    </row>
    <row r="693" spans="16:16" ht="15.75" customHeight="1" x14ac:dyDescent="0.2">
      <c r="P693" s="13"/>
    </row>
    <row r="694" spans="16:16" ht="15.75" customHeight="1" x14ac:dyDescent="0.2">
      <c r="P694" s="13"/>
    </row>
    <row r="695" spans="16:16" ht="15.75" customHeight="1" x14ac:dyDescent="0.2">
      <c r="P695" s="13"/>
    </row>
    <row r="696" spans="16:16" ht="15.75" customHeight="1" x14ac:dyDescent="0.2">
      <c r="P696" s="13"/>
    </row>
    <row r="697" spans="16:16" ht="15.75" customHeight="1" x14ac:dyDescent="0.2">
      <c r="P697" s="13"/>
    </row>
    <row r="698" spans="16:16" ht="15.75" customHeight="1" x14ac:dyDescent="0.2">
      <c r="P698" s="13"/>
    </row>
    <row r="699" spans="16:16" ht="15.75" customHeight="1" x14ac:dyDescent="0.2">
      <c r="P699" s="13"/>
    </row>
    <row r="700" spans="16:16" ht="15.75" customHeight="1" x14ac:dyDescent="0.2">
      <c r="P700" s="13"/>
    </row>
    <row r="701" spans="16:16" ht="15.75" customHeight="1" x14ac:dyDescent="0.2">
      <c r="P701" s="13"/>
    </row>
    <row r="702" spans="16:16" ht="15.75" customHeight="1" x14ac:dyDescent="0.2">
      <c r="P702" s="13"/>
    </row>
    <row r="703" spans="16:16" ht="15.75" customHeight="1" x14ac:dyDescent="0.2">
      <c r="P703" s="13"/>
    </row>
    <row r="704" spans="16:16" ht="15.75" customHeight="1" x14ac:dyDescent="0.2">
      <c r="P704" s="13"/>
    </row>
    <row r="705" spans="16:16" ht="15.75" customHeight="1" x14ac:dyDescent="0.2">
      <c r="P705" s="13"/>
    </row>
    <row r="706" spans="16:16" ht="15.75" customHeight="1" x14ac:dyDescent="0.2">
      <c r="P706" s="13"/>
    </row>
    <row r="707" spans="16:16" ht="15.75" customHeight="1" x14ac:dyDescent="0.2">
      <c r="P707" s="13"/>
    </row>
    <row r="708" spans="16:16" ht="15.75" customHeight="1" x14ac:dyDescent="0.2">
      <c r="P708" s="13"/>
    </row>
    <row r="709" spans="16:16" ht="15.75" customHeight="1" x14ac:dyDescent="0.2">
      <c r="P709" s="13"/>
    </row>
    <row r="710" spans="16:16" ht="15.75" customHeight="1" x14ac:dyDescent="0.2">
      <c r="P710" s="13"/>
    </row>
    <row r="711" spans="16:16" ht="15.75" customHeight="1" x14ac:dyDescent="0.2">
      <c r="P711" s="13"/>
    </row>
    <row r="712" spans="16:16" ht="15.75" customHeight="1" x14ac:dyDescent="0.2">
      <c r="P712" s="13"/>
    </row>
    <row r="713" spans="16:16" ht="15.75" customHeight="1" x14ac:dyDescent="0.2">
      <c r="P713" s="13"/>
    </row>
    <row r="714" spans="16:16" ht="15.75" customHeight="1" x14ac:dyDescent="0.2">
      <c r="P714" s="13"/>
    </row>
    <row r="715" spans="16:16" ht="15.75" customHeight="1" x14ac:dyDescent="0.2">
      <c r="P715" s="13"/>
    </row>
    <row r="716" spans="16:16" ht="15.75" customHeight="1" x14ac:dyDescent="0.2">
      <c r="P716" s="13"/>
    </row>
    <row r="717" spans="16:16" ht="15.75" customHeight="1" x14ac:dyDescent="0.2">
      <c r="P717" s="13"/>
    </row>
    <row r="718" spans="16:16" ht="15.75" customHeight="1" x14ac:dyDescent="0.2">
      <c r="P718" s="13"/>
    </row>
    <row r="719" spans="16:16" ht="15.75" customHeight="1" x14ac:dyDescent="0.2">
      <c r="P719" s="13"/>
    </row>
    <row r="720" spans="16:16" ht="15.75" customHeight="1" x14ac:dyDescent="0.2">
      <c r="P720" s="13"/>
    </row>
    <row r="721" spans="16:16" ht="15.75" customHeight="1" x14ac:dyDescent="0.2">
      <c r="P721" s="13"/>
    </row>
    <row r="722" spans="16:16" ht="15.75" customHeight="1" x14ac:dyDescent="0.2">
      <c r="P722" s="13"/>
    </row>
    <row r="723" spans="16:16" ht="15.75" customHeight="1" x14ac:dyDescent="0.2">
      <c r="P723" s="13"/>
    </row>
    <row r="724" spans="16:16" ht="15.75" customHeight="1" x14ac:dyDescent="0.2">
      <c r="P724" s="13"/>
    </row>
    <row r="725" spans="16:16" ht="15.75" customHeight="1" x14ac:dyDescent="0.2">
      <c r="P725" s="13"/>
    </row>
    <row r="726" spans="16:16" ht="15.75" customHeight="1" x14ac:dyDescent="0.2">
      <c r="P726" s="13"/>
    </row>
    <row r="727" spans="16:16" ht="15.75" customHeight="1" x14ac:dyDescent="0.2">
      <c r="P727" s="13"/>
    </row>
    <row r="728" spans="16:16" ht="15.75" customHeight="1" x14ac:dyDescent="0.2">
      <c r="P728" s="13"/>
    </row>
    <row r="729" spans="16:16" ht="15.75" customHeight="1" x14ac:dyDescent="0.2">
      <c r="P729" s="13"/>
    </row>
    <row r="730" spans="16:16" ht="15.75" customHeight="1" x14ac:dyDescent="0.2">
      <c r="P730" s="13"/>
    </row>
    <row r="731" spans="16:16" ht="15.75" customHeight="1" x14ac:dyDescent="0.2">
      <c r="P731" s="13"/>
    </row>
    <row r="732" spans="16:16" ht="15.75" customHeight="1" x14ac:dyDescent="0.2">
      <c r="P732" s="13"/>
    </row>
    <row r="733" spans="16:16" ht="15.75" customHeight="1" x14ac:dyDescent="0.2">
      <c r="P733" s="13"/>
    </row>
    <row r="734" spans="16:16" ht="15.75" customHeight="1" x14ac:dyDescent="0.2">
      <c r="P734" s="13"/>
    </row>
    <row r="735" spans="16:16" ht="15.75" customHeight="1" x14ac:dyDescent="0.2">
      <c r="P735" s="13"/>
    </row>
    <row r="736" spans="16:16" ht="15.75" customHeight="1" x14ac:dyDescent="0.2">
      <c r="P736" s="13"/>
    </row>
    <row r="737" spans="16:16" ht="15.75" customHeight="1" x14ac:dyDescent="0.2">
      <c r="P737" s="13"/>
    </row>
    <row r="738" spans="16:16" ht="15.75" customHeight="1" x14ac:dyDescent="0.2">
      <c r="P738" s="13"/>
    </row>
    <row r="739" spans="16:16" ht="15.75" customHeight="1" x14ac:dyDescent="0.2">
      <c r="P739" s="13"/>
    </row>
    <row r="740" spans="16:16" ht="15.75" customHeight="1" x14ac:dyDescent="0.2">
      <c r="P740" s="13"/>
    </row>
    <row r="741" spans="16:16" ht="15.75" customHeight="1" x14ac:dyDescent="0.2">
      <c r="P741" s="13"/>
    </row>
    <row r="742" spans="16:16" ht="15.75" customHeight="1" x14ac:dyDescent="0.2">
      <c r="P742" s="13"/>
    </row>
    <row r="743" spans="16:16" ht="15.75" customHeight="1" x14ac:dyDescent="0.2">
      <c r="P743" s="13"/>
    </row>
    <row r="744" spans="16:16" ht="15.75" customHeight="1" x14ac:dyDescent="0.2">
      <c r="P744" s="13"/>
    </row>
    <row r="745" spans="16:16" ht="15.75" customHeight="1" x14ac:dyDescent="0.2">
      <c r="P745" s="13"/>
    </row>
    <row r="746" spans="16:16" ht="15.75" customHeight="1" x14ac:dyDescent="0.2">
      <c r="P746" s="13"/>
    </row>
    <row r="747" spans="16:16" ht="15.75" customHeight="1" x14ac:dyDescent="0.2">
      <c r="P747" s="13"/>
    </row>
    <row r="748" spans="16:16" ht="15.75" customHeight="1" x14ac:dyDescent="0.2">
      <c r="P748" s="13"/>
    </row>
    <row r="749" spans="16:16" ht="15.75" customHeight="1" x14ac:dyDescent="0.2">
      <c r="P749" s="13"/>
    </row>
    <row r="750" spans="16:16" ht="15.75" customHeight="1" x14ac:dyDescent="0.2">
      <c r="P750" s="13"/>
    </row>
    <row r="751" spans="16:16" ht="15.75" customHeight="1" x14ac:dyDescent="0.2">
      <c r="P751" s="13"/>
    </row>
    <row r="752" spans="16:16" ht="15.75" customHeight="1" x14ac:dyDescent="0.2">
      <c r="P752" s="13"/>
    </row>
    <row r="753" spans="16:16" ht="15.75" customHeight="1" x14ac:dyDescent="0.2">
      <c r="P753" s="13"/>
    </row>
    <row r="754" spans="16:16" ht="15.75" customHeight="1" x14ac:dyDescent="0.2">
      <c r="P754" s="13"/>
    </row>
    <row r="755" spans="16:16" ht="15.75" customHeight="1" x14ac:dyDescent="0.2">
      <c r="P755" s="13"/>
    </row>
    <row r="756" spans="16:16" ht="15.75" customHeight="1" x14ac:dyDescent="0.2">
      <c r="P756" s="13"/>
    </row>
    <row r="757" spans="16:16" ht="15.75" customHeight="1" x14ac:dyDescent="0.2">
      <c r="P757" s="13"/>
    </row>
    <row r="758" spans="16:16" ht="15.75" customHeight="1" x14ac:dyDescent="0.2">
      <c r="P758" s="13"/>
    </row>
    <row r="759" spans="16:16" ht="15.75" customHeight="1" x14ac:dyDescent="0.2">
      <c r="P759" s="13"/>
    </row>
    <row r="760" spans="16:16" ht="15.75" customHeight="1" x14ac:dyDescent="0.2">
      <c r="P760" s="13"/>
    </row>
    <row r="761" spans="16:16" ht="15.75" customHeight="1" x14ac:dyDescent="0.2">
      <c r="P761" s="13"/>
    </row>
    <row r="762" spans="16:16" ht="15.75" customHeight="1" x14ac:dyDescent="0.2">
      <c r="P762" s="13"/>
    </row>
    <row r="763" spans="16:16" ht="15.75" customHeight="1" x14ac:dyDescent="0.2">
      <c r="P763" s="13"/>
    </row>
    <row r="764" spans="16:16" ht="15.75" customHeight="1" x14ac:dyDescent="0.2">
      <c r="P764" s="13"/>
    </row>
    <row r="765" spans="16:16" ht="15.75" customHeight="1" x14ac:dyDescent="0.2">
      <c r="P765" s="13"/>
    </row>
    <row r="766" spans="16:16" ht="15.75" customHeight="1" x14ac:dyDescent="0.2">
      <c r="P766" s="13"/>
    </row>
    <row r="767" spans="16:16" ht="15.75" customHeight="1" x14ac:dyDescent="0.2">
      <c r="P767" s="13"/>
    </row>
    <row r="768" spans="16:16" ht="15.75" customHeight="1" x14ac:dyDescent="0.2">
      <c r="P768" s="13"/>
    </row>
    <row r="769" spans="16:16" ht="15.75" customHeight="1" x14ac:dyDescent="0.2">
      <c r="P769" s="13"/>
    </row>
    <row r="770" spans="16:16" ht="15.75" customHeight="1" x14ac:dyDescent="0.2">
      <c r="P770" s="13"/>
    </row>
    <row r="771" spans="16:16" ht="15.75" customHeight="1" x14ac:dyDescent="0.2">
      <c r="P771" s="13"/>
    </row>
    <row r="772" spans="16:16" ht="15.75" customHeight="1" x14ac:dyDescent="0.2">
      <c r="P772" s="13"/>
    </row>
    <row r="773" spans="16:16" ht="15.75" customHeight="1" x14ac:dyDescent="0.2">
      <c r="P773" s="13"/>
    </row>
    <row r="774" spans="16:16" ht="15.75" customHeight="1" x14ac:dyDescent="0.2">
      <c r="P774" s="13"/>
    </row>
    <row r="775" spans="16:16" ht="15.75" customHeight="1" x14ac:dyDescent="0.2">
      <c r="P775" s="13"/>
    </row>
    <row r="776" spans="16:16" ht="15.75" customHeight="1" x14ac:dyDescent="0.2">
      <c r="P776" s="13"/>
    </row>
    <row r="777" spans="16:16" ht="15.75" customHeight="1" x14ac:dyDescent="0.2">
      <c r="P777" s="13"/>
    </row>
    <row r="778" spans="16:16" ht="15.75" customHeight="1" x14ac:dyDescent="0.2">
      <c r="P778" s="13"/>
    </row>
    <row r="779" spans="16:16" ht="15.75" customHeight="1" x14ac:dyDescent="0.2">
      <c r="P779" s="13"/>
    </row>
    <row r="780" spans="16:16" ht="15.75" customHeight="1" x14ac:dyDescent="0.2">
      <c r="P780" s="13"/>
    </row>
    <row r="781" spans="16:16" ht="15.75" customHeight="1" x14ac:dyDescent="0.2">
      <c r="P781" s="13"/>
    </row>
    <row r="782" spans="16:16" ht="15.75" customHeight="1" x14ac:dyDescent="0.2">
      <c r="P782" s="13"/>
    </row>
    <row r="783" spans="16:16" ht="15.75" customHeight="1" x14ac:dyDescent="0.2">
      <c r="P783" s="13"/>
    </row>
    <row r="784" spans="16:16" ht="15.75" customHeight="1" x14ac:dyDescent="0.2">
      <c r="P784" s="13"/>
    </row>
    <row r="785" spans="16:16" ht="15.75" customHeight="1" x14ac:dyDescent="0.2">
      <c r="P785" s="13"/>
    </row>
    <row r="786" spans="16:16" ht="15.75" customHeight="1" x14ac:dyDescent="0.2">
      <c r="P786" s="13"/>
    </row>
    <row r="787" spans="16:16" ht="15.75" customHeight="1" x14ac:dyDescent="0.2">
      <c r="P787" s="13"/>
    </row>
    <row r="788" spans="16:16" ht="15.75" customHeight="1" x14ac:dyDescent="0.2">
      <c r="P788" s="13"/>
    </row>
    <row r="789" spans="16:16" ht="15.75" customHeight="1" x14ac:dyDescent="0.2">
      <c r="P789" s="13"/>
    </row>
    <row r="790" spans="16:16" ht="15.75" customHeight="1" x14ac:dyDescent="0.2">
      <c r="P790" s="13"/>
    </row>
    <row r="791" spans="16:16" ht="15.75" customHeight="1" x14ac:dyDescent="0.2">
      <c r="P791" s="13"/>
    </row>
    <row r="792" spans="16:16" ht="15.75" customHeight="1" x14ac:dyDescent="0.2">
      <c r="P792" s="13"/>
    </row>
    <row r="793" spans="16:16" ht="15.75" customHeight="1" x14ac:dyDescent="0.2">
      <c r="P793" s="13"/>
    </row>
    <row r="794" spans="16:16" ht="15.75" customHeight="1" x14ac:dyDescent="0.2">
      <c r="P794" s="13"/>
    </row>
    <row r="795" spans="16:16" ht="15.75" customHeight="1" x14ac:dyDescent="0.2">
      <c r="P795" s="13"/>
    </row>
    <row r="796" spans="16:16" ht="15.75" customHeight="1" x14ac:dyDescent="0.2">
      <c r="P796" s="13"/>
    </row>
    <row r="797" spans="16:16" ht="15.75" customHeight="1" x14ac:dyDescent="0.2">
      <c r="P797" s="13"/>
    </row>
    <row r="798" spans="16:16" ht="15.75" customHeight="1" x14ac:dyDescent="0.2">
      <c r="P798" s="13"/>
    </row>
    <row r="799" spans="16:16" ht="15.75" customHeight="1" x14ac:dyDescent="0.2">
      <c r="P799" s="13"/>
    </row>
    <row r="800" spans="16:16" ht="15.75" customHeight="1" x14ac:dyDescent="0.2">
      <c r="P800" s="13"/>
    </row>
    <row r="801" spans="16:16" ht="15.75" customHeight="1" x14ac:dyDescent="0.2">
      <c r="P801" s="13"/>
    </row>
    <row r="802" spans="16:16" ht="15.75" customHeight="1" x14ac:dyDescent="0.2">
      <c r="P802" s="13"/>
    </row>
    <row r="803" spans="16:16" ht="15.75" customHeight="1" x14ac:dyDescent="0.2">
      <c r="P803" s="13"/>
    </row>
    <row r="804" spans="16:16" ht="15.75" customHeight="1" x14ac:dyDescent="0.2">
      <c r="P804" s="13"/>
    </row>
    <row r="805" spans="16:16" ht="15.75" customHeight="1" x14ac:dyDescent="0.2">
      <c r="P805" s="13"/>
    </row>
    <row r="806" spans="16:16" ht="15.75" customHeight="1" x14ac:dyDescent="0.2">
      <c r="P806" s="13"/>
    </row>
    <row r="807" spans="16:16" ht="15.75" customHeight="1" x14ac:dyDescent="0.2">
      <c r="P807" s="13"/>
    </row>
    <row r="808" spans="16:16" ht="15.75" customHeight="1" x14ac:dyDescent="0.2">
      <c r="P808" s="13"/>
    </row>
    <row r="809" spans="16:16" ht="15.75" customHeight="1" x14ac:dyDescent="0.2">
      <c r="P809" s="13"/>
    </row>
    <row r="810" spans="16:16" ht="15.75" customHeight="1" x14ac:dyDescent="0.2">
      <c r="P810" s="13"/>
    </row>
    <row r="811" spans="16:16" ht="15.75" customHeight="1" x14ac:dyDescent="0.2">
      <c r="P811" s="13"/>
    </row>
    <row r="812" spans="16:16" ht="15.75" customHeight="1" x14ac:dyDescent="0.2">
      <c r="P812" s="13"/>
    </row>
    <row r="813" spans="16:16" ht="15.75" customHeight="1" x14ac:dyDescent="0.2">
      <c r="P813" s="13"/>
    </row>
    <row r="814" spans="16:16" ht="15.75" customHeight="1" x14ac:dyDescent="0.2">
      <c r="P814" s="13"/>
    </row>
    <row r="815" spans="16:16" ht="15.75" customHeight="1" x14ac:dyDescent="0.2">
      <c r="P815" s="13"/>
    </row>
    <row r="816" spans="16:16" ht="15.75" customHeight="1" x14ac:dyDescent="0.2">
      <c r="P816" s="13"/>
    </row>
    <row r="817" spans="16:16" ht="15.75" customHeight="1" x14ac:dyDescent="0.2">
      <c r="P817" s="13"/>
    </row>
    <row r="818" spans="16:16" ht="15.75" customHeight="1" x14ac:dyDescent="0.2">
      <c r="P818" s="13"/>
    </row>
    <row r="819" spans="16:16" ht="15.75" customHeight="1" x14ac:dyDescent="0.2">
      <c r="P819" s="13"/>
    </row>
    <row r="820" spans="16:16" ht="15.75" customHeight="1" x14ac:dyDescent="0.2">
      <c r="P820" s="13"/>
    </row>
    <row r="821" spans="16:16" ht="15.75" customHeight="1" x14ac:dyDescent="0.2">
      <c r="P821" s="13"/>
    </row>
    <row r="822" spans="16:16" ht="15.75" customHeight="1" x14ac:dyDescent="0.2">
      <c r="P822" s="13"/>
    </row>
    <row r="823" spans="16:16" ht="15.75" customHeight="1" x14ac:dyDescent="0.2">
      <c r="P823" s="13"/>
    </row>
    <row r="824" spans="16:16" ht="15.75" customHeight="1" x14ac:dyDescent="0.2">
      <c r="P824" s="13"/>
    </row>
    <row r="825" spans="16:16" ht="15.75" customHeight="1" x14ac:dyDescent="0.2">
      <c r="P825" s="13"/>
    </row>
    <row r="826" spans="16:16" ht="15.75" customHeight="1" x14ac:dyDescent="0.2">
      <c r="P826" s="13"/>
    </row>
    <row r="827" spans="16:16" ht="15.75" customHeight="1" x14ac:dyDescent="0.2">
      <c r="P827" s="13"/>
    </row>
    <row r="828" spans="16:16" ht="15.75" customHeight="1" x14ac:dyDescent="0.2">
      <c r="P828" s="13"/>
    </row>
    <row r="829" spans="16:16" ht="15.75" customHeight="1" x14ac:dyDescent="0.2">
      <c r="P829" s="13"/>
    </row>
    <row r="830" spans="16:16" ht="15.75" customHeight="1" x14ac:dyDescent="0.2">
      <c r="P830" s="13"/>
    </row>
    <row r="831" spans="16:16" ht="15.75" customHeight="1" x14ac:dyDescent="0.2">
      <c r="P831" s="13"/>
    </row>
    <row r="832" spans="16:16" ht="15.75" customHeight="1" x14ac:dyDescent="0.2">
      <c r="P832" s="13"/>
    </row>
    <row r="833" spans="16:16" ht="15.75" customHeight="1" x14ac:dyDescent="0.2">
      <c r="P833" s="13"/>
    </row>
    <row r="834" spans="16:16" ht="15.75" customHeight="1" x14ac:dyDescent="0.2">
      <c r="P834" s="13"/>
    </row>
    <row r="835" spans="16:16" ht="15.75" customHeight="1" x14ac:dyDescent="0.2">
      <c r="P835" s="13"/>
    </row>
    <row r="836" spans="16:16" ht="15.75" customHeight="1" x14ac:dyDescent="0.2">
      <c r="P836" s="13"/>
    </row>
    <row r="837" spans="16:16" ht="15.75" customHeight="1" x14ac:dyDescent="0.2">
      <c r="P837" s="13"/>
    </row>
    <row r="838" spans="16:16" ht="15.75" customHeight="1" x14ac:dyDescent="0.2">
      <c r="P838" s="13"/>
    </row>
    <row r="839" spans="16:16" ht="15.75" customHeight="1" x14ac:dyDescent="0.2">
      <c r="P839" s="13"/>
    </row>
    <row r="840" spans="16:16" ht="15.75" customHeight="1" x14ac:dyDescent="0.2">
      <c r="P840" s="13"/>
    </row>
    <row r="841" spans="16:16" ht="15.75" customHeight="1" x14ac:dyDescent="0.2">
      <c r="P841" s="13"/>
    </row>
    <row r="842" spans="16:16" ht="15.75" customHeight="1" x14ac:dyDescent="0.2">
      <c r="P842" s="13"/>
    </row>
    <row r="843" spans="16:16" ht="15.75" customHeight="1" x14ac:dyDescent="0.2">
      <c r="P843" s="13"/>
    </row>
    <row r="844" spans="16:16" ht="15.75" customHeight="1" x14ac:dyDescent="0.2">
      <c r="P844" s="13"/>
    </row>
    <row r="845" spans="16:16" ht="15.75" customHeight="1" x14ac:dyDescent="0.2">
      <c r="P845" s="13"/>
    </row>
    <row r="846" spans="16:16" ht="15.75" customHeight="1" x14ac:dyDescent="0.2">
      <c r="P846" s="13"/>
    </row>
    <row r="847" spans="16:16" ht="15.75" customHeight="1" x14ac:dyDescent="0.2">
      <c r="P847" s="13"/>
    </row>
    <row r="848" spans="16:16" ht="15.75" customHeight="1" x14ac:dyDescent="0.2">
      <c r="P848" s="13"/>
    </row>
    <row r="849" spans="16:16" ht="15.75" customHeight="1" x14ac:dyDescent="0.2">
      <c r="P849" s="13"/>
    </row>
    <row r="850" spans="16:16" ht="15.75" customHeight="1" x14ac:dyDescent="0.2">
      <c r="P850" s="13"/>
    </row>
    <row r="851" spans="16:16" ht="15.75" customHeight="1" x14ac:dyDescent="0.2">
      <c r="P851" s="13"/>
    </row>
    <row r="852" spans="16:16" ht="15.75" customHeight="1" x14ac:dyDescent="0.2">
      <c r="P852" s="13"/>
    </row>
    <row r="853" spans="16:16" ht="15.75" customHeight="1" x14ac:dyDescent="0.2">
      <c r="P853" s="13"/>
    </row>
    <row r="854" spans="16:16" ht="15.75" customHeight="1" x14ac:dyDescent="0.2">
      <c r="P854" s="13"/>
    </row>
    <row r="855" spans="16:16" ht="15.75" customHeight="1" x14ac:dyDescent="0.2">
      <c r="P855" s="13"/>
    </row>
    <row r="856" spans="16:16" ht="15.75" customHeight="1" x14ac:dyDescent="0.2">
      <c r="P856" s="13"/>
    </row>
    <row r="857" spans="16:16" ht="15.75" customHeight="1" x14ac:dyDescent="0.2">
      <c r="P857" s="13"/>
    </row>
    <row r="858" spans="16:16" ht="15.75" customHeight="1" x14ac:dyDescent="0.2">
      <c r="P858" s="13"/>
    </row>
    <row r="859" spans="16:16" ht="15.75" customHeight="1" x14ac:dyDescent="0.2">
      <c r="P859" s="13"/>
    </row>
    <row r="860" spans="16:16" ht="15.75" customHeight="1" x14ac:dyDescent="0.2">
      <c r="P860" s="13"/>
    </row>
    <row r="861" spans="16:16" ht="15.75" customHeight="1" x14ac:dyDescent="0.2">
      <c r="P861" s="13"/>
    </row>
    <row r="862" spans="16:16" ht="15.75" customHeight="1" x14ac:dyDescent="0.2">
      <c r="P862" s="13"/>
    </row>
    <row r="863" spans="16:16" ht="15.75" customHeight="1" x14ac:dyDescent="0.2">
      <c r="P863" s="13"/>
    </row>
    <row r="864" spans="16:16" ht="15.75" customHeight="1" x14ac:dyDescent="0.2">
      <c r="P864" s="13"/>
    </row>
    <row r="865" spans="16:16" ht="15.75" customHeight="1" x14ac:dyDescent="0.2">
      <c r="P865" s="13"/>
    </row>
    <row r="866" spans="16:16" ht="15.75" customHeight="1" x14ac:dyDescent="0.2">
      <c r="P866" s="13"/>
    </row>
    <row r="867" spans="16:16" ht="15.75" customHeight="1" x14ac:dyDescent="0.2">
      <c r="P867" s="13"/>
    </row>
    <row r="868" spans="16:16" ht="15.75" customHeight="1" x14ac:dyDescent="0.2">
      <c r="P868" s="13"/>
    </row>
    <row r="869" spans="16:16" ht="15.75" customHeight="1" x14ac:dyDescent="0.2">
      <c r="P869" s="13"/>
    </row>
    <row r="870" spans="16:16" ht="15.75" customHeight="1" x14ac:dyDescent="0.2">
      <c r="P870" s="13"/>
    </row>
    <row r="871" spans="16:16" ht="15.75" customHeight="1" x14ac:dyDescent="0.2">
      <c r="P871" s="13"/>
    </row>
    <row r="872" spans="16:16" ht="15.75" customHeight="1" x14ac:dyDescent="0.2">
      <c r="P872" s="13"/>
    </row>
    <row r="873" spans="16:16" ht="15.75" customHeight="1" x14ac:dyDescent="0.2">
      <c r="P873" s="13"/>
    </row>
    <row r="874" spans="16:16" ht="15.75" customHeight="1" x14ac:dyDescent="0.2">
      <c r="P874" s="13"/>
    </row>
    <row r="875" spans="16:16" ht="15.75" customHeight="1" x14ac:dyDescent="0.2">
      <c r="P875" s="13"/>
    </row>
    <row r="876" spans="16:16" ht="15.75" customHeight="1" x14ac:dyDescent="0.2">
      <c r="P876" s="13"/>
    </row>
    <row r="877" spans="16:16" ht="15.75" customHeight="1" x14ac:dyDescent="0.2">
      <c r="P877" s="13"/>
    </row>
    <row r="878" spans="16:16" ht="15.75" customHeight="1" x14ac:dyDescent="0.2">
      <c r="P878" s="13"/>
    </row>
    <row r="879" spans="16:16" ht="15.75" customHeight="1" x14ac:dyDescent="0.2">
      <c r="P879" s="13"/>
    </row>
    <row r="880" spans="16:16" ht="15.75" customHeight="1" x14ac:dyDescent="0.2">
      <c r="P880" s="13"/>
    </row>
    <row r="881" spans="16:16" ht="15.75" customHeight="1" x14ac:dyDescent="0.2">
      <c r="P881" s="13"/>
    </row>
    <row r="882" spans="16:16" ht="15.75" customHeight="1" x14ac:dyDescent="0.2">
      <c r="P882" s="13"/>
    </row>
    <row r="883" spans="16:16" ht="15.75" customHeight="1" x14ac:dyDescent="0.2">
      <c r="P883" s="13"/>
    </row>
    <row r="884" spans="16:16" ht="15.75" customHeight="1" x14ac:dyDescent="0.2">
      <c r="P884" s="13"/>
    </row>
    <row r="885" spans="16:16" ht="15.75" customHeight="1" x14ac:dyDescent="0.2">
      <c r="P885" s="13"/>
    </row>
    <row r="886" spans="16:16" ht="15.75" customHeight="1" x14ac:dyDescent="0.2">
      <c r="P886" s="13"/>
    </row>
    <row r="887" spans="16:16" ht="15.75" customHeight="1" x14ac:dyDescent="0.2">
      <c r="P887" s="13"/>
    </row>
    <row r="888" spans="16:16" ht="15.75" customHeight="1" x14ac:dyDescent="0.2">
      <c r="P888" s="13"/>
    </row>
    <row r="889" spans="16:16" ht="15.75" customHeight="1" x14ac:dyDescent="0.2">
      <c r="P889" s="13"/>
    </row>
    <row r="890" spans="16:16" ht="15.75" customHeight="1" x14ac:dyDescent="0.2">
      <c r="P890" s="13"/>
    </row>
    <row r="891" spans="16:16" ht="15.75" customHeight="1" x14ac:dyDescent="0.2">
      <c r="P891" s="13"/>
    </row>
    <row r="892" spans="16:16" ht="15.75" customHeight="1" x14ac:dyDescent="0.2">
      <c r="P892" s="13"/>
    </row>
    <row r="893" spans="16:16" ht="15.75" customHeight="1" x14ac:dyDescent="0.2">
      <c r="P893" s="13"/>
    </row>
    <row r="894" spans="16:16" ht="15.75" customHeight="1" x14ac:dyDescent="0.2">
      <c r="P894" s="13"/>
    </row>
    <row r="895" spans="16:16" ht="15.75" customHeight="1" x14ac:dyDescent="0.2">
      <c r="P895" s="13"/>
    </row>
    <row r="896" spans="16:16" ht="15.75" customHeight="1" x14ac:dyDescent="0.2">
      <c r="P896" s="13"/>
    </row>
    <row r="897" spans="16:16" ht="15.75" customHeight="1" x14ac:dyDescent="0.2">
      <c r="P897" s="13"/>
    </row>
    <row r="898" spans="16:16" ht="15.75" customHeight="1" x14ac:dyDescent="0.2">
      <c r="P898" s="13"/>
    </row>
    <row r="899" spans="16:16" ht="15.75" customHeight="1" x14ac:dyDescent="0.2">
      <c r="P899" s="13"/>
    </row>
    <row r="900" spans="16:16" ht="15.75" customHeight="1" x14ac:dyDescent="0.2">
      <c r="P900" s="13"/>
    </row>
    <row r="901" spans="16:16" ht="15.75" customHeight="1" x14ac:dyDescent="0.2">
      <c r="P901" s="13"/>
    </row>
    <row r="902" spans="16:16" ht="15.75" customHeight="1" x14ac:dyDescent="0.2">
      <c r="P902" s="13"/>
    </row>
    <row r="903" spans="16:16" ht="15.75" customHeight="1" x14ac:dyDescent="0.2">
      <c r="P903" s="13"/>
    </row>
    <row r="904" spans="16:16" ht="15.75" customHeight="1" x14ac:dyDescent="0.2">
      <c r="P904" s="13"/>
    </row>
    <row r="905" spans="16:16" ht="15.75" customHeight="1" x14ac:dyDescent="0.2">
      <c r="P905" s="13"/>
    </row>
    <row r="906" spans="16:16" ht="15.75" customHeight="1" x14ac:dyDescent="0.2">
      <c r="P906" s="13"/>
    </row>
    <row r="907" spans="16:16" ht="15.75" customHeight="1" x14ac:dyDescent="0.2">
      <c r="P907" s="13"/>
    </row>
    <row r="908" spans="16:16" ht="15.75" customHeight="1" x14ac:dyDescent="0.2">
      <c r="P908" s="13"/>
    </row>
    <row r="909" spans="16:16" ht="15.75" customHeight="1" x14ac:dyDescent="0.2">
      <c r="P909" s="13"/>
    </row>
    <row r="910" spans="16:16" ht="15.75" customHeight="1" x14ac:dyDescent="0.2">
      <c r="P910" s="13"/>
    </row>
    <row r="911" spans="16:16" ht="15.75" customHeight="1" x14ac:dyDescent="0.2">
      <c r="P911" s="13"/>
    </row>
    <row r="912" spans="16:16" ht="15.75" customHeight="1" x14ac:dyDescent="0.2">
      <c r="P912" s="13"/>
    </row>
    <row r="913" spans="16:16" ht="15.75" customHeight="1" x14ac:dyDescent="0.2">
      <c r="P913" s="13"/>
    </row>
    <row r="914" spans="16:16" ht="15.75" customHeight="1" x14ac:dyDescent="0.2">
      <c r="P914" s="13"/>
    </row>
    <row r="915" spans="16:16" ht="15.75" customHeight="1" x14ac:dyDescent="0.2">
      <c r="P915" s="13"/>
    </row>
    <row r="916" spans="16:16" ht="15.75" customHeight="1" x14ac:dyDescent="0.2">
      <c r="P916" s="13"/>
    </row>
    <row r="917" spans="16:16" ht="15.75" customHeight="1" x14ac:dyDescent="0.2">
      <c r="P917" s="13"/>
    </row>
    <row r="918" spans="16:16" ht="15.75" customHeight="1" x14ac:dyDescent="0.2">
      <c r="P918" s="13"/>
    </row>
    <row r="919" spans="16:16" ht="15.75" customHeight="1" x14ac:dyDescent="0.2">
      <c r="P919" s="13"/>
    </row>
    <row r="920" spans="16:16" ht="15.75" customHeight="1" x14ac:dyDescent="0.2">
      <c r="P920" s="13"/>
    </row>
    <row r="921" spans="16:16" ht="15.75" customHeight="1" x14ac:dyDescent="0.2">
      <c r="P921" s="13"/>
    </row>
    <row r="922" spans="16:16" ht="15.75" customHeight="1" x14ac:dyDescent="0.2">
      <c r="P922" s="13"/>
    </row>
    <row r="923" spans="16:16" ht="15.75" customHeight="1" x14ac:dyDescent="0.2">
      <c r="P923" s="13"/>
    </row>
    <row r="924" spans="16:16" ht="15.75" customHeight="1" x14ac:dyDescent="0.2">
      <c r="P924" s="13"/>
    </row>
    <row r="925" spans="16:16" ht="15.75" customHeight="1" x14ac:dyDescent="0.2">
      <c r="P925" s="13"/>
    </row>
    <row r="926" spans="16:16" ht="15.75" customHeight="1" x14ac:dyDescent="0.2">
      <c r="P926" s="13"/>
    </row>
    <row r="927" spans="16:16" ht="15.75" customHeight="1" x14ac:dyDescent="0.2">
      <c r="P927" s="13"/>
    </row>
    <row r="928" spans="16:16" ht="15.75" customHeight="1" x14ac:dyDescent="0.2">
      <c r="P928" s="13"/>
    </row>
    <row r="929" spans="16:16" ht="15.75" customHeight="1" x14ac:dyDescent="0.2">
      <c r="P929" s="13"/>
    </row>
    <row r="930" spans="16:16" ht="15.75" customHeight="1" x14ac:dyDescent="0.2">
      <c r="P930" s="13"/>
    </row>
    <row r="931" spans="16:16" ht="15.75" customHeight="1" x14ac:dyDescent="0.2">
      <c r="P931" s="13"/>
    </row>
    <row r="932" spans="16:16" ht="15.75" customHeight="1" x14ac:dyDescent="0.2">
      <c r="P932" s="13"/>
    </row>
    <row r="933" spans="16:16" ht="15.75" customHeight="1" x14ac:dyDescent="0.2">
      <c r="P933" s="13"/>
    </row>
    <row r="934" spans="16:16" ht="15.75" customHeight="1" x14ac:dyDescent="0.2">
      <c r="P934" s="13"/>
    </row>
    <row r="935" spans="16:16" ht="15.75" customHeight="1" x14ac:dyDescent="0.2">
      <c r="P935" s="13"/>
    </row>
    <row r="936" spans="16:16" ht="15.75" customHeight="1" x14ac:dyDescent="0.2">
      <c r="P936" s="13"/>
    </row>
    <row r="937" spans="16:16" ht="15.75" customHeight="1" x14ac:dyDescent="0.2">
      <c r="P937" s="13"/>
    </row>
    <row r="938" spans="16:16" ht="15.75" customHeight="1" x14ac:dyDescent="0.2">
      <c r="P938" s="13"/>
    </row>
    <row r="939" spans="16:16" ht="15.75" customHeight="1" x14ac:dyDescent="0.2">
      <c r="P939" s="13"/>
    </row>
    <row r="940" spans="16:16" ht="15.75" customHeight="1" x14ac:dyDescent="0.2">
      <c r="P940" s="13"/>
    </row>
    <row r="941" spans="16:16" ht="15.75" customHeight="1" x14ac:dyDescent="0.2">
      <c r="P941" s="13"/>
    </row>
    <row r="942" spans="16:16" ht="15.75" customHeight="1" x14ac:dyDescent="0.2">
      <c r="P942" s="13"/>
    </row>
    <row r="943" spans="16:16" ht="15.75" customHeight="1" x14ac:dyDescent="0.2">
      <c r="P943" s="13"/>
    </row>
    <row r="944" spans="16:16" ht="15.75" customHeight="1" x14ac:dyDescent="0.2">
      <c r="P944" s="13"/>
    </row>
    <row r="945" spans="16:16" ht="15.75" customHeight="1" x14ac:dyDescent="0.2">
      <c r="P945" s="13"/>
    </row>
    <row r="946" spans="16:16" ht="15.75" customHeight="1" x14ac:dyDescent="0.2">
      <c r="P946" s="13"/>
    </row>
    <row r="947" spans="16:16" ht="15.75" customHeight="1" x14ac:dyDescent="0.2">
      <c r="P947" s="13"/>
    </row>
    <row r="948" spans="16:16" ht="15.75" customHeight="1" x14ac:dyDescent="0.2">
      <c r="P948" s="13"/>
    </row>
    <row r="949" spans="16:16" ht="15.75" customHeight="1" x14ac:dyDescent="0.2">
      <c r="P949" s="13"/>
    </row>
    <row r="950" spans="16:16" ht="15.75" customHeight="1" x14ac:dyDescent="0.2">
      <c r="P950" s="13"/>
    </row>
    <row r="951" spans="16:16" ht="15.75" customHeight="1" x14ac:dyDescent="0.2">
      <c r="P951" s="13"/>
    </row>
    <row r="952" spans="16:16" ht="15.75" customHeight="1" x14ac:dyDescent="0.2">
      <c r="P952" s="13"/>
    </row>
    <row r="953" spans="16:16" ht="15.75" customHeight="1" x14ac:dyDescent="0.2">
      <c r="P953" s="13"/>
    </row>
    <row r="954" spans="16:16" ht="15.75" customHeight="1" x14ac:dyDescent="0.2">
      <c r="P954" s="13"/>
    </row>
    <row r="955" spans="16:16" ht="15.75" customHeight="1" x14ac:dyDescent="0.2">
      <c r="P955" s="13"/>
    </row>
    <row r="956" spans="16:16" ht="15.75" customHeight="1" x14ac:dyDescent="0.2">
      <c r="P956" s="13"/>
    </row>
    <row r="957" spans="16:16" ht="15.75" customHeight="1" x14ac:dyDescent="0.2">
      <c r="P957" s="13"/>
    </row>
    <row r="958" spans="16:16" ht="15.75" customHeight="1" x14ac:dyDescent="0.2">
      <c r="P958" s="13"/>
    </row>
    <row r="959" spans="16:16" ht="15.75" customHeight="1" x14ac:dyDescent="0.2">
      <c r="P959" s="13"/>
    </row>
    <row r="960" spans="16:16" ht="15.75" customHeight="1" x14ac:dyDescent="0.2">
      <c r="P960" s="13"/>
    </row>
    <row r="961" spans="16:16" ht="15.75" customHeight="1" x14ac:dyDescent="0.2">
      <c r="P961" s="13"/>
    </row>
    <row r="962" spans="16:16" ht="15.75" customHeight="1" x14ac:dyDescent="0.2">
      <c r="P962" s="13"/>
    </row>
    <row r="963" spans="16:16" ht="15.75" customHeight="1" x14ac:dyDescent="0.2">
      <c r="P963" s="13"/>
    </row>
    <row r="964" spans="16:16" ht="15.75" customHeight="1" x14ac:dyDescent="0.2">
      <c r="P964" s="13"/>
    </row>
    <row r="965" spans="16:16" ht="15.75" customHeight="1" x14ac:dyDescent="0.2">
      <c r="P965" s="13"/>
    </row>
    <row r="966" spans="16:16" ht="15.75" customHeight="1" x14ac:dyDescent="0.2">
      <c r="P966" s="13"/>
    </row>
    <row r="967" spans="16:16" ht="15.75" customHeight="1" x14ac:dyDescent="0.2">
      <c r="P967" s="13"/>
    </row>
    <row r="968" spans="16:16" ht="15.75" customHeight="1" x14ac:dyDescent="0.2">
      <c r="P968" s="13"/>
    </row>
    <row r="969" spans="16:16" ht="15.75" customHeight="1" x14ac:dyDescent="0.2">
      <c r="P969" s="13"/>
    </row>
    <row r="970" spans="16:16" ht="15.75" customHeight="1" x14ac:dyDescent="0.2">
      <c r="P970" s="13"/>
    </row>
    <row r="971" spans="16:16" ht="15.75" customHeight="1" x14ac:dyDescent="0.2">
      <c r="P971" s="13"/>
    </row>
    <row r="972" spans="16:16" ht="15.75" customHeight="1" x14ac:dyDescent="0.2">
      <c r="P972" s="13"/>
    </row>
    <row r="973" spans="16:16" ht="15.75" customHeight="1" x14ac:dyDescent="0.2">
      <c r="P973" s="13"/>
    </row>
    <row r="974" spans="16:16" ht="15.75" customHeight="1" x14ac:dyDescent="0.2">
      <c r="P974" s="13"/>
    </row>
    <row r="975" spans="16:16" ht="15.75" customHeight="1" x14ac:dyDescent="0.2">
      <c r="P975" s="13"/>
    </row>
    <row r="976" spans="16:16" ht="15.75" customHeight="1" x14ac:dyDescent="0.2">
      <c r="P976" s="13"/>
    </row>
    <row r="977" spans="16:16" ht="15.75" customHeight="1" x14ac:dyDescent="0.2">
      <c r="P977" s="13"/>
    </row>
    <row r="978" spans="16:16" ht="15.75" customHeight="1" x14ac:dyDescent="0.2">
      <c r="P978" s="13"/>
    </row>
    <row r="979" spans="16:16" ht="15.75" customHeight="1" x14ac:dyDescent="0.2">
      <c r="P979" s="13"/>
    </row>
    <row r="980" spans="16:16" ht="15.75" customHeight="1" x14ac:dyDescent="0.2">
      <c r="P980" s="13"/>
    </row>
    <row r="981" spans="16:16" ht="15.75" customHeight="1" x14ac:dyDescent="0.2">
      <c r="P981" s="13"/>
    </row>
    <row r="982" spans="16:16" ht="15.75" customHeight="1" x14ac:dyDescent="0.2">
      <c r="P982" s="13"/>
    </row>
    <row r="983" spans="16:16" ht="15.75" customHeight="1" x14ac:dyDescent="0.2">
      <c r="P983" s="13"/>
    </row>
    <row r="984" spans="16:16" ht="15.75" customHeight="1" x14ac:dyDescent="0.2">
      <c r="P984" s="13"/>
    </row>
    <row r="985" spans="16:16" ht="15.75" customHeight="1" x14ac:dyDescent="0.2">
      <c r="P985" s="13"/>
    </row>
    <row r="986" spans="16:16" ht="15.75" customHeight="1" x14ac:dyDescent="0.2">
      <c r="P986" s="13"/>
    </row>
    <row r="987" spans="16:16" ht="15.75" customHeight="1" x14ac:dyDescent="0.2">
      <c r="P987" s="13"/>
    </row>
    <row r="988" spans="16:16" ht="15.75" customHeight="1" x14ac:dyDescent="0.2">
      <c r="P988" s="13"/>
    </row>
    <row r="989" spans="16:16" ht="15.75" customHeight="1" x14ac:dyDescent="0.2">
      <c r="P989" s="13"/>
    </row>
    <row r="990" spans="16:16" ht="15.75" customHeight="1" x14ac:dyDescent="0.2">
      <c r="P990" s="13"/>
    </row>
    <row r="991" spans="16:16" ht="15.75" customHeight="1" x14ac:dyDescent="0.2">
      <c r="P991" s="13"/>
    </row>
    <row r="992" spans="16:16" ht="15.75" customHeight="1" x14ac:dyDescent="0.2">
      <c r="P992" s="13"/>
    </row>
    <row r="993" spans="16:16" ht="15.75" customHeight="1" x14ac:dyDescent="0.2">
      <c r="P993" s="13"/>
    </row>
    <row r="994" spans="16:16" ht="15.75" customHeight="1" x14ac:dyDescent="0.2">
      <c r="P994" s="13"/>
    </row>
    <row r="995" spans="16:16" ht="15.75" customHeight="1" x14ac:dyDescent="0.2">
      <c r="P995" s="13"/>
    </row>
    <row r="996" spans="16:16" ht="15.75" customHeight="1" x14ac:dyDescent="0.2">
      <c r="P996" s="13"/>
    </row>
    <row r="997" spans="16:16" ht="15.75" customHeight="1" x14ac:dyDescent="0.2">
      <c r="P997" s="13"/>
    </row>
    <row r="998" spans="16:16" ht="15.75" customHeight="1" x14ac:dyDescent="0.2">
      <c r="P998" s="13"/>
    </row>
    <row r="999" spans="16:16" ht="15.75" customHeight="1" x14ac:dyDescent="0.2">
      <c r="P999" s="13"/>
    </row>
    <row r="1000" spans="16:16"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61"/>
  <sheetViews>
    <sheetView workbookViewId="0"/>
  </sheetViews>
  <sheetFormatPr baseColWidth="10" defaultColWidth="14.5" defaultRowHeight="15" customHeight="1" x14ac:dyDescent="0.2"/>
  <cols>
    <col min="1" max="1" width="24.5" customWidth="1"/>
    <col min="2" max="3" width="37.83203125" customWidth="1"/>
  </cols>
  <sheetData>
    <row r="1" spans="1:3" x14ac:dyDescent="0.2">
      <c r="A1" s="9" t="s">
        <v>1</v>
      </c>
      <c r="B1" s="9" t="s">
        <v>1176</v>
      </c>
      <c r="C1" s="9" t="s">
        <v>1177</v>
      </c>
    </row>
    <row r="2" spans="1:3" x14ac:dyDescent="0.2">
      <c r="A2" s="5" t="s">
        <v>27</v>
      </c>
      <c r="B2" s="5">
        <f ca="1">IF(SUMIF('02 EXPERIENCIA LABORAL'!B:B,A2,'02 EXPERIENCIA LABORAL'!P:P)&gt;0,1,0)</f>
        <v>1</v>
      </c>
      <c r="C2" s="5">
        <f ca="1">SUMIF('02 EXPERIENCIA LABORAL'!B:B,A2,'02 EXPERIENCIA LABORAL'!P:P)</f>
        <v>3</v>
      </c>
    </row>
    <row r="3" spans="1:3" x14ac:dyDescent="0.2">
      <c r="A3" s="5" t="s">
        <v>40</v>
      </c>
      <c r="B3" s="5">
        <f ca="1">IF(SUMIF('02 EXPERIENCIA LABORAL'!B:B,A3,'02 EXPERIENCIA LABORAL'!P:P)&gt;0,1,0)</f>
        <v>0</v>
      </c>
      <c r="C3" s="5">
        <f ca="1">SUMIF('02 EXPERIENCIA LABORAL'!B:B,A3,'02 EXPERIENCIA LABORAL'!P:P)</f>
        <v>0</v>
      </c>
    </row>
    <row r="4" spans="1:3" x14ac:dyDescent="0.2">
      <c r="A4" s="5" t="s">
        <v>50</v>
      </c>
      <c r="B4" s="5">
        <f ca="1">IF(SUMIF('02 EXPERIENCIA LABORAL'!B:B,A4,'02 EXPERIENCIA LABORAL'!P:P)&gt;0,1,0)</f>
        <v>1</v>
      </c>
      <c r="C4" s="5">
        <f ca="1">SUMIF('02 EXPERIENCIA LABORAL'!B:B,A4,'02 EXPERIENCIA LABORAL'!P:P)</f>
        <v>2</v>
      </c>
    </row>
    <row r="5" spans="1:3" x14ac:dyDescent="0.2">
      <c r="A5" s="5" t="s">
        <v>61</v>
      </c>
      <c r="B5" s="5">
        <f ca="1">IF(SUMIF('02 EXPERIENCIA LABORAL'!B:B,A5,'02 EXPERIENCIA LABORAL'!P:P)&gt;0,1,0)</f>
        <v>1</v>
      </c>
      <c r="C5" s="5">
        <f ca="1">SUMIF('02 EXPERIENCIA LABORAL'!B:B,A5,'02 EXPERIENCIA LABORAL'!P:P)</f>
        <v>1</v>
      </c>
    </row>
    <row r="6" spans="1:3" x14ac:dyDescent="0.2">
      <c r="A6" s="5" t="s">
        <v>71</v>
      </c>
      <c r="B6" s="5">
        <f ca="1">IF(SUMIF('02 EXPERIENCIA LABORAL'!B:B,A6,'02 EXPERIENCIA LABORAL'!P:P)&gt;0,1,0)</f>
        <v>1</v>
      </c>
      <c r="C6" s="5">
        <f ca="1">SUMIF('02 EXPERIENCIA LABORAL'!B:B,A6,'02 EXPERIENCIA LABORAL'!P:P)</f>
        <v>1</v>
      </c>
    </row>
    <row r="7" spans="1:3" x14ac:dyDescent="0.2">
      <c r="A7" s="5" t="s">
        <v>82</v>
      </c>
      <c r="B7" s="5">
        <f ca="1">IF(SUMIF('02 EXPERIENCIA LABORAL'!B:B,A7,'02 EXPERIENCIA LABORAL'!P:P)&gt;0,1,0)</f>
        <v>0</v>
      </c>
      <c r="C7" s="5">
        <f ca="1">SUMIF('02 EXPERIENCIA LABORAL'!B:B,A7,'02 EXPERIENCIA LABORAL'!P:P)</f>
        <v>0</v>
      </c>
    </row>
    <row r="8" spans="1:3" x14ac:dyDescent="0.2">
      <c r="A8" s="5" t="s">
        <v>93</v>
      </c>
      <c r="B8" s="5">
        <f ca="1">IF(SUMIF('02 EXPERIENCIA LABORAL'!B:B,A8,'02 EXPERIENCIA LABORAL'!P:P)&gt;0,1,0)</f>
        <v>0</v>
      </c>
      <c r="C8" s="5">
        <f ca="1">SUMIF('02 EXPERIENCIA LABORAL'!B:B,A8,'02 EXPERIENCIA LABORAL'!P:P)</f>
        <v>0</v>
      </c>
    </row>
    <row r="9" spans="1:3" x14ac:dyDescent="0.2">
      <c r="A9" s="5" t="s">
        <v>102</v>
      </c>
      <c r="B9" s="5">
        <f ca="1">IF(SUMIF('02 EXPERIENCIA LABORAL'!B:B,A9,'02 EXPERIENCIA LABORAL'!P:P)&gt;0,1,0)</f>
        <v>1</v>
      </c>
      <c r="C9" s="5">
        <f ca="1">SUMIF('02 EXPERIENCIA LABORAL'!B:B,A9,'02 EXPERIENCIA LABORAL'!P:P)</f>
        <v>1</v>
      </c>
    </row>
    <row r="10" spans="1:3" x14ac:dyDescent="0.2">
      <c r="A10" s="5" t="s">
        <v>112</v>
      </c>
      <c r="B10" s="5">
        <f ca="1">IF(SUMIF('02 EXPERIENCIA LABORAL'!B:B,A10,'02 EXPERIENCIA LABORAL'!P:P)&gt;0,1,0)</f>
        <v>1</v>
      </c>
      <c r="C10" s="5">
        <f ca="1">SUMIF('02 EXPERIENCIA LABORAL'!B:B,A10,'02 EXPERIENCIA LABORAL'!P:P)</f>
        <v>4</v>
      </c>
    </row>
    <row r="11" spans="1:3" x14ac:dyDescent="0.2">
      <c r="A11" s="5" t="s">
        <v>123</v>
      </c>
      <c r="B11" s="5">
        <f ca="1">IF(SUMIF('02 EXPERIENCIA LABORAL'!B:B,A11,'02 EXPERIENCIA LABORAL'!P:P)&gt;0,1,0)</f>
        <v>1</v>
      </c>
      <c r="C11" s="5">
        <f ca="1">SUMIF('02 EXPERIENCIA LABORAL'!B:B,A11,'02 EXPERIENCIA LABORAL'!P:P)</f>
        <v>1</v>
      </c>
    </row>
    <row r="12" spans="1:3" x14ac:dyDescent="0.2">
      <c r="A12" s="5" t="s">
        <v>134</v>
      </c>
      <c r="B12" s="5">
        <f ca="1">IF(SUMIF('02 EXPERIENCIA LABORAL'!B:B,A12,'02 EXPERIENCIA LABORAL'!P:P)&gt;0,1,0)</f>
        <v>1</v>
      </c>
      <c r="C12" s="5">
        <f ca="1">SUMIF('02 EXPERIENCIA LABORAL'!B:B,A12,'02 EXPERIENCIA LABORAL'!P:P)</f>
        <v>1</v>
      </c>
    </row>
    <row r="13" spans="1:3" x14ac:dyDescent="0.2">
      <c r="A13" s="5" t="s">
        <v>144</v>
      </c>
      <c r="B13" s="5">
        <f ca="1">IF(SUMIF('02 EXPERIENCIA LABORAL'!B:B,A13,'02 EXPERIENCIA LABORAL'!P:P)&gt;0,1,0)</f>
        <v>1</v>
      </c>
      <c r="C13" s="5">
        <f ca="1">SUMIF('02 EXPERIENCIA LABORAL'!B:B,A13,'02 EXPERIENCIA LABORAL'!P:P)</f>
        <v>1</v>
      </c>
    </row>
    <row r="14" spans="1:3" x14ac:dyDescent="0.2">
      <c r="A14" s="5" t="s">
        <v>154</v>
      </c>
      <c r="B14" s="5">
        <f ca="1">IF(SUMIF('02 EXPERIENCIA LABORAL'!B:B,A14,'02 EXPERIENCIA LABORAL'!P:P)&gt;0,1,0)</f>
        <v>1</v>
      </c>
      <c r="C14" s="5">
        <f ca="1">SUMIF('02 EXPERIENCIA LABORAL'!B:B,A14,'02 EXPERIENCIA LABORAL'!P:P)</f>
        <v>2</v>
      </c>
    </row>
    <row r="15" spans="1:3" x14ac:dyDescent="0.2">
      <c r="A15" s="5" t="s">
        <v>165</v>
      </c>
      <c r="B15" s="5">
        <f ca="1">IF(SUMIF('02 EXPERIENCIA LABORAL'!B:B,A15,'02 EXPERIENCIA LABORAL'!P:P)&gt;0,1,0)</f>
        <v>1</v>
      </c>
      <c r="C15" s="5">
        <f ca="1">SUMIF('02 EXPERIENCIA LABORAL'!B:B,A15,'02 EXPERIENCIA LABORAL'!P:P)</f>
        <v>1</v>
      </c>
    </row>
    <row r="16" spans="1:3" x14ac:dyDescent="0.2">
      <c r="A16" s="5" t="s">
        <v>176</v>
      </c>
      <c r="B16" s="5">
        <f ca="1">IF(SUMIF('02 EXPERIENCIA LABORAL'!B:B,A16,'02 EXPERIENCIA LABORAL'!P:P)&gt;0,1,0)</f>
        <v>1</v>
      </c>
      <c r="C16" s="5">
        <f ca="1">SUMIF('02 EXPERIENCIA LABORAL'!B:B,A16,'02 EXPERIENCIA LABORAL'!P:P)</f>
        <v>2</v>
      </c>
    </row>
    <row r="17" spans="1:3" x14ac:dyDescent="0.2">
      <c r="A17" s="5" t="s">
        <v>184</v>
      </c>
      <c r="B17" s="5">
        <f ca="1">IF(SUMIF('02 EXPERIENCIA LABORAL'!B:B,A17,'02 EXPERIENCIA LABORAL'!P:P)&gt;0,1,0)</f>
        <v>1</v>
      </c>
      <c r="C17" s="5">
        <f ca="1">SUMIF('02 EXPERIENCIA LABORAL'!B:B,A17,'02 EXPERIENCIA LABORAL'!P:P)</f>
        <v>2</v>
      </c>
    </row>
    <row r="18" spans="1:3" x14ac:dyDescent="0.2">
      <c r="A18" s="5" t="s">
        <v>193</v>
      </c>
      <c r="B18" s="5">
        <f ca="1">IF(SUMIF('02 EXPERIENCIA LABORAL'!B:B,A18,'02 EXPERIENCIA LABORAL'!P:P)&gt;0,1,0)</f>
        <v>1</v>
      </c>
      <c r="C18" s="5">
        <f ca="1">SUMIF('02 EXPERIENCIA LABORAL'!B:B,A18,'02 EXPERIENCIA LABORAL'!P:P)</f>
        <v>1</v>
      </c>
    </row>
    <row r="19" spans="1:3" x14ac:dyDescent="0.2">
      <c r="A19" s="5" t="s">
        <v>200</v>
      </c>
      <c r="B19" s="5">
        <f ca="1">IF(SUMIF('02 EXPERIENCIA LABORAL'!B:B,A19,'02 EXPERIENCIA LABORAL'!P:P)&gt;0,1,0)</f>
        <v>0</v>
      </c>
      <c r="C19" s="5">
        <f ca="1">SUMIF('02 EXPERIENCIA LABORAL'!B:B,A19,'02 EXPERIENCIA LABORAL'!P:P)</f>
        <v>0</v>
      </c>
    </row>
    <row r="20" spans="1:3" x14ac:dyDescent="0.2">
      <c r="A20" s="5" t="s">
        <v>211</v>
      </c>
      <c r="B20" s="5">
        <f ca="1">IF(SUMIF('02 EXPERIENCIA LABORAL'!B:B,A20,'02 EXPERIENCIA LABORAL'!P:P)&gt;0,1,0)</f>
        <v>0</v>
      </c>
      <c r="C20" s="5">
        <f ca="1">SUMIF('02 EXPERIENCIA LABORAL'!B:B,A20,'02 EXPERIENCIA LABORAL'!P:P)</f>
        <v>0</v>
      </c>
    </row>
    <row r="21" spans="1:3" x14ac:dyDescent="0.2">
      <c r="A21" s="5" t="s">
        <v>221</v>
      </c>
      <c r="B21" s="5">
        <f ca="1">IF(SUMIF('02 EXPERIENCIA LABORAL'!B:B,A21,'02 EXPERIENCIA LABORAL'!P:P)&gt;0,1,0)</f>
        <v>1</v>
      </c>
      <c r="C21" s="5">
        <f ca="1">SUMIF('02 EXPERIENCIA LABORAL'!B:B,A21,'02 EXPERIENCIA LABORAL'!P:P)</f>
        <v>1</v>
      </c>
    </row>
    <row r="22" spans="1:3" x14ac:dyDescent="0.2">
      <c r="A22" s="5" t="s">
        <v>229</v>
      </c>
      <c r="B22" s="5">
        <f ca="1">IF(SUMIF('02 EXPERIENCIA LABORAL'!B:B,A22,'02 EXPERIENCIA LABORAL'!P:P)&gt;0,1,0)</f>
        <v>1</v>
      </c>
      <c r="C22" s="5">
        <f ca="1">SUMIF('02 EXPERIENCIA LABORAL'!B:B,A22,'02 EXPERIENCIA LABORAL'!P:P)</f>
        <v>2</v>
      </c>
    </row>
    <row r="23" spans="1:3" x14ac:dyDescent="0.2">
      <c r="A23" s="5" t="s">
        <v>238</v>
      </c>
      <c r="B23" s="5">
        <f ca="1">IF(SUMIF('02 EXPERIENCIA LABORAL'!B:B,A23,'02 EXPERIENCIA LABORAL'!P:P)&gt;0,1,0)</f>
        <v>1</v>
      </c>
      <c r="C23" s="5">
        <f ca="1">SUMIF('02 EXPERIENCIA LABORAL'!B:B,A23,'02 EXPERIENCIA LABORAL'!P:P)</f>
        <v>2</v>
      </c>
    </row>
    <row r="24" spans="1:3" x14ac:dyDescent="0.2">
      <c r="A24" s="5" t="s">
        <v>247</v>
      </c>
      <c r="B24" s="5">
        <f ca="1">IF(SUMIF('02 EXPERIENCIA LABORAL'!B:B,A24,'02 EXPERIENCIA LABORAL'!P:P)&gt;0,1,0)</f>
        <v>0</v>
      </c>
      <c r="C24" s="5">
        <f ca="1">SUMIF('02 EXPERIENCIA LABORAL'!B:B,A24,'02 EXPERIENCIA LABORAL'!P:P)</f>
        <v>0</v>
      </c>
    </row>
    <row r="25" spans="1:3" x14ac:dyDescent="0.2">
      <c r="A25" s="5" t="s">
        <v>257</v>
      </c>
      <c r="B25" s="5">
        <f ca="1">IF(SUMIF('02 EXPERIENCIA LABORAL'!B:B,A25,'02 EXPERIENCIA LABORAL'!P:P)&gt;0,1,0)</f>
        <v>1</v>
      </c>
      <c r="C25" s="5">
        <f ca="1">SUMIF('02 EXPERIENCIA LABORAL'!B:B,A25,'02 EXPERIENCIA LABORAL'!P:P)</f>
        <v>2</v>
      </c>
    </row>
    <row r="26" spans="1:3" x14ac:dyDescent="0.2">
      <c r="A26" s="5" t="s">
        <v>268</v>
      </c>
      <c r="B26" s="5">
        <f ca="1">IF(SUMIF('02 EXPERIENCIA LABORAL'!B:B,A26,'02 EXPERIENCIA LABORAL'!P:P)&gt;0,1,0)</f>
        <v>0</v>
      </c>
      <c r="C26" s="5">
        <f ca="1">SUMIF('02 EXPERIENCIA LABORAL'!B:B,A26,'02 EXPERIENCIA LABORAL'!P:P)</f>
        <v>0</v>
      </c>
    </row>
    <row r="27" spans="1:3" x14ac:dyDescent="0.2">
      <c r="A27" s="5" t="s">
        <v>277</v>
      </c>
      <c r="B27" s="5">
        <f ca="1">IF(SUMIF('02 EXPERIENCIA LABORAL'!B:B,A27,'02 EXPERIENCIA LABORAL'!P:P)&gt;0,1,0)</f>
        <v>0</v>
      </c>
      <c r="C27" s="5">
        <f ca="1">SUMIF('02 EXPERIENCIA LABORAL'!B:B,A27,'02 EXPERIENCIA LABORAL'!P:P)</f>
        <v>0</v>
      </c>
    </row>
    <row r="28" spans="1:3" x14ac:dyDescent="0.2">
      <c r="A28" s="5" t="s">
        <v>288</v>
      </c>
      <c r="B28" s="5">
        <f ca="1">IF(SUMIF('02 EXPERIENCIA LABORAL'!B:B,A28,'02 EXPERIENCIA LABORAL'!P:P)&gt;0,1,0)</f>
        <v>1</v>
      </c>
      <c r="C28" s="5">
        <f ca="1">SUMIF('02 EXPERIENCIA LABORAL'!B:B,A28,'02 EXPERIENCIA LABORAL'!P:P)</f>
        <v>1</v>
      </c>
    </row>
    <row r="29" spans="1:3" x14ac:dyDescent="0.2">
      <c r="A29" s="5" t="s">
        <v>296</v>
      </c>
      <c r="B29" s="5">
        <f ca="1">IF(SUMIF('02 EXPERIENCIA LABORAL'!B:B,A29,'02 EXPERIENCIA LABORAL'!P:P)&gt;0,1,0)</f>
        <v>0</v>
      </c>
      <c r="C29" s="5">
        <f ca="1">SUMIF('02 EXPERIENCIA LABORAL'!B:B,A29,'02 EXPERIENCIA LABORAL'!P:P)</f>
        <v>0</v>
      </c>
    </row>
    <row r="30" spans="1:3" x14ac:dyDescent="0.2">
      <c r="A30" s="5" t="s">
        <v>305</v>
      </c>
      <c r="B30" s="5">
        <f ca="1">IF(SUMIF('02 EXPERIENCIA LABORAL'!B:B,A30,'02 EXPERIENCIA LABORAL'!P:P)&gt;0,1,0)</f>
        <v>0</v>
      </c>
      <c r="C30" s="5">
        <f ca="1">SUMIF('02 EXPERIENCIA LABORAL'!B:B,A30,'02 EXPERIENCIA LABORAL'!P:P)</f>
        <v>0</v>
      </c>
    </row>
    <row r="31" spans="1:3" x14ac:dyDescent="0.2">
      <c r="A31" s="5" t="s">
        <v>316</v>
      </c>
      <c r="B31" s="5">
        <f ca="1">IF(SUMIF('02 EXPERIENCIA LABORAL'!B:B,A31,'02 EXPERIENCIA LABORAL'!P:P)&gt;0,1,0)</f>
        <v>1</v>
      </c>
      <c r="C31" s="5">
        <f ca="1">SUMIF('02 EXPERIENCIA LABORAL'!B:B,A31,'02 EXPERIENCIA LABORAL'!P:P)</f>
        <v>1</v>
      </c>
    </row>
    <row r="32" spans="1:3" x14ac:dyDescent="0.2">
      <c r="A32" s="5" t="s">
        <v>327</v>
      </c>
      <c r="B32" s="5">
        <f ca="1">IF(SUMIF('02 EXPERIENCIA LABORAL'!B:B,A32,'02 EXPERIENCIA LABORAL'!P:P)&gt;0,1,0)</f>
        <v>0</v>
      </c>
      <c r="C32" s="5">
        <f ca="1">SUMIF('02 EXPERIENCIA LABORAL'!B:B,A32,'02 EXPERIENCIA LABORAL'!P:P)</f>
        <v>0</v>
      </c>
    </row>
    <row r="33" spans="1:3" x14ac:dyDescent="0.2">
      <c r="A33" s="5" t="s">
        <v>337</v>
      </c>
      <c r="B33" s="5">
        <f ca="1">IF(SUMIF('02 EXPERIENCIA LABORAL'!B:B,A33,'02 EXPERIENCIA LABORAL'!P:P)&gt;0,1,0)</f>
        <v>1</v>
      </c>
      <c r="C33" s="5">
        <f ca="1">SUMIF('02 EXPERIENCIA LABORAL'!B:B,A33,'02 EXPERIENCIA LABORAL'!P:P)</f>
        <v>2</v>
      </c>
    </row>
    <row r="34" spans="1:3" x14ac:dyDescent="0.2">
      <c r="A34" s="5" t="s">
        <v>346</v>
      </c>
      <c r="B34" s="5">
        <f ca="1">IF(SUMIF('02 EXPERIENCIA LABORAL'!B:B,A34,'02 EXPERIENCIA LABORAL'!P:P)&gt;0,1,0)</f>
        <v>0</v>
      </c>
      <c r="C34" s="5">
        <f ca="1">SUMIF('02 EXPERIENCIA LABORAL'!B:B,A34,'02 EXPERIENCIA LABORAL'!P:P)</f>
        <v>0</v>
      </c>
    </row>
    <row r="35" spans="1:3" x14ac:dyDescent="0.2">
      <c r="A35" s="5" t="s">
        <v>355</v>
      </c>
      <c r="B35" s="5">
        <f ca="1">IF(SUMIF('02 EXPERIENCIA LABORAL'!B:B,A35,'02 EXPERIENCIA LABORAL'!P:P)&gt;0,1,0)</f>
        <v>1</v>
      </c>
      <c r="C35" s="5">
        <f ca="1">SUMIF('02 EXPERIENCIA LABORAL'!B:B,A35,'02 EXPERIENCIA LABORAL'!P:P)</f>
        <v>1</v>
      </c>
    </row>
    <row r="36" spans="1:3" x14ac:dyDescent="0.2">
      <c r="A36" s="5" t="s">
        <v>363</v>
      </c>
      <c r="B36" s="5">
        <f ca="1">IF(SUMIF('02 EXPERIENCIA LABORAL'!B:B,A36,'02 EXPERIENCIA LABORAL'!P:P)&gt;0,1,0)</f>
        <v>1</v>
      </c>
      <c r="C36" s="5">
        <f ca="1">SUMIF('02 EXPERIENCIA LABORAL'!B:B,A36,'02 EXPERIENCIA LABORAL'!P:P)</f>
        <v>1</v>
      </c>
    </row>
    <row r="37" spans="1:3" x14ac:dyDescent="0.2">
      <c r="A37" s="5" t="s">
        <v>372</v>
      </c>
      <c r="B37" s="5">
        <f ca="1">IF(SUMIF('02 EXPERIENCIA LABORAL'!B:B,A37,'02 EXPERIENCIA LABORAL'!P:P)&gt;0,1,0)</f>
        <v>0</v>
      </c>
      <c r="C37" s="5">
        <f ca="1">SUMIF('02 EXPERIENCIA LABORAL'!B:B,A37,'02 EXPERIENCIA LABORAL'!P:P)</f>
        <v>0</v>
      </c>
    </row>
    <row r="38" spans="1:3" x14ac:dyDescent="0.2">
      <c r="A38" s="5" t="s">
        <v>381</v>
      </c>
      <c r="B38" s="5">
        <f ca="1">IF(SUMIF('02 EXPERIENCIA LABORAL'!B:B,A38,'02 EXPERIENCIA LABORAL'!P:P)&gt;0,1,0)</f>
        <v>0</v>
      </c>
      <c r="C38" s="5">
        <f ca="1">SUMIF('02 EXPERIENCIA LABORAL'!B:B,A38,'02 EXPERIENCIA LABORAL'!P:P)</f>
        <v>0</v>
      </c>
    </row>
    <row r="39" spans="1:3" x14ac:dyDescent="0.2">
      <c r="A39" s="5" t="s">
        <v>390</v>
      </c>
      <c r="B39" s="5">
        <f ca="1">IF(SUMIF('02 EXPERIENCIA LABORAL'!B:B,A39,'02 EXPERIENCIA LABORAL'!P:P)&gt;0,1,0)</f>
        <v>1</v>
      </c>
      <c r="C39" s="5">
        <f ca="1">SUMIF('02 EXPERIENCIA LABORAL'!B:B,A39,'02 EXPERIENCIA LABORAL'!P:P)</f>
        <v>1</v>
      </c>
    </row>
    <row r="40" spans="1:3" x14ac:dyDescent="0.2">
      <c r="A40" s="5" t="s">
        <v>399</v>
      </c>
      <c r="B40" s="5">
        <f ca="1">IF(SUMIF('02 EXPERIENCIA LABORAL'!B:B,A40,'02 EXPERIENCIA LABORAL'!P:P)&gt;0,1,0)</f>
        <v>0</v>
      </c>
      <c r="C40" s="5">
        <f ca="1">SUMIF('02 EXPERIENCIA LABORAL'!B:B,A40,'02 EXPERIENCIA LABORAL'!P:P)</f>
        <v>0</v>
      </c>
    </row>
    <row r="41" spans="1:3" x14ac:dyDescent="0.2">
      <c r="A41" s="5" t="s">
        <v>407</v>
      </c>
      <c r="B41" s="5">
        <f ca="1">IF(SUMIF('02 EXPERIENCIA LABORAL'!B:B,A41,'02 EXPERIENCIA LABORAL'!P:P)&gt;0,1,0)</f>
        <v>0</v>
      </c>
      <c r="C41" s="5">
        <f ca="1">SUMIF('02 EXPERIENCIA LABORAL'!B:B,A41,'02 EXPERIENCIA LABORAL'!P:P)</f>
        <v>0</v>
      </c>
    </row>
    <row r="42" spans="1:3" x14ac:dyDescent="0.2">
      <c r="A42" s="5" t="s">
        <v>417</v>
      </c>
      <c r="B42" s="5">
        <f ca="1">IF(SUMIF('02 EXPERIENCIA LABORAL'!B:B,A42,'02 EXPERIENCIA LABORAL'!P:P)&gt;0,1,0)</f>
        <v>0</v>
      </c>
      <c r="C42" s="5">
        <f ca="1">SUMIF('02 EXPERIENCIA LABORAL'!B:B,A42,'02 EXPERIENCIA LABORAL'!P:P)</f>
        <v>0</v>
      </c>
    </row>
    <row r="43" spans="1:3" x14ac:dyDescent="0.2">
      <c r="A43" s="5" t="s">
        <v>427</v>
      </c>
      <c r="B43" s="5">
        <f ca="1">IF(SUMIF('02 EXPERIENCIA LABORAL'!B:B,A43,'02 EXPERIENCIA LABORAL'!P:P)&gt;0,1,0)</f>
        <v>0</v>
      </c>
      <c r="C43" s="5">
        <f ca="1">SUMIF('02 EXPERIENCIA LABORAL'!B:B,A43,'02 EXPERIENCIA LABORAL'!P:P)</f>
        <v>0</v>
      </c>
    </row>
    <row r="44" spans="1:3" x14ac:dyDescent="0.2">
      <c r="A44" s="5" t="s">
        <v>435</v>
      </c>
      <c r="B44" s="5">
        <f ca="1">IF(SUMIF('02 EXPERIENCIA LABORAL'!B:B,A44,'02 EXPERIENCIA LABORAL'!P:P)&gt;0,1,0)</f>
        <v>0</v>
      </c>
      <c r="C44" s="5">
        <f ca="1">SUMIF('02 EXPERIENCIA LABORAL'!B:B,A44,'02 EXPERIENCIA LABORAL'!P:P)</f>
        <v>0</v>
      </c>
    </row>
    <row r="45" spans="1:3" x14ac:dyDescent="0.2">
      <c r="A45" s="5" t="s">
        <v>444</v>
      </c>
      <c r="B45" s="5">
        <f ca="1">IF(SUMIF('02 EXPERIENCIA LABORAL'!B:B,A45,'02 EXPERIENCIA LABORAL'!P:P)&gt;0,1,0)</f>
        <v>0</v>
      </c>
      <c r="C45" s="5">
        <f ca="1">SUMIF('02 EXPERIENCIA LABORAL'!B:B,A45,'02 EXPERIENCIA LABORAL'!P:P)</f>
        <v>0</v>
      </c>
    </row>
    <row r="46" spans="1:3" x14ac:dyDescent="0.2">
      <c r="A46" s="5" t="s">
        <v>452</v>
      </c>
      <c r="B46" s="5">
        <f ca="1">IF(SUMIF('02 EXPERIENCIA LABORAL'!B:B,A46,'02 EXPERIENCIA LABORAL'!P:P)&gt;0,1,0)</f>
        <v>0</v>
      </c>
      <c r="C46" s="5">
        <f ca="1">SUMIF('02 EXPERIENCIA LABORAL'!B:B,A46,'02 EXPERIENCIA LABORAL'!P:P)</f>
        <v>0</v>
      </c>
    </row>
    <row r="47" spans="1:3" x14ac:dyDescent="0.2">
      <c r="A47" s="5" t="s">
        <v>460</v>
      </c>
      <c r="B47" s="5">
        <f ca="1">IF(SUMIF('02 EXPERIENCIA LABORAL'!B:B,A47,'02 EXPERIENCIA LABORAL'!P:P)&gt;0,1,0)</f>
        <v>0</v>
      </c>
      <c r="C47" s="5">
        <f ca="1">SUMIF('02 EXPERIENCIA LABORAL'!B:B,A47,'02 EXPERIENCIA LABORAL'!P:P)</f>
        <v>0</v>
      </c>
    </row>
    <row r="48" spans="1:3" x14ac:dyDescent="0.2">
      <c r="A48" s="5" t="s">
        <v>468</v>
      </c>
      <c r="B48" s="5">
        <f ca="1">IF(SUMIF('02 EXPERIENCIA LABORAL'!B:B,A48,'02 EXPERIENCIA LABORAL'!P:P)&gt;0,1,0)</f>
        <v>1</v>
      </c>
      <c r="C48" s="5">
        <f ca="1">SUMIF('02 EXPERIENCIA LABORAL'!B:B,A48,'02 EXPERIENCIA LABORAL'!P:P)</f>
        <v>1</v>
      </c>
    </row>
    <row r="49" spans="1:3" x14ac:dyDescent="0.2">
      <c r="A49" s="5" t="s">
        <v>476</v>
      </c>
      <c r="B49" s="5">
        <f ca="1">IF(SUMIF('02 EXPERIENCIA LABORAL'!B:B,A49,'02 EXPERIENCIA LABORAL'!P:P)&gt;0,1,0)</f>
        <v>0</v>
      </c>
      <c r="C49" s="5">
        <f ca="1">SUMIF('02 EXPERIENCIA LABORAL'!B:B,A49,'02 EXPERIENCIA LABORAL'!P:P)</f>
        <v>0</v>
      </c>
    </row>
    <row r="50" spans="1:3" x14ac:dyDescent="0.2">
      <c r="A50" s="5" t="s">
        <v>486</v>
      </c>
      <c r="B50" s="5">
        <f ca="1">IF(SUMIF('02 EXPERIENCIA LABORAL'!B:B,A50,'02 EXPERIENCIA LABORAL'!P:P)&gt;0,1,0)</f>
        <v>1</v>
      </c>
      <c r="C50" s="5">
        <f ca="1">SUMIF('02 EXPERIENCIA LABORAL'!B:B,A50,'02 EXPERIENCIA LABORAL'!P:P)</f>
        <v>1</v>
      </c>
    </row>
    <row r="51" spans="1:3" x14ac:dyDescent="0.2">
      <c r="A51" s="5" t="s">
        <v>494</v>
      </c>
      <c r="B51" s="5">
        <f ca="1">IF(SUMIF('02 EXPERIENCIA LABORAL'!B:B,A51,'02 EXPERIENCIA LABORAL'!P:P)&gt;0,1,0)</f>
        <v>1</v>
      </c>
      <c r="C51" s="5">
        <f ca="1">SUMIF('02 EXPERIENCIA LABORAL'!B:B,A51,'02 EXPERIENCIA LABORAL'!P:P)</f>
        <v>1</v>
      </c>
    </row>
    <row r="52" spans="1:3" x14ac:dyDescent="0.2">
      <c r="A52" s="5" t="s">
        <v>503</v>
      </c>
      <c r="B52" s="5">
        <f ca="1">IF(SUMIF('02 EXPERIENCIA LABORAL'!B:B,A52,'02 EXPERIENCIA LABORAL'!P:P)&gt;0,1,0)</f>
        <v>0</v>
      </c>
      <c r="C52" s="5">
        <f ca="1">SUMIF('02 EXPERIENCIA LABORAL'!B:B,A52,'02 EXPERIENCIA LABORAL'!P:P)</f>
        <v>0</v>
      </c>
    </row>
    <row r="53" spans="1:3" x14ac:dyDescent="0.2">
      <c r="A53" s="5" t="s">
        <v>511</v>
      </c>
      <c r="B53" s="5">
        <f ca="1">IF(SUMIF('02 EXPERIENCIA LABORAL'!B:B,A53,'02 EXPERIENCIA LABORAL'!P:P)&gt;0,1,0)</f>
        <v>1</v>
      </c>
      <c r="C53" s="5">
        <f ca="1">SUMIF('02 EXPERIENCIA LABORAL'!B:B,A53,'02 EXPERIENCIA LABORAL'!P:P)</f>
        <v>1</v>
      </c>
    </row>
    <row r="54" spans="1:3" x14ac:dyDescent="0.2">
      <c r="A54" s="5" t="s">
        <v>519</v>
      </c>
      <c r="B54" s="5">
        <f ca="1">IF(SUMIF('02 EXPERIENCIA LABORAL'!B:B,A54,'02 EXPERIENCIA LABORAL'!P:P)&gt;0,1,0)</f>
        <v>0</v>
      </c>
      <c r="C54" s="5">
        <f ca="1">SUMIF('02 EXPERIENCIA LABORAL'!B:B,A54,'02 EXPERIENCIA LABORAL'!P:P)</f>
        <v>0</v>
      </c>
    </row>
    <row r="55" spans="1:3" x14ac:dyDescent="0.2">
      <c r="A55" s="5" t="s">
        <v>527</v>
      </c>
      <c r="B55" s="5">
        <f ca="1">IF(SUMIF('02 EXPERIENCIA LABORAL'!B:B,A55,'02 EXPERIENCIA LABORAL'!P:P)&gt;0,1,0)</f>
        <v>0</v>
      </c>
      <c r="C55" s="5">
        <f ca="1">SUMIF('02 EXPERIENCIA LABORAL'!B:B,A55,'02 EXPERIENCIA LABORAL'!P:P)</f>
        <v>0</v>
      </c>
    </row>
    <row r="56" spans="1:3" x14ac:dyDescent="0.2">
      <c r="A56" s="5" t="s">
        <v>537</v>
      </c>
      <c r="B56" s="5">
        <f ca="1">IF(SUMIF('02 EXPERIENCIA LABORAL'!B:B,A56,'02 EXPERIENCIA LABORAL'!P:P)&gt;0,1,0)</f>
        <v>1</v>
      </c>
      <c r="C56" s="5">
        <f ca="1">SUMIF('02 EXPERIENCIA LABORAL'!B:B,A56,'02 EXPERIENCIA LABORAL'!P:P)</f>
        <v>2</v>
      </c>
    </row>
    <row r="57" spans="1:3" x14ac:dyDescent="0.2">
      <c r="A57" s="5" t="s">
        <v>546</v>
      </c>
      <c r="B57" s="5">
        <f ca="1">IF(SUMIF('02 EXPERIENCIA LABORAL'!B:B,A57,'02 EXPERIENCIA LABORAL'!P:P)&gt;0,1,0)</f>
        <v>0</v>
      </c>
      <c r="C57" s="5">
        <f ca="1">SUMIF('02 EXPERIENCIA LABORAL'!B:B,A57,'02 EXPERIENCIA LABORAL'!P:P)</f>
        <v>0</v>
      </c>
    </row>
    <row r="58" spans="1:3" x14ac:dyDescent="0.2">
      <c r="A58" s="5" t="s">
        <v>555</v>
      </c>
      <c r="B58" s="5">
        <f ca="1">IF(SUMIF('02 EXPERIENCIA LABORAL'!B:B,A58,'02 EXPERIENCIA LABORAL'!P:P)&gt;0,1,0)</f>
        <v>1</v>
      </c>
      <c r="C58" s="5">
        <f ca="1">SUMIF('02 EXPERIENCIA LABORAL'!B:B,A58,'02 EXPERIENCIA LABORAL'!P:P)</f>
        <v>1</v>
      </c>
    </row>
    <row r="59" spans="1:3" x14ac:dyDescent="0.2">
      <c r="A59" s="5" t="s">
        <v>562</v>
      </c>
      <c r="B59">
        <f ca="1">IF(SUMIF('02 EXPERIENCIA LABORAL'!B:B,A59,'02 EXPERIENCIA LABORAL'!P:P)&gt;0,1,0)</f>
        <v>0</v>
      </c>
      <c r="C59">
        <f ca="1">SUMIF('02 EXPERIENCIA LABORAL'!B:B,A59,'02 EXPERIENCIA LABORAL'!P:P)</f>
        <v>0</v>
      </c>
    </row>
    <row r="60" spans="1:3" x14ac:dyDescent="0.2">
      <c r="A60" t="s">
        <v>568</v>
      </c>
      <c r="B60">
        <f ca="1">IF(SUMIF('02 EXPERIENCIA LABORAL'!B:B,A60,'02 EXPERIENCIA LABORAL'!P:P)&gt;0,1,0)</f>
        <v>0</v>
      </c>
      <c r="C60">
        <f ca="1">SUMIF('02 EXPERIENCIA LABORAL'!B:B,A60,'02 EXPERIENCIA LABORAL'!P:P)</f>
        <v>0</v>
      </c>
    </row>
    <row r="61" spans="1:3" x14ac:dyDescent="0.2">
      <c r="A61" t="s">
        <v>574</v>
      </c>
      <c r="B61">
        <f ca="1">IF(SUMIF('02 EXPERIENCIA LABORAL'!B:B,A61,'02 EXPERIENCIA LABORAL'!P:P)&gt;0,1,0)</f>
        <v>0</v>
      </c>
      <c r="C61">
        <f ca="1">SUMIF('02 EXPERIENCIA LABORAL'!B:B,A61,'02 EXPERIENCIA LABORAL'!P:P)</f>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baseColWidth="10" defaultColWidth="14.5" defaultRowHeight="15" customHeight="1" x14ac:dyDescent="0.2"/>
  <cols>
    <col min="1" max="26" width="8.6640625" customWidth="1"/>
  </cols>
  <sheetData>
    <row r="1" spans="1:8" x14ac:dyDescent="0.2">
      <c r="A1" s="1" t="s">
        <v>0</v>
      </c>
      <c r="B1" s="1" t="s">
        <v>1</v>
      </c>
      <c r="C1" s="1" t="s">
        <v>2</v>
      </c>
      <c r="D1" s="1" t="s">
        <v>1178</v>
      </c>
      <c r="E1" s="1" t="s">
        <v>1179</v>
      </c>
      <c r="F1" s="1" t="s">
        <v>1180</v>
      </c>
      <c r="G1" s="1" t="s">
        <v>1181</v>
      </c>
      <c r="H1" s="1" t="s">
        <v>1182</v>
      </c>
    </row>
    <row r="2" spans="1:8" x14ac:dyDescent="0.2">
      <c r="A2" s="5" t="s">
        <v>26</v>
      </c>
      <c r="B2" s="5" t="s">
        <v>27</v>
      </c>
      <c r="C2" s="5" t="s">
        <v>28</v>
      </c>
      <c r="D2" s="5" t="s">
        <v>612</v>
      </c>
      <c r="E2" s="5" t="s">
        <v>612</v>
      </c>
      <c r="F2" s="5" t="s">
        <v>612</v>
      </c>
      <c r="G2" s="5" t="s">
        <v>612</v>
      </c>
      <c r="H2" s="5" t="s">
        <v>612</v>
      </c>
    </row>
    <row r="3" spans="1:8" x14ac:dyDescent="0.2">
      <c r="A3" s="5" t="s">
        <v>26</v>
      </c>
      <c r="B3" s="5" t="s">
        <v>40</v>
      </c>
      <c r="C3" s="5" t="s">
        <v>41</v>
      </c>
      <c r="D3" s="5" t="s">
        <v>612</v>
      </c>
      <c r="E3" s="5" t="s">
        <v>612</v>
      </c>
      <c r="F3" s="5" t="s">
        <v>612</v>
      </c>
      <c r="G3" s="5" t="s">
        <v>612</v>
      </c>
      <c r="H3" s="5" t="s">
        <v>612</v>
      </c>
    </row>
    <row r="4" spans="1:8" x14ac:dyDescent="0.2">
      <c r="A4" s="5" t="s">
        <v>26</v>
      </c>
      <c r="B4" s="5" t="s">
        <v>40</v>
      </c>
      <c r="C4" s="5" t="s">
        <v>41</v>
      </c>
      <c r="D4" s="5" t="s">
        <v>612</v>
      </c>
      <c r="E4" s="5" t="s">
        <v>612</v>
      </c>
      <c r="F4" s="5" t="s">
        <v>612</v>
      </c>
      <c r="G4" s="5" t="s">
        <v>612</v>
      </c>
      <c r="H4" s="5" t="s">
        <v>612</v>
      </c>
    </row>
    <row r="5" spans="1:8" x14ac:dyDescent="0.2">
      <c r="A5" s="5" t="s">
        <v>26</v>
      </c>
      <c r="B5" s="5" t="s">
        <v>50</v>
      </c>
      <c r="C5" s="5" t="s">
        <v>51</v>
      </c>
      <c r="D5" s="5" t="s">
        <v>612</v>
      </c>
      <c r="E5" s="5" t="s">
        <v>612</v>
      </c>
      <c r="F5" s="5" t="s">
        <v>612</v>
      </c>
      <c r="G5" s="5" t="s">
        <v>612</v>
      </c>
      <c r="H5" s="5" t="s">
        <v>612</v>
      </c>
    </row>
    <row r="6" spans="1:8" x14ac:dyDescent="0.2">
      <c r="A6" s="5" t="s">
        <v>26</v>
      </c>
      <c r="B6" s="5" t="s">
        <v>61</v>
      </c>
      <c r="C6" s="5" t="s">
        <v>62</v>
      </c>
      <c r="D6" s="5" t="s">
        <v>612</v>
      </c>
      <c r="E6" s="5" t="s">
        <v>612</v>
      </c>
      <c r="F6" s="5" t="s">
        <v>612</v>
      </c>
      <c r="G6" s="5" t="s">
        <v>612</v>
      </c>
      <c r="H6" s="5" t="s">
        <v>612</v>
      </c>
    </row>
    <row r="7" spans="1:8" x14ac:dyDescent="0.2">
      <c r="A7" s="5" t="s">
        <v>70</v>
      </c>
      <c r="B7" s="5" t="s">
        <v>71</v>
      </c>
      <c r="C7" s="5" t="s">
        <v>72</v>
      </c>
      <c r="D7" s="5" t="s">
        <v>612</v>
      </c>
      <c r="E7" s="5" t="s">
        <v>612</v>
      </c>
      <c r="F7" s="5" t="s">
        <v>612</v>
      </c>
      <c r="G7" s="5" t="s">
        <v>612</v>
      </c>
      <c r="H7" s="5" t="s">
        <v>612</v>
      </c>
    </row>
    <row r="8" spans="1:8" x14ac:dyDescent="0.2">
      <c r="A8" s="5" t="s">
        <v>70</v>
      </c>
      <c r="B8" s="5" t="s">
        <v>82</v>
      </c>
      <c r="C8" s="5" t="s">
        <v>83</v>
      </c>
      <c r="D8" s="5" t="s">
        <v>612</v>
      </c>
      <c r="E8" s="5" t="s">
        <v>612</v>
      </c>
      <c r="F8" s="5" t="s">
        <v>612</v>
      </c>
      <c r="G8" s="5" t="s">
        <v>612</v>
      </c>
      <c r="H8" s="5" t="s">
        <v>612</v>
      </c>
    </row>
    <row r="9" spans="1:8" x14ac:dyDescent="0.2">
      <c r="A9" s="5" t="s">
        <v>70</v>
      </c>
      <c r="B9" s="5" t="s">
        <v>93</v>
      </c>
      <c r="C9" s="5" t="s">
        <v>94</v>
      </c>
      <c r="D9" s="5" t="s">
        <v>612</v>
      </c>
      <c r="E9" s="5" t="s">
        <v>612</v>
      </c>
      <c r="F9" s="5" t="s">
        <v>612</v>
      </c>
      <c r="G9" s="5" t="s">
        <v>612</v>
      </c>
      <c r="H9" s="5" t="s">
        <v>612</v>
      </c>
    </row>
    <row r="10" spans="1:8" x14ac:dyDescent="0.2">
      <c r="A10" s="5" t="s">
        <v>70</v>
      </c>
      <c r="B10" s="5" t="s">
        <v>102</v>
      </c>
      <c r="C10" s="5" t="s">
        <v>103</v>
      </c>
      <c r="D10" s="5" t="s">
        <v>612</v>
      </c>
      <c r="E10" s="5" t="s">
        <v>612</v>
      </c>
      <c r="F10" s="5" t="s">
        <v>612</v>
      </c>
      <c r="G10" s="5" t="s">
        <v>612</v>
      </c>
      <c r="H10" s="5" t="s">
        <v>612</v>
      </c>
    </row>
    <row r="11" spans="1:8" x14ac:dyDescent="0.2">
      <c r="A11" s="5" t="s">
        <v>70</v>
      </c>
      <c r="B11" s="5" t="s">
        <v>112</v>
      </c>
      <c r="C11" s="5" t="s">
        <v>113</v>
      </c>
      <c r="D11" s="5" t="s">
        <v>612</v>
      </c>
      <c r="E11" s="5" t="s">
        <v>612</v>
      </c>
      <c r="F11" s="5" t="s">
        <v>612</v>
      </c>
      <c r="G11" s="5" t="s">
        <v>612</v>
      </c>
      <c r="H11" s="5" t="s">
        <v>612</v>
      </c>
    </row>
    <row r="12" spans="1:8" x14ac:dyDescent="0.2">
      <c r="A12" s="5" t="s">
        <v>70</v>
      </c>
      <c r="B12" s="5" t="s">
        <v>123</v>
      </c>
      <c r="C12" s="5" t="s">
        <v>124</v>
      </c>
      <c r="D12" s="5" t="s">
        <v>612</v>
      </c>
      <c r="E12" s="5" t="s">
        <v>612</v>
      </c>
      <c r="F12" s="5" t="s">
        <v>612</v>
      </c>
      <c r="G12" s="5" t="s">
        <v>612</v>
      </c>
      <c r="H12" s="5" t="s">
        <v>612</v>
      </c>
    </row>
    <row r="13" spans="1:8" x14ac:dyDescent="0.2">
      <c r="A13" s="5" t="s">
        <v>70</v>
      </c>
      <c r="B13" s="5" t="s">
        <v>134</v>
      </c>
      <c r="C13" s="5" t="s">
        <v>135</v>
      </c>
      <c r="D13" s="5" t="s">
        <v>612</v>
      </c>
      <c r="E13" s="5" t="s">
        <v>612</v>
      </c>
      <c r="F13" s="5" t="s">
        <v>612</v>
      </c>
      <c r="G13" s="5" t="s">
        <v>612</v>
      </c>
      <c r="H13" s="5" t="s">
        <v>612</v>
      </c>
    </row>
    <row r="14" spans="1:8" x14ac:dyDescent="0.2">
      <c r="A14" s="5" t="s">
        <v>70</v>
      </c>
      <c r="B14" s="5" t="s">
        <v>134</v>
      </c>
      <c r="C14" s="5" t="s">
        <v>135</v>
      </c>
      <c r="D14" s="5" t="s">
        <v>612</v>
      </c>
      <c r="E14" s="5" t="s">
        <v>612</v>
      </c>
      <c r="F14" s="5" t="s">
        <v>612</v>
      </c>
      <c r="G14" s="5" t="s">
        <v>612</v>
      </c>
      <c r="H14" s="5" t="s">
        <v>612</v>
      </c>
    </row>
    <row r="15" spans="1:8" x14ac:dyDescent="0.2">
      <c r="A15" s="5" t="s">
        <v>70</v>
      </c>
      <c r="B15" s="5" t="s">
        <v>134</v>
      </c>
      <c r="C15" s="5" t="s">
        <v>135</v>
      </c>
      <c r="D15" s="5" t="s">
        <v>612</v>
      </c>
      <c r="E15" s="5" t="s">
        <v>612</v>
      </c>
      <c r="F15" s="5" t="s">
        <v>612</v>
      </c>
      <c r="G15" s="5" t="s">
        <v>612</v>
      </c>
      <c r="H15" s="5" t="s">
        <v>612</v>
      </c>
    </row>
    <row r="16" spans="1:8" x14ac:dyDescent="0.2">
      <c r="A16" s="5" t="s">
        <v>70</v>
      </c>
      <c r="B16" s="5" t="s">
        <v>134</v>
      </c>
      <c r="C16" s="5" t="s">
        <v>135</v>
      </c>
      <c r="D16" s="5" t="s">
        <v>612</v>
      </c>
      <c r="E16" s="5" t="s">
        <v>612</v>
      </c>
      <c r="F16" s="5" t="s">
        <v>612</v>
      </c>
      <c r="G16" s="5" t="s">
        <v>612</v>
      </c>
      <c r="H16" s="5" t="s">
        <v>612</v>
      </c>
    </row>
    <row r="17" spans="1:8" x14ac:dyDescent="0.2">
      <c r="A17" s="5" t="s">
        <v>70</v>
      </c>
      <c r="B17" s="5" t="s">
        <v>144</v>
      </c>
      <c r="C17" s="5" t="s">
        <v>145</v>
      </c>
      <c r="D17" s="5" t="s">
        <v>612</v>
      </c>
      <c r="E17" s="5" t="s">
        <v>612</v>
      </c>
      <c r="F17" s="5" t="s">
        <v>612</v>
      </c>
      <c r="G17" s="5" t="s">
        <v>612</v>
      </c>
      <c r="H17" s="5" t="s">
        <v>612</v>
      </c>
    </row>
    <row r="18" spans="1:8" x14ac:dyDescent="0.2">
      <c r="A18" s="5" t="s">
        <v>70</v>
      </c>
      <c r="B18" s="5" t="s">
        <v>154</v>
      </c>
      <c r="C18" s="5" t="s">
        <v>155</v>
      </c>
      <c r="D18" s="5" t="s">
        <v>612</v>
      </c>
      <c r="E18" s="5" t="s">
        <v>612</v>
      </c>
      <c r="F18" s="5" t="s">
        <v>612</v>
      </c>
      <c r="G18" s="5" t="s">
        <v>612</v>
      </c>
      <c r="H18" s="5" t="s">
        <v>612</v>
      </c>
    </row>
    <row r="19" spans="1:8" x14ac:dyDescent="0.2">
      <c r="A19" s="5" t="s">
        <v>70</v>
      </c>
      <c r="B19" s="5" t="s">
        <v>165</v>
      </c>
      <c r="C19" s="5" t="s">
        <v>166</v>
      </c>
      <c r="D19" s="5" t="s">
        <v>612</v>
      </c>
      <c r="E19" s="5" t="s">
        <v>612</v>
      </c>
      <c r="F19" s="5" t="s">
        <v>612</v>
      </c>
      <c r="G19" s="5" t="s">
        <v>612</v>
      </c>
      <c r="H19" s="5" t="s">
        <v>612</v>
      </c>
    </row>
    <row r="20" spans="1:8" x14ac:dyDescent="0.2">
      <c r="A20" s="5" t="s">
        <v>70</v>
      </c>
      <c r="B20" s="5" t="s">
        <v>176</v>
      </c>
      <c r="C20" s="5" t="s">
        <v>177</v>
      </c>
      <c r="D20" s="5" t="s">
        <v>612</v>
      </c>
      <c r="E20" s="5" t="s">
        <v>612</v>
      </c>
      <c r="F20" s="5" t="s">
        <v>612</v>
      </c>
      <c r="G20" s="5" t="s">
        <v>612</v>
      </c>
      <c r="H20" s="5" t="s">
        <v>612</v>
      </c>
    </row>
    <row r="21" spans="1:8" ht="15.75" customHeight="1" x14ac:dyDescent="0.2">
      <c r="A21" s="5" t="s">
        <v>70</v>
      </c>
      <c r="B21" s="5" t="s">
        <v>184</v>
      </c>
      <c r="C21" s="5" t="s">
        <v>185</v>
      </c>
      <c r="D21" s="5" t="s">
        <v>612</v>
      </c>
      <c r="E21" s="5" t="s">
        <v>612</v>
      </c>
      <c r="F21" s="5" t="s">
        <v>612</v>
      </c>
      <c r="G21" s="5" t="s">
        <v>612</v>
      </c>
      <c r="H21" s="5" t="s">
        <v>612</v>
      </c>
    </row>
    <row r="22" spans="1:8" ht="15.75" customHeight="1" x14ac:dyDescent="0.2">
      <c r="A22" s="5" t="s">
        <v>70</v>
      </c>
      <c r="B22" s="5" t="s">
        <v>193</v>
      </c>
      <c r="C22" s="5" t="s">
        <v>194</v>
      </c>
      <c r="D22" s="5" t="s">
        <v>612</v>
      </c>
      <c r="E22" s="5" t="s">
        <v>612</v>
      </c>
      <c r="F22" s="5" t="s">
        <v>612</v>
      </c>
      <c r="G22" s="5" t="s">
        <v>612</v>
      </c>
      <c r="H22" s="5" t="s">
        <v>612</v>
      </c>
    </row>
    <row r="23" spans="1:8" ht="15.75" customHeight="1" x14ac:dyDescent="0.2">
      <c r="A23" s="5" t="s">
        <v>70</v>
      </c>
      <c r="B23" s="5" t="s">
        <v>200</v>
      </c>
      <c r="C23" s="5" t="s">
        <v>201</v>
      </c>
      <c r="D23" s="5" t="s">
        <v>612</v>
      </c>
      <c r="E23" s="5" t="s">
        <v>612</v>
      </c>
      <c r="F23" s="5" t="s">
        <v>612</v>
      </c>
      <c r="G23" s="5" t="s">
        <v>612</v>
      </c>
      <c r="H23" s="5" t="s">
        <v>612</v>
      </c>
    </row>
    <row r="24" spans="1:8" ht="15.75" customHeight="1" x14ac:dyDescent="0.2">
      <c r="A24" s="5" t="s">
        <v>70</v>
      </c>
      <c r="B24" s="5" t="s">
        <v>211</v>
      </c>
      <c r="C24" s="5" t="s">
        <v>212</v>
      </c>
      <c r="D24" s="5" t="s">
        <v>612</v>
      </c>
      <c r="E24" s="5" t="s">
        <v>612</v>
      </c>
      <c r="F24" s="5" t="s">
        <v>612</v>
      </c>
      <c r="G24" s="5" t="s">
        <v>612</v>
      </c>
      <c r="H24" s="5" t="s">
        <v>612</v>
      </c>
    </row>
    <row r="25" spans="1:8" ht="15.75" customHeight="1" x14ac:dyDescent="0.2">
      <c r="A25" s="5" t="s">
        <v>70</v>
      </c>
      <c r="B25" s="5" t="s">
        <v>221</v>
      </c>
      <c r="C25" s="5" t="s">
        <v>222</v>
      </c>
      <c r="D25" s="5" t="s">
        <v>612</v>
      </c>
      <c r="E25" s="5" t="s">
        <v>612</v>
      </c>
      <c r="F25" s="5" t="s">
        <v>612</v>
      </c>
      <c r="G25" s="5" t="s">
        <v>612</v>
      </c>
      <c r="H25" s="5" t="s">
        <v>612</v>
      </c>
    </row>
    <row r="26" spans="1:8" ht="15.75" customHeight="1" x14ac:dyDescent="0.2">
      <c r="A26" s="5" t="s">
        <v>70</v>
      </c>
      <c r="B26" s="5" t="s">
        <v>229</v>
      </c>
      <c r="C26" s="5" t="s">
        <v>230</v>
      </c>
      <c r="D26" s="5" t="s">
        <v>612</v>
      </c>
      <c r="E26" s="5" t="s">
        <v>612</v>
      </c>
      <c r="F26" s="5" t="s">
        <v>612</v>
      </c>
      <c r="G26" s="5" t="s">
        <v>612</v>
      </c>
      <c r="H26" s="5" t="s">
        <v>612</v>
      </c>
    </row>
    <row r="27" spans="1:8" ht="15.75" customHeight="1" x14ac:dyDescent="0.2">
      <c r="A27" s="5" t="s">
        <v>70</v>
      </c>
      <c r="B27" s="5" t="s">
        <v>238</v>
      </c>
      <c r="C27" s="5" t="s">
        <v>239</v>
      </c>
      <c r="D27" s="5" t="s">
        <v>612</v>
      </c>
      <c r="E27" s="5" t="s">
        <v>612</v>
      </c>
      <c r="F27" s="5" t="s">
        <v>612</v>
      </c>
      <c r="G27" s="5" t="s">
        <v>612</v>
      </c>
      <c r="H27" s="5" t="s">
        <v>612</v>
      </c>
    </row>
    <row r="28" spans="1:8" ht="15.75" customHeight="1" x14ac:dyDescent="0.2">
      <c r="A28" s="5" t="s">
        <v>70</v>
      </c>
      <c r="B28" s="5" t="s">
        <v>247</v>
      </c>
      <c r="C28" s="5" t="s">
        <v>248</v>
      </c>
      <c r="D28" s="5" t="s">
        <v>612</v>
      </c>
      <c r="E28" s="5" t="s">
        <v>612</v>
      </c>
      <c r="F28" s="5" t="s">
        <v>612</v>
      </c>
      <c r="G28" s="5" t="s">
        <v>612</v>
      </c>
      <c r="H28" s="5" t="s">
        <v>612</v>
      </c>
    </row>
    <row r="29" spans="1:8" ht="15.75" customHeight="1" x14ac:dyDescent="0.2">
      <c r="A29" s="5" t="s">
        <v>70</v>
      </c>
      <c r="B29" s="5" t="s">
        <v>257</v>
      </c>
      <c r="C29" s="5" t="s">
        <v>258</v>
      </c>
      <c r="D29" s="5" t="s">
        <v>612</v>
      </c>
      <c r="E29" s="5" t="s">
        <v>612</v>
      </c>
      <c r="G29" s="5" t="s">
        <v>612</v>
      </c>
    </row>
    <row r="30" spans="1:8" ht="15.75" customHeight="1" x14ac:dyDescent="0.2">
      <c r="A30" s="5" t="s">
        <v>70</v>
      </c>
      <c r="B30" s="5" t="s">
        <v>268</v>
      </c>
      <c r="C30" s="5" t="s">
        <v>269</v>
      </c>
      <c r="D30" s="5" t="s">
        <v>612</v>
      </c>
      <c r="E30" s="5" t="s">
        <v>612</v>
      </c>
      <c r="F30" s="5" t="s">
        <v>612</v>
      </c>
      <c r="G30" s="5" t="s">
        <v>612</v>
      </c>
      <c r="H30" s="5" t="s">
        <v>612</v>
      </c>
    </row>
    <row r="31" spans="1:8" ht="15.75" customHeight="1" x14ac:dyDescent="0.2">
      <c r="A31" s="5" t="s">
        <v>276</v>
      </c>
      <c r="B31" s="5" t="s">
        <v>277</v>
      </c>
      <c r="C31" s="5" t="s">
        <v>278</v>
      </c>
      <c r="D31" s="5" t="s">
        <v>612</v>
      </c>
      <c r="E31" s="5" t="s">
        <v>612</v>
      </c>
      <c r="F31" s="5" t="s">
        <v>612</v>
      </c>
      <c r="G31" s="5" t="s">
        <v>612</v>
      </c>
      <c r="H31" s="5" t="s">
        <v>612</v>
      </c>
    </row>
    <row r="32" spans="1:8" ht="15.75" customHeight="1" x14ac:dyDescent="0.2">
      <c r="A32" s="5" t="s">
        <v>276</v>
      </c>
      <c r="B32" s="5" t="s">
        <v>288</v>
      </c>
      <c r="C32" s="5" t="s">
        <v>289</v>
      </c>
      <c r="D32" s="5" t="s">
        <v>612</v>
      </c>
      <c r="E32" s="5" t="s">
        <v>612</v>
      </c>
      <c r="F32" s="5" t="s">
        <v>612</v>
      </c>
      <c r="G32" s="5" t="s">
        <v>612</v>
      </c>
      <c r="H32" s="5" t="s">
        <v>612</v>
      </c>
    </row>
    <row r="33" spans="1:8" ht="15.75" customHeight="1" x14ac:dyDescent="0.2">
      <c r="A33" s="5" t="s">
        <v>276</v>
      </c>
      <c r="B33" s="5" t="s">
        <v>296</v>
      </c>
      <c r="C33" s="5" t="s">
        <v>297</v>
      </c>
      <c r="D33" s="5" t="s">
        <v>612</v>
      </c>
      <c r="E33" s="5" t="s">
        <v>612</v>
      </c>
      <c r="F33" s="5" t="s">
        <v>1183</v>
      </c>
    </row>
    <row r="34" spans="1:8" ht="15.75" customHeight="1" x14ac:dyDescent="0.2">
      <c r="A34" s="5" t="s">
        <v>276</v>
      </c>
      <c r="B34" s="5" t="s">
        <v>305</v>
      </c>
      <c r="C34" s="5" t="s">
        <v>306</v>
      </c>
      <c r="D34" s="5" t="s">
        <v>612</v>
      </c>
      <c r="E34" s="5" t="s">
        <v>612</v>
      </c>
      <c r="F34" s="5" t="s">
        <v>612</v>
      </c>
      <c r="G34" s="5" t="s">
        <v>612</v>
      </c>
      <c r="H34" s="5" t="s">
        <v>612</v>
      </c>
    </row>
    <row r="35" spans="1:8" ht="15.75" customHeight="1" x14ac:dyDescent="0.2">
      <c r="A35" s="5" t="s">
        <v>276</v>
      </c>
      <c r="B35" s="5" t="s">
        <v>316</v>
      </c>
      <c r="C35" s="5" t="s">
        <v>317</v>
      </c>
      <c r="D35" s="5" t="s">
        <v>612</v>
      </c>
      <c r="E35" s="5" t="s">
        <v>612</v>
      </c>
      <c r="F35" s="5" t="s">
        <v>612</v>
      </c>
      <c r="G35" s="5" t="s">
        <v>612</v>
      </c>
      <c r="H35" s="5" t="s">
        <v>612</v>
      </c>
    </row>
    <row r="36" spans="1:8" ht="15.75" customHeight="1" x14ac:dyDescent="0.2">
      <c r="A36" s="5" t="s">
        <v>276</v>
      </c>
      <c r="B36" s="5" t="s">
        <v>327</v>
      </c>
      <c r="C36" s="5" t="s">
        <v>328</v>
      </c>
      <c r="D36" s="5" t="s">
        <v>612</v>
      </c>
      <c r="E36" s="5" t="s">
        <v>612</v>
      </c>
      <c r="F36" s="5" t="s">
        <v>612</v>
      </c>
      <c r="G36" s="5" t="s">
        <v>612</v>
      </c>
      <c r="H36" s="5" t="s">
        <v>612</v>
      </c>
    </row>
    <row r="37" spans="1:8" ht="15.75" customHeight="1" x14ac:dyDescent="0.2">
      <c r="A37" s="5" t="s">
        <v>276</v>
      </c>
      <c r="B37" s="5" t="s">
        <v>337</v>
      </c>
      <c r="C37" s="5" t="s">
        <v>338</v>
      </c>
      <c r="D37" s="5" t="s">
        <v>612</v>
      </c>
      <c r="E37" s="5" t="s">
        <v>612</v>
      </c>
      <c r="F37" s="5" t="s">
        <v>612</v>
      </c>
      <c r="G37" s="5" t="s">
        <v>612</v>
      </c>
      <c r="H37" s="5" t="s">
        <v>612</v>
      </c>
    </row>
    <row r="38" spans="1:8" ht="15.75" customHeight="1" x14ac:dyDescent="0.2">
      <c r="A38" s="5" t="s">
        <v>276</v>
      </c>
      <c r="B38" s="5" t="s">
        <v>346</v>
      </c>
      <c r="C38" s="5" t="s">
        <v>347</v>
      </c>
      <c r="D38" s="5" t="s">
        <v>612</v>
      </c>
      <c r="E38" s="5" t="s">
        <v>612</v>
      </c>
      <c r="F38" s="5" t="s">
        <v>612</v>
      </c>
      <c r="G38" s="5" t="s">
        <v>612</v>
      </c>
      <c r="H38" s="5" t="s">
        <v>612</v>
      </c>
    </row>
    <row r="39" spans="1:8" ht="15.75" customHeight="1" x14ac:dyDescent="0.2">
      <c r="A39" s="5" t="s">
        <v>276</v>
      </c>
      <c r="B39" s="5" t="s">
        <v>355</v>
      </c>
      <c r="C39" s="5" t="s">
        <v>356</v>
      </c>
      <c r="D39" s="5" t="s">
        <v>612</v>
      </c>
      <c r="E39" s="5" t="s">
        <v>612</v>
      </c>
      <c r="F39" s="5" t="s">
        <v>612</v>
      </c>
      <c r="G39" s="5" t="s">
        <v>612</v>
      </c>
      <c r="H39" s="5" t="s">
        <v>612</v>
      </c>
    </row>
    <row r="40" spans="1:8" ht="15.75" customHeight="1" x14ac:dyDescent="0.2">
      <c r="A40" s="5" t="s">
        <v>276</v>
      </c>
      <c r="B40" s="5" t="s">
        <v>363</v>
      </c>
      <c r="C40" s="5" t="s">
        <v>364</v>
      </c>
      <c r="D40" s="5" t="s">
        <v>612</v>
      </c>
      <c r="E40" s="5" t="s">
        <v>612</v>
      </c>
      <c r="F40" s="5" t="s">
        <v>612</v>
      </c>
      <c r="G40" s="5" t="s">
        <v>612</v>
      </c>
      <c r="H40" s="5" t="s">
        <v>612</v>
      </c>
    </row>
    <row r="41" spans="1:8" ht="15.75" customHeight="1" x14ac:dyDescent="0.2">
      <c r="A41" s="5" t="s">
        <v>276</v>
      </c>
      <c r="B41" s="5" t="s">
        <v>372</v>
      </c>
      <c r="C41" s="5" t="s">
        <v>373</v>
      </c>
      <c r="D41" s="5" t="s">
        <v>612</v>
      </c>
      <c r="E41" s="5" t="s">
        <v>612</v>
      </c>
      <c r="F41" s="5" t="s">
        <v>612</v>
      </c>
      <c r="G41" s="5" t="s">
        <v>612</v>
      </c>
      <c r="H41" s="5" t="s">
        <v>612</v>
      </c>
    </row>
    <row r="42" spans="1:8" ht="15.75" customHeight="1" x14ac:dyDescent="0.2">
      <c r="A42" s="5" t="s">
        <v>380</v>
      </c>
      <c r="B42" s="5" t="s">
        <v>381</v>
      </c>
      <c r="C42" s="5" t="s">
        <v>382</v>
      </c>
      <c r="D42" s="5" t="s">
        <v>612</v>
      </c>
      <c r="E42" s="5" t="s">
        <v>612</v>
      </c>
      <c r="F42" s="5" t="s">
        <v>612</v>
      </c>
      <c r="G42" s="5" t="s">
        <v>612</v>
      </c>
      <c r="H42" s="5" t="s">
        <v>612</v>
      </c>
    </row>
    <row r="43" spans="1:8" ht="15.75" customHeight="1" x14ac:dyDescent="0.2">
      <c r="A43" s="5" t="s">
        <v>380</v>
      </c>
      <c r="B43" s="5" t="s">
        <v>390</v>
      </c>
      <c r="C43" s="5" t="s">
        <v>391</v>
      </c>
      <c r="D43" s="5" t="s">
        <v>612</v>
      </c>
      <c r="E43" s="5" t="s">
        <v>612</v>
      </c>
      <c r="F43" s="5" t="s">
        <v>612</v>
      </c>
      <c r="G43" s="5" t="s">
        <v>612</v>
      </c>
      <c r="H43" s="5" t="s">
        <v>612</v>
      </c>
    </row>
    <row r="44" spans="1:8" ht="15.75" customHeight="1" x14ac:dyDescent="0.2">
      <c r="A44" s="5" t="s">
        <v>380</v>
      </c>
      <c r="B44" s="5" t="s">
        <v>390</v>
      </c>
      <c r="C44" s="5" t="s">
        <v>391</v>
      </c>
      <c r="D44" s="5" t="s">
        <v>612</v>
      </c>
      <c r="E44" s="5" t="s">
        <v>612</v>
      </c>
      <c r="F44" s="5" t="s">
        <v>612</v>
      </c>
      <c r="G44" s="5" t="s">
        <v>612</v>
      </c>
      <c r="H44" s="5" t="s">
        <v>612</v>
      </c>
    </row>
    <row r="45" spans="1:8" ht="15.75" customHeight="1" x14ac:dyDescent="0.2">
      <c r="A45" s="5" t="s">
        <v>380</v>
      </c>
      <c r="B45" s="5" t="s">
        <v>399</v>
      </c>
      <c r="C45" s="5" t="s">
        <v>400</v>
      </c>
      <c r="D45" s="5" t="s">
        <v>612</v>
      </c>
      <c r="E45" s="5" t="s">
        <v>612</v>
      </c>
      <c r="F45" s="5" t="s">
        <v>612</v>
      </c>
      <c r="G45" s="5" t="s">
        <v>612</v>
      </c>
      <c r="H45" s="5" t="s">
        <v>612</v>
      </c>
    </row>
    <row r="46" spans="1:8" ht="15.75" customHeight="1" x14ac:dyDescent="0.2">
      <c r="A46" s="5" t="s">
        <v>380</v>
      </c>
      <c r="B46" s="5" t="s">
        <v>407</v>
      </c>
      <c r="C46" s="5" t="s">
        <v>408</v>
      </c>
      <c r="D46" s="5" t="s">
        <v>612</v>
      </c>
      <c r="E46" s="5" t="s">
        <v>612</v>
      </c>
      <c r="F46" s="5" t="s">
        <v>612</v>
      </c>
      <c r="G46" s="5" t="s">
        <v>612</v>
      </c>
      <c r="H46" s="5" t="s">
        <v>612</v>
      </c>
    </row>
    <row r="47" spans="1:8" ht="15.75" customHeight="1" x14ac:dyDescent="0.2">
      <c r="A47" s="5" t="s">
        <v>380</v>
      </c>
      <c r="B47" s="5" t="s">
        <v>417</v>
      </c>
      <c r="C47" s="5" t="s">
        <v>418</v>
      </c>
      <c r="D47" s="5" t="s">
        <v>612</v>
      </c>
      <c r="E47" s="5" t="s">
        <v>612</v>
      </c>
      <c r="F47" s="5" t="s">
        <v>612</v>
      </c>
      <c r="G47" s="5" t="s">
        <v>612</v>
      </c>
      <c r="H47" s="5" t="s">
        <v>612</v>
      </c>
    </row>
    <row r="48" spans="1:8" ht="15.75" customHeight="1" x14ac:dyDescent="0.2">
      <c r="A48" s="5" t="s">
        <v>426</v>
      </c>
      <c r="B48" s="5" t="s">
        <v>427</v>
      </c>
      <c r="C48" s="5" t="s">
        <v>428</v>
      </c>
      <c r="D48" s="5" t="s">
        <v>612</v>
      </c>
      <c r="E48" s="5" t="s">
        <v>612</v>
      </c>
      <c r="F48" s="5" t="s">
        <v>612</v>
      </c>
      <c r="G48" s="5" t="s">
        <v>612</v>
      </c>
      <c r="H48" s="5" t="s">
        <v>612</v>
      </c>
    </row>
    <row r="49" spans="1:8" ht="15.75" customHeight="1" x14ac:dyDescent="0.2">
      <c r="A49" s="5" t="s">
        <v>426</v>
      </c>
      <c r="B49" s="5" t="s">
        <v>435</v>
      </c>
      <c r="C49" s="5" t="s">
        <v>436</v>
      </c>
      <c r="D49" s="5" t="s">
        <v>612</v>
      </c>
      <c r="E49" s="5" t="s">
        <v>612</v>
      </c>
      <c r="F49" s="5" t="s">
        <v>612</v>
      </c>
      <c r="G49" s="5" t="s">
        <v>612</v>
      </c>
      <c r="H49" s="5" t="s">
        <v>612</v>
      </c>
    </row>
    <row r="50" spans="1:8" ht="15.75" customHeight="1" x14ac:dyDescent="0.2">
      <c r="A50" s="5" t="s">
        <v>426</v>
      </c>
      <c r="B50" s="5" t="s">
        <v>435</v>
      </c>
      <c r="C50" s="5" t="s">
        <v>436</v>
      </c>
      <c r="D50" s="5" t="s">
        <v>612</v>
      </c>
      <c r="E50" s="5" t="s">
        <v>612</v>
      </c>
      <c r="F50" s="5" t="s">
        <v>612</v>
      </c>
      <c r="G50" s="5" t="s">
        <v>612</v>
      </c>
      <c r="H50" s="5" t="s">
        <v>612</v>
      </c>
    </row>
    <row r="51" spans="1:8" ht="15.75" customHeight="1" x14ac:dyDescent="0.2">
      <c r="A51" s="5" t="s">
        <v>426</v>
      </c>
      <c r="B51" s="5" t="s">
        <v>444</v>
      </c>
      <c r="C51" s="5" t="s">
        <v>445</v>
      </c>
      <c r="D51" s="5" t="s">
        <v>612</v>
      </c>
      <c r="G51" s="5" t="s">
        <v>612</v>
      </c>
      <c r="H51" s="5" t="s">
        <v>612</v>
      </c>
    </row>
    <row r="52" spans="1:8" ht="15.75" customHeight="1" x14ac:dyDescent="0.2">
      <c r="A52" s="5" t="s">
        <v>426</v>
      </c>
      <c r="B52" s="5" t="s">
        <v>452</v>
      </c>
      <c r="C52" s="5" t="s">
        <v>453</v>
      </c>
      <c r="D52" s="5" t="s">
        <v>612</v>
      </c>
      <c r="E52" s="5" t="s">
        <v>612</v>
      </c>
      <c r="F52" s="5" t="s">
        <v>612</v>
      </c>
      <c r="G52" s="5" t="s">
        <v>612</v>
      </c>
      <c r="H52" s="5" t="s">
        <v>612</v>
      </c>
    </row>
    <row r="53" spans="1:8" ht="15.75" customHeight="1" x14ac:dyDescent="0.2">
      <c r="A53" s="5" t="s">
        <v>426</v>
      </c>
      <c r="B53" s="5" t="s">
        <v>460</v>
      </c>
      <c r="C53" s="5" t="s">
        <v>461</v>
      </c>
      <c r="D53" s="5" t="s">
        <v>612</v>
      </c>
      <c r="E53" s="5" t="s">
        <v>612</v>
      </c>
      <c r="F53" s="5" t="s">
        <v>612</v>
      </c>
      <c r="G53" s="5" t="s">
        <v>612</v>
      </c>
      <c r="H53" s="5" t="s">
        <v>612</v>
      </c>
    </row>
    <row r="54" spans="1:8" ht="15.75" customHeight="1" x14ac:dyDescent="0.2">
      <c r="A54" s="5" t="s">
        <v>426</v>
      </c>
      <c r="B54" s="5" t="s">
        <v>468</v>
      </c>
      <c r="C54" s="5" t="s">
        <v>469</v>
      </c>
      <c r="D54" s="5" t="s">
        <v>913</v>
      </c>
    </row>
    <row r="55" spans="1:8" ht="15.75" customHeight="1" x14ac:dyDescent="0.2">
      <c r="A55" s="5" t="s">
        <v>426</v>
      </c>
      <c r="B55" s="5" t="s">
        <v>476</v>
      </c>
      <c r="C55" s="5" t="s">
        <v>477</v>
      </c>
      <c r="D55" s="5" t="s">
        <v>612</v>
      </c>
      <c r="E55" s="5" t="s">
        <v>612</v>
      </c>
      <c r="F55" s="5" t="s">
        <v>612</v>
      </c>
      <c r="G55" s="5" t="s">
        <v>612</v>
      </c>
      <c r="H55" s="5" t="s">
        <v>612</v>
      </c>
    </row>
    <row r="56" spans="1:8" ht="15.75" customHeight="1" x14ac:dyDescent="0.2">
      <c r="A56" s="5" t="s">
        <v>426</v>
      </c>
      <c r="B56" s="5" t="s">
        <v>476</v>
      </c>
      <c r="C56" s="5" t="s">
        <v>477</v>
      </c>
      <c r="D56" s="5" t="s">
        <v>612</v>
      </c>
      <c r="E56" s="5" t="s">
        <v>612</v>
      </c>
      <c r="F56" s="5" t="s">
        <v>612</v>
      </c>
      <c r="G56" s="5" t="s">
        <v>612</v>
      </c>
      <c r="H56" s="5" t="s">
        <v>612</v>
      </c>
    </row>
    <row r="57" spans="1:8" ht="15.75" customHeight="1" x14ac:dyDescent="0.2">
      <c r="A57" s="5" t="s">
        <v>485</v>
      </c>
      <c r="B57" s="5" t="s">
        <v>486</v>
      </c>
      <c r="C57" s="5" t="s">
        <v>487</v>
      </c>
      <c r="D57" s="5" t="s">
        <v>612</v>
      </c>
      <c r="E57" s="5" t="s">
        <v>612</v>
      </c>
      <c r="F57" s="5" t="s">
        <v>612</v>
      </c>
      <c r="G57" s="5" t="s">
        <v>612</v>
      </c>
      <c r="H57" s="5" t="s">
        <v>612</v>
      </c>
    </row>
    <row r="58" spans="1:8" ht="15.75" customHeight="1" x14ac:dyDescent="0.2">
      <c r="A58" s="5" t="s">
        <v>485</v>
      </c>
      <c r="B58" s="5" t="s">
        <v>494</v>
      </c>
      <c r="C58" s="5" t="s">
        <v>495</v>
      </c>
      <c r="D58" s="5" t="s">
        <v>612</v>
      </c>
      <c r="E58" s="5" t="s">
        <v>612</v>
      </c>
      <c r="F58" s="5" t="s">
        <v>612</v>
      </c>
      <c r="G58" s="5" t="s">
        <v>612</v>
      </c>
      <c r="H58" s="5" t="s">
        <v>612</v>
      </c>
    </row>
    <row r="59" spans="1:8" ht="15.75" customHeight="1" x14ac:dyDescent="0.2">
      <c r="A59" s="5" t="s">
        <v>485</v>
      </c>
      <c r="B59" s="5" t="s">
        <v>503</v>
      </c>
      <c r="C59" s="5" t="s">
        <v>504</v>
      </c>
      <c r="D59" s="5" t="s">
        <v>612</v>
      </c>
      <c r="E59" s="5" t="s">
        <v>612</v>
      </c>
      <c r="F59" s="5" t="s">
        <v>612</v>
      </c>
      <c r="G59" s="5" t="s">
        <v>612</v>
      </c>
      <c r="H59" s="5" t="s">
        <v>612</v>
      </c>
    </row>
    <row r="60" spans="1:8" ht="15.75" customHeight="1" x14ac:dyDescent="0.2">
      <c r="A60" s="5" t="s">
        <v>485</v>
      </c>
      <c r="B60" s="5" t="s">
        <v>511</v>
      </c>
      <c r="C60" s="5" t="s">
        <v>512</v>
      </c>
      <c r="D60" s="5" t="s">
        <v>612</v>
      </c>
      <c r="E60" s="5" t="s">
        <v>612</v>
      </c>
      <c r="F60" s="5" t="s">
        <v>612</v>
      </c>
      <c r="G60" s="5" t="s">
        <v>612</v>
      </c>
      <c r="H60" s="5" t="s">
        <v>612</v>
      </c>
    </row>
    <row r="61" spans="1:8" ht="15.75" customHeight="1" x14ac:dyDescent="0.2">
      <c r="A61" s="5" t="s">
        <v>485</v>
      </c>
      <c r="B61" s="5" t="s">
        <v>519</v>
      </c>
      <c r="C61" s="5" t="s">
        <v>520</v>
      </c>
      <c r="D61" s="5" t="s">
        <v>612</v>
      </c>
      <c r="E61" s="5" t="s">
        <v>612</v>
      </c>
      <c r="F61" s="5" t="s">
        <v>612</v>
      </c>
      <c r="G61" s="5" t="s">
        <v>612</v>
      </c>
      <c r="H61" s="5" t="s">
        <v>612</v>
      </c>
    </row>
    <row r="62" spans="1:8" ht="15.75" customHeight="1" x14ac:dyDescent="0.2">
      <c r="A62" s="5" t="s">
        <v>485</v>
      </c>
      <c r="B62" s="5" t="s">
        <v>519</v>
      </c>
      <c r="C62" s="5" t="s">
        <v>520</v>
      </c>
      <c r="D62" s="5" t="s">
        <v>612</v>
      </c>
      <c r="E62" s="5" t="s">
        <v>612</v>
      </c>
      <c r="F62" s="5" t="s">
        <v>612</v>
      </c>
      <c r="G62" s="5" t="s">
        <v>612</v>
      </c>
      <c r="H62" s="5" t="s">
        <v>612</v>
      </c>
    </row>
    <row r="63" spans="1:8" ht="15.75" customHeight="1" x14ac:dyDescent="0.2">
      <c r="A63" s="5" t="s">
        <v>485</v>
      </c>
      <c r="B63" s="5" t="s">
        <v>527</v>
      </c>
      <c r="C63" s="5" t="s">
        <v>528</v>
      </c>
      <c r="D63" s="5" t="s">
        <v>612</v>
      </c>
      <c r="E63" s="5" t="s">
        <v>612</v>
      </c>
      <c r="F63" s="5" t="s">
        <v>612</v>
      </c>
      <c r="G63" s="5" t="s">
        <v>612</v>
      </c>
      <c r="H63" s="5" t="s">
        <v>612</v>
      </c>
    </row>
    <row r="64" spans="1:8" ht="15.75" customHeight="1" x14ac:dyDescent="0.2">
      <c r="A64" s="5" t="s">
        <v>485</v>
      </c>
      <c r="B64" s="5" t="s">
        <v>537</v>
      </c>
      <c r="C64" s="5" t="s">
        <v>538</v>
      </c>
      <c r="D64" s="5" t="s">
        <v>612</v>
      </c>
      <c r="E64" s="5" t="s">
        <v>612</v>
      </c>
      <c r="F64" s="5" t="s">
        <v>612</v>
      </c>
      <c r="G64" s="5" t="s">
        <v>612</v>
      </c>
      <c r="H64" s="5" t="s">
        <v>612</v>
      </c>
    </row>
    <row r="65" spans="1:8" ht="15.75" customHeight="1" x14ac:dyDescent="0.2">
      <c r="A65" s="5" t="s">
        <v>485</v>
      </c>
      <c r="B65" s="5" t="s">
        <v>546</v>
      </c>
      <c r="C65" s="5" t="s">
        <v>547</v>
      </c>
      <c r="D65" s="5" t="s">
        <v>612</v>
      </c>
      <c r="E65" s="5" t="s">
        <v>612</v>
      </c>
      <c r="F65" s="5" t="s">
        <v>612</v>
      </c>
      <c r="G65" s="5" t="s">
        <v>612</v>
      </c>
      <c r="H65" s="5" t="s">
        <v>612</v>
      </c>
    </row>
    <row r="66" spans="1:8" ht="15.75" customHeight="1" x14ac:dyDescent="0.2">
      <c r="A66" t="s">
        <v>70</v>
      </c>
      <c r="B66" t="s">
        <v>555</v>
      </c>
      <c r="C66" t="s">
        <v>556</v>
      </c>
      <c r="D66" t="s">
        <v>612</v>
      </c>
      <c r="E66" t="s">
        <v>612</v>
      </c>
      <c r="F66" t="s">
        <v>612</v>
      </c>
      <c r="G66" t="s">
        <v>612</v>
      </c>
      <c r="H66" t="s">
        <v>612</v>
      </c>
    </row>
    <row r="67" spans="1:8" ht="15.75" customHeight="1" x14ac:dyDescent="0.2">
      <c r="A67" t="s">
        <v>276</v>
      </c>
      <c r="B67" t="s">
        <v>562</v>
      </c>
      <c r="C67" t="s">
        <v>563</v>
      </c>
      <c r="D67" t="s">
        <v>612</v>
      </c>
      <c r="E67" t="s">
        <v>612</v>
      </c>
      <c r="F67" t="s">
        <v>612</v>
      </c>
      <c r="G67" t="s">
        <v>612</v>
      </c>
      <c r="H67" t="s">
        <v>612</v>
      </c>
    </row>
    <row r="68" spans="1:8" ht="15.75" customHeight="1" x14ac:dyDescent="0.2">
      <c r="A68" t="s">
        <v>276</v>
      </c>
      <c r="B68" t="s">
        <v>568</v>
      </c>
      <c r="C68" t="s">
        <v>569</v>
      </c>
      <c r="D68" t="s">
        <v>612</v>
      </c>
      <c r="E68" t="s">
        <v>612</v>
      </c>
      <c r="F68" t="s">
        <v>612</v>
      </c>
      <c r="G68" t="s">
        <v>612</v>
      </c>
      <c r="H68" t="s">
        <v>612</v>
      </c>
    </row>
    <row r="69" spans="1:8" ht="15.75" customHeight="1" x14ac:dyDescent="0.2">
      <c r="A69" t="s">
        <v>276</v>
      </c>
      <c r="B69" t="s">
        <v>574</v>
      </c>
      <c r="C69" t="s">
        <v>575</v>
      </c>
      <c r="D69" t="s">
        <v>612</v>
      </c>
      <c r="E69" t="s">
        <v>612</v>
      </c>
      <c r="F69" t="s">
        <v>612</v>
      </c>
      <c r="G69" t="s">
        <v>612</v>
      </c>
      <c r="H69" t="s">
        <v>612</v>
      </c>
    </row>
    <row r="70" spans="1:8" ht="15.75" customHeight="1" x14ac:dyDescent="0.2"/>
    <row r="71" spans="1:8" ht="15.75" customHeight="1" x14ac:dyDescent="0.2"/>
    <row r="72" spans="1:8" ht="15.75" customHeight="1" x14ac:dyDescent="0.2"/>
    <row r="73" spans="1:8" ht="15.75" customHeight="1" x14ac:dyDescent="0.2"/>
    <row r="74" spans="1:8" ht="15.75" customHeight="1" x14ac:dyDescent="0.2"/>
    <row r="75" spans="1:8" ht="15.75" customHeight="1" x14ac:dyDescent="0.2"/>
    <row r="76" spans="1:8" ht="15.75" customHeight="1" x14ac:dyDescent="0.2"/>
    <row r="77" spans="1:8" ht="15.75" customHeight="1" x14ac:dyDescent="0.2"/>
    <row r="78" spans="1:8" ht="15.75" customHeight="1" x14ac:dyDescent="0.2"/>
    <row r="79" spans="1:8" ht="15.75" customHeight="1" x14ac:dyDescent="0.2"/>
    <row r="80" spans="1: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baseColWidth="10" defaultColWidth="14.5" defaultRowHeight="15" customHeight="1" x14ac:dyDescent="0.2"/>
  <cols>
    <col min="1" max="26" width="8.6640625" customWidth="1"/>
  </cols>
  <sheetData>
    <row r="1" spans="1:8" x14ac:dyDescent="0.2">
      <c r="A1" s="1" t="s">
        <v>0</v>
      </c>
      <c r="B1" s="1" t="s">
        <v>1</v>
      </c>
      <c r="C1" s="1" t="s">
        <v>2</v>
      </c>
      <c r="D1" s="1" t="s">
        <v>1184</v>
      </c>
      <c r="E1" s="1" t="s">
        <v>1185</v>
      </c>
      <c r="F1" s="1" t="s">
        <v>1186</v>
      </c>
      <c r="G1" s="1" t="s">
        <v>1187</v>
      </c>
      <c r="H1" s="1" t="s">
        <v>610</v>
      </c>
    </row>
    <row r="2" spans="1:8" x14ac:dyDescent="0.2">
      <c r="A2" s="5" t="s">
        <v>26</v>
      </c>
      <c r="B2" s="5" t="s">
        <v>27</v>
      </c>
      <c r="C2" s="5" t="s">
        <v>28</v>
      </c>
      <c r="D2" s="5" t="s">
        <v>612</v>
      </c>
      <c r="E2" s="5" t="s">
        <v>1188</v>
      </c>
      <c r="F2" s="5" t="s">
        <v>1189</v>
      </c>
      <c r="G2" s="5" t="s">
        <v>612</v>
      </c>
      <c r="H2" s="5" t="s">
        <v>1190</v>
      </c>
    </row>
    <row r="3" spans="1:8" x14ac:dyDescent="0.2">
      <c r="A3" s="5" t="s">
        <v>26</v>
      </c>
      <c r="B3" s="5" t="s">
        <v>40</v>
      </c>
      <c r="C3" s="5" t="s">
        <v>41</v>
      </c>
      <c r="D3" s="5" t="s">
        <v>913</v>
      </c>
    </row>
    <row r="4" spans="1:8" x14ac:dyDescent="0.2">
      <c r="A4" s="5" t="s">
        <v>26</v>
      </c>
      <c r="B4" s="5" t="s">
        <v>40</v>
      </c>
      <c r="C4" s="5" t="s">
        <v>41</v>
      </c>
      <c r="D4" s="5" t="s">
        <v>913</v>
      </c>
    </row>
    <row r="5" spans="1:8" x14ac:dyDescent="0.2">
      <c r="A5" s="5" t="s">
        <v>26</v>
      </c>
      <c r="B5" s="5" t="s">
        <v>50</v>
      </c>
      <c r="C5" s="5" t="s">
        <v>51</v>
      </c>
      <c r="D5" s="5" t="s">
        <v>913</v>
      </c>
    </row>
    <row r="6" spans="1:8" x14ac:dyDescent="0.2">
      <c r="A6" s="5" t="s">
        <v>26</v>
      </c>
      <c r="B6" s="5" t="s">
        <v>61</v>
      </c>
      <c r="C6" s="5" t="s">
        <v>62</v>
      </c>
      <c r="D6" s="5" t="s">
        <v>913</v>
      </c>
    </row>
    <row r="7" spans="1:8" x14ac:dyDescent="0.2">
      <c r="A7" s="5" t="s">
        <v>70</v>
      </c>
      <c r="B7" s="5" t="s">
        <v>71</v>
      </c>
      <c r="C7" s="5" t="s">
        <v>72</v>
      </c>
      <c r="D7" s="5" t="s">
        <v>913</v>
      </c>
    </row>
    <row r="8" spans="1:8" x14ac:dyDescent="0.2">
      <c r="A8" s="5" t="s">
        <v>70</v>
      </c>
      <c r="B8" s="5" t="s">
        <v>82</v>
      </c>
      <c r="C8" s="5" t="s">
        <v>83</v>
      </c>
      <c r="D8" s="5" t="s">
        <v>913</v>
      </c>
    </row>
    <row r="9" spans="1:8" x14ac:dyDescent="0.2">
      <c r="A9" s="5" t="s">
        <v>70</v>
      </c>
      <c r="B9" s="5" t="s">
        <v>93</v>
      </c>
      <c r="C9" s="5" t="s">
        <v>94</v>
      </c>
      <c r="D9" s="5" t="s">
        <v>913</v>
      </c>
    </row>
    <row r="10" spans="1:8" x14ac:dyDescent="0.2">
      <c r="A10" s="5" t="s">
        <v>70</v>
      </c>
      <c r="B10" s="5" t="s">
        <v>102</v>
      </c>
      <c r="C10" s="5" t="s">
        <v>103</v>
      </c>
      <c r="D10" s="5" t="s">
        <v>612</v>
      </c>
      <c r="E10" s="5" t="s">
        <v>1191</v>
      </c>
      <c r="F10" s="5" t="s">
        <v>1192</v>
      </c>
      <c r="G10" s="5" t="s">
        <v>612</v>
      </c>
    </row>
    <row r="11" spans="1:8" x14ac:dyDescent="0.2">
      <c r="A11" s="5" t="s">
        <v>70</v>
      </c>
      <c r="B11" s="5" t="s">
        <v>112</v>
      </c>
      <c r="C11" s="5" t="s">
        <v>113</v>
      </c>
      <c r="D11" s="5" t="s">
        <v>913</v>
      </c>
    </row>
    <row r="12" spans="1:8" x14ac:dyDescent="0.2">
      <c r="A12" s="5" t="s">
        <v>70</v>
      </c>
      <c r="B12" s="5" t="s">
        <v>123</v>
      </c>
      <c r="C12" s="5" t="s">
        <v>124</v>
      </c>
      <c r="D12" s="5" t="s">
        <v>913</v>
      </c>
    </row>
    <row r="13" spans="1:8" x14ac:dyDescent="0.2">
      <c r="A13" s="5" t="s">
        <v>70</v>
      </c>
      <c r="B13" s="5" t="s">
        <v>134</v>
      </c>
      <c r="C13" s="5" t="s">
        <v>135</v>
      </c>
      <c r="D13" s="5" t="s">
        <v>913</v>
      </c>
    </row>
    <row r="14" spans="1:8" x14ac:dyDescent="0.2">
      <c r="A14" s="5" t="s">
        <v>70</v>
      </c>
      <c r="B14" s="5" t="s">
        <v>144</v>
      </c>
      <c r="C14" s="5" t="s">
        <v>145</v>
      </c>
      <c r="D14" s="5" t="s">
        <v>913</v>
      </c>
    </row>
    <row r="15" spans="1:8" x14ac:dyDescent="0.2">
      <c r="A15" s="5" t="s">
        <v>70</v>
      </c>
      <c r="B15" s="5" t="s">
        <v>154</v>
      </c>
      <c r="C15" s="5" t="s">
        <v>155</v>
      </c>
      <c r="D15" s="5" t="s">
        <v>913</v>
      </c>
    </row>
    <row r="16" spans="1:8" x14ac:dyDescent="0.2">
      <c r="A16" s="5" t="s">
        <v>70</v>
      </c>
      <c r="B16" s="5" t="s">
        <v>165</v>
      </c>
      <c r="C16" s="5" t="s">
        <v>166</v>
      </c>
      <c r="D16" s="5" t="s">
        <v>913</v>
      </c>
    </row>
    <row r="17" spans="1:8" x14ac:dyDescent="0.2">
      <c r="A17" s="5" t="s">
        <v>70</v>
      </c>
      <c r="B17" s="5" t="s">
        <v>176</v>
      </c>
      <c r="C17" s="5" t="s">
        <v>177</v>
      </c>
      <c r="D17" s="5" t="s">
        <v>913</v>
      </c>
    </row>
    <row r="18" spans="1:8" x14ac:dyDescent="0.2">
      <c r="A18" s="5" t="s">
        <v>70</v>
      </c>
      <c r="B18" s="5" t="s">
        <v>184</v>
      </c>
      <c r="C18" s="5" t="s">
        <v>185</v>
      </c>
      <c r="D18" s="5" t="s">
        <v>913</v>
      </c>
    </row>
    <row r="19" spans="1:8" x14ac:dyDescent="0.2">
      <c r="A19" s="5" t="s">
        <v>70</v>
      </c>
      <c r="B19" s="5" t="s">
        <v>193</v>
      </c>
      <c r="C19" s="5" t="s">
        <v>194</v>
      </c>
      <c r="D19" s="5" t="s">
        <v>913</v>
      </c>
    </row>
    <row r="20" spans="1:8" x14ac:dyDescent="0.2">
      <c r="A20" s="5" t="s">
        <v>70</v>
      </c>
      <c r="B20" s="5" t="s">
        <v>200</v>
      </c>
      <c r="C20" s="5" t="s">
        <v>201</v>
      </c>
      <c r="D20" s="5" t="s">
        <v>913</v>
      </c>
    </row>
    <row r="21" spans="1:8" ht="15.75" customHeight="1" x14ac:dyDescent="0.2">
      <c r="A21" s="5" t="s">
        <v>70</v>
      </c>
      <c r="B21" s="5" t="s">
        <v>211</v>
      </c>
      <c r="C21" s="5" t="s">
        <v>212</v>
      </c>
      <c r="D21" s="5" t="s">
        <v>913</v>
      </c>
    </row>
    <row r="22" spans="1:8" ht="15.75" customHeight="1" x14ac:dyDescent="0.2">
      <c r="A22" s="5" t="s">
        <v>70</v>
      </c>
      <c r="B22" s="5" t="s">
        <v>221</v>
      </c>
      <c r="C22" s="5" t="s">
        <v>222</v>
      </c>
      <c r="D22" s="5" t="s">
        <v>913</v>
      </c>
    </row>
    <row r="23" spans="1:8" ht="15.75" customHeight="1" x14ac:dyDescent="0.2">
      <c r="A23" s="5" t="s">
        <v>70</v>
      </c>
      <c r="B23" s="5" t="s">
        <v>229</v>
      </c>
      <c r="C23" s="5" t="s">
        <v>230</v>
      </c>
      <c r="D23" s="5" t="s">
        <v>612</v>
      </c>
      <c r="E23" s="5" t="s">
        <v>1193</v>
      </c>
      <c r="F23" s="5" t="s">
        <v>1194</v>
      </c>
      <c r="G23" s="5" t="s">
        <v>612</v>
      </c>
      <c r="H23" s="5" t="s">
        <v>1195</v>
      </c>
    </row>
    <row r="24" spans="1:8" ht="15.75" customHeight="1" x14ac:dyDescent="0.2">
      <c r="A24" s="5" t="s">
        <v>70</v>
      </c>
      <c r="B24" s="5" t="s">
        <v>238</v>
      </c>
      <c r="C24" s="5" t="s">
        <v>239</v>
      </c>
      <c r="D24" s="5" t="s">
        <v>913</v>
      </c>
    </row>
    <row r="25" spans="1:8" ht="15.75" customHeight="1" x14ac:dyDescent="0.2">
      <c r="A25" s="5" t="s">
        <v>70</v>
      </c>
      <c r="B25" s="5" t="s">
        <v>247</v>
      </c>
      <c r="C25" s="5" t="s">
        <v>248</v>
      </c>
      <c r="D25" s="5" t="s">
        <v>913</v>
      </c>
    </row>
    <row r="26" spans="1:8" ht="15.75" customHeight="1" x14ac:dyDescent="0.2">
      <c r="A26" s="5" t="s">
        <v>70</v>
      </c>
      <c r="B26" s="5" t="s">
        <v>257</v>
      </c>
      <c r="C26" s="5" t="s">
        <v>258</v>
      </c>
      <c r="D26" s="5" t="s">
        <v>913</v>
      </c>
    </row>
    <row r="27" spans="1:8" ht="15.75" customHeight="1" x14ac:dyDescent="0.2">
      <c r="A27" s="5" t="s">
        <v>70</v>
      </c>
      <c r="B27" s="5" t="s">
        <v>268</v>
      </c>
      <c r="C27" s="5" t="s">
        <v>269</v>
      </c>
      <c r="D27" s="5" t="s">
        <v>913</v>
      </c>
    </row>
    <row r="28" spans="1:8" ht="15.75" customHeight="1" x14ac:dyDescent="0.2">
      <c r="A28" s="5" t="s">
        <v>276</v>
      </c>
      <c r="B28" s="5" t="s">
        <v>277</v>
      </c>
      <c r="C28" s="5" t="s">
        <v>278</v>
      </c>
      <c r="D28" s="5" t="s">
        <v>913</v>
      </c>
    </row>
    <row r="29" spans="1:8" ht="15.75" customHeight="1" x14ac:dyDescent="0.2">
      <c r="A29" s="5" t="s">
        <v>276</v>
      </c>
      <c r="B29" s="5" t="s">
        <v>288</v>
      </c>
      <c r="C29" s="5" t="s">
        <v>289</v>
      </c>
      <c r="D29" s="5" t="s">
        <v>913</v>
      </c>
    </row>
    <row r="30" spans="1:8" ht="15.75" customHeight="1" x14ac:dyDescent="0.2">
      <c r="A30" s="5" t="s">
        <v>276</v>
      </c>
      <c r="B30" s="5" t="s">
        <v>296</v>
      </c>
      <c r="C30" s="5" t="s">
        <v>297</v>
      </c>
      <c r="D30" s="5" t="s">
        <v>913</v>
      </c>
    </row>
    <row r="31" spans="1:8" ht="15.75" customHeight="1" x14ac:dyDescent="0.2">
      <c r="A31" s="5" t="s">
        <v>276</v>
      </c>
      <c r="B31" s="5" t="s">
        <v>305</v>
      </c>
      <c r="C31" s="5" t="s">
        <v>306</v>
      </c>
      <c r="D31" s="5" t="s">
        <v>612</v>
      </c>
      <c r="E31" s="5" t="s">
        <v>1196</v>
      </c>
      <c r="F31" s="5" t="s">
        <v>1197</v>
      </c>
      <c r="G31" s="5" t="s">
        <v>913</v>
      </c>
    </row>
    <row r="32" spans="1:8" ht="15.75" customHeight="1" x14ac:dyDescent="0.2">
      <c r="A32" s="5" t="s">
        <v>276</v>
      </c>
      <c r="B32" s="5" t="s">
        <v>316</v>
      </c>
      <c r="C32" s="5" t="s">
        <v>317</v>
      </c>
      <c r="D32" s="5" t="s">
        <v>913</v>
      </c>
    </row>
    <row r="33" spans="1:8" ht="15.75" customHeight="1" x14ac:dyDescent="0.2">
      <c r="A33" s="5" t="s">
        <v>276</v>
      </c>
      <c r="B33" s="5" t="s">
        <v>327</v>
      </c>
      <c r="C33" s="5" t="s">
        <v>328</v>
      </c>
      <c r="D33" s="5" t="s">
        <v>913</v>
      </c>
    </row>
    <row r="34" spans="1:8" ht="15.75" customHeight="1" x14ac:dyDescent="0.2">
      <c r="A34" s="5" t="s">
        <v>276</v>
      </c>
      <c r="B34" s="5" t="s">
        <v>337</v>
      </c>
      <c r="C34" s="5" t="s">
        <v>338</v>
      </c>
      <c r="D34" s="5" t="s">
        <v>913</v>
      </c>
    </row>
    <row r="35" spans="1:8" ht="15.75" customHeight="1" x14ac:dyDescent="0.2">
      <c r="A35" s="5" t="s">
        <v>276</v>
      </c>
      <c r="B35" s="5" t="s">
        <v>346</v>
      </c>
      <c r="C35" s="5" t="s">
        <v>347</v>
      </c>
      <c r="D35" s="5" t="s">
        <v>913</v>
      </c>
    </row>
    <row r="36" spans="1:8" ht="15.75" customHeight="1" x14ac:dyDescent="0.2">
      <c r="A36" s="5" t="s">
        <v>276</v>
      </c>
      <c r="B36" s="5" t="s">
        <v>355</v>
      </c>
      <c r="C36" s="5" t="s">
        <v>356</v>
      </c>
      <c r="D36" s="5" t="s">
        <v>913</v>
      </c>
    </row>
    <row r="37" spans="1:8" ht="15.75" customHeight="1" x14ac:dyDescent="0.2">
      <c r="A37" s="5" t="s">
        <v>276</v>
      </c>
      <c r="B37" s="5" t="s">
        <v>363</v>
      </c>
      <c r="C37" s="5" t="s">
        <v>364</v>
      </c>
      <c r="D37" s="5" t="s">
        <v>612</v>
      </c>
      <c r="E37" s="5" t="s">
        <v>1198</v>
      </c>
      <c r="F37" s="5" t="s">
        <v>1199</v>
      </c>
      <c r="G37" s="5" t="s">
        <v>612</v>
      </c>
    </row>
    <row r="38" spans="1:8" ht="15.75" customHeight="1" x14ac:dyDescent="0.2">
      <c r="A38" s="5" t="s">
        <v>276</v>
      </c>
      <c r="B38" s="5" t="s">
        <v>372</v>
      </c>
      <c r="C38" s="5" t="s">
        <v>373</v>
      </c>
      <c r="D38" s="5" t="s">
        <v>913</v>
      </c>
    </row>
    <row r="39" spans="1:8" ht="15.75" customHeight="1" x14ac:dyDescent="0.2">
      <c r="A39" s="5" t="s">
        <v>380</v>
      </c>
      <c r="B39" s="5" t="s">
        <v>381</v>
      </c>
      <c r="C39" s="5" t="s">
        <v>382</v>
      </c>
      <c r="D39" s="5" t="s">
        <v>913</v>
      </c>
    </row>
    <row r="40" spans="1:8" ht="15.75" customHeight="1" x14ac:dyDescent="0.2">
      <c r="A40" s="5" t="s">
        <v>380</v>
      </c>
      <c r="B40" s="5" t="s">
        <v>390</v>
      </c>
      <c r="C40" s="5" t="s">
        <v>391</v>
      </c>
      <c r="D40" s="5" t="s">
        <v>913</v>
      </c>
    </row>
    <row r="41" spans="1:8" ht="15.75" customHeight="1" x14ac:dyDescent="0.2">
      <c r="A41" s="5" t="s">
        <v>380</v>
      </c>
      <c r="B41" s="5" t="s">
        <v>390</v>
      </c>
      <c r="C41" s="5" t="s">
        <v>391</v>
      </c>
      <c r="D41" s="5" t="s">
        <v>913</v>
      </c>
    </row>
    <row r="42" spans="1:8" ht="15.75" customHeight="1" x14ac:dyDescent="0.2">
      <c r="A42" s="5" t="s">
        <v>380</v>
      </c>
      <c r="B42" s="5" t="s">
        <v>399</v>
      </c>
      <c r="C42" s="5" t="s">
        <v>400</v>
      </c>
      <c r="D42" s="5" t="s">
        <v>612</v>
      </c>
      <c r="E42" s="5" t="s">
        <v>1200</v>
      </c>
      <c r="F42" s="5" t="s">
        <v>1201</v>
      </c>
      <c r="G42" s="5" t="s">
        <v>612</v>
      </c>
      <c r="H42" s="5" t="s">
        <v>1202</v>
      </c>
    </row>
    <row r="43" spans="1:8" ht="15.75" customHeight="1" x14ac:dyDescent="0.2">
      <c r="A43" s="5" t="s">
        <v>380</v>
      </c>
      <c r="B43" s="5" t="s">
        <v>407</v>
      </c>
      <c r="C43" s="5" t="s">
        <v>408</v>
      </c>
      <c r="D43" s="5" t="s">
        <v>913</v>
      </c>
    </row>
    <row r="44" spans="1:8" ht="15.75" customHeight="1" x14ac:dyDescent="0.2">
      <c r="A44" s="5" t="s">
        <v>380</v>
      </c>
      <c r="B44" s="5" t="s">
        <v>417</v>
      </c>
      <c r="C44" s="5" t="s">
        <v>418</v>
      </c>
      <c r="D44" s="5" t="s">
        <v>612</v>
      </c>
      <c r="E44" s="5" t="s">
        <v>1203</v>
      </c>
      <c r="F44" s="5" t="s">
        <v>1204</v>
      </c>
      <c r="G44" s="5" t="s">
        <v>612</v>
      </c>
    </row>
    <row r="45" spans="1:8" ht="15.75" customHeight="1" x14ac:dyDescent="0.2">
      <c r="A45" s="5" t="s">
        <v>426</v>
      </c>
      <c r="B45" s="5" t="s">
        <v>427</v>
      </c>
      <c r="C45" s="5" t="s">
        <v>428</v>
      </c>
      <c r="D45" s="5" t="s">
        <v>913</v>
      </c>
    </row>
    <row r="46" spans="1:8" ht="15.75" customHeight="1" x14ac:dyDescent="0.2">
      <c r="A46" s="5" t="s">
        <v>426</v>
      </c>
      <c r="B46" s="5" t="s">
        <v>435</v>
      </c>
      <c r="C46" s="5" t="s">
        <v>436</v>
      </c>
      <c r="D46" s="5" t="s">
        <v>913</v>
      </c>
    </row>
    <row r="47" spans="1:8" ht="15.75" customHeight="1" x14ac:dyDescent="0.2">
      <c r="A47" s="5" t="s">
        <v>426</v>
      </c>
      <c r="B47" s="5" t="s">
        <v>435</v>
      </c>
      <c r="C47" s="5" t="s">
        <v>436</v>
      </c>
      <c r="D47" s="5" t="s">
        <v>913</v>
      </c>
    </row>
    <row r="48" spans="1:8" ht="15.75" customHeight="1" x14ac:dyDescent="0.2">
      <c r="A48" s="5" t="s">
        <v>426</v>
      </c>
      <c r="B48" s="5" t="s">
        <v>444</v>
      </c>
      <c r="C48" s="5" t="s">
        <v>445</v>
      </c>
      <c r="D48" s="5" t="s">
        <v>913</v>
      </c>
    </row>
    <row r="49" spans="1:4" ht="15.75" customHeight="1" x14ac:dyDescent="0.2">
      <c r="A49" s="5" t="s">
        <v>426</v>
      </c>
      <c r="B49" s="5" t="s">
        <v>452</v>
      </c>
      <c r="C49" s="5" t="s">
        <v>453</v>
      </c>
      <c r="D49" s="5" t="s">
        <v>913</v>
      </c>
    </row>
    <row r="50" spans="1:4" ht="15.75" customHeight="1" x14ac:dyDescent="0.2">
      <c r="A50" s="5" t="s">
        <v>426</v>
      </c>
      <c r="B50" s="5" t="s">
        <v>460</v>
      </c>
      <c r="C50" s="5" t="s">
        <v>461</v>
      </c>
      <c r="D50" s="5" t="s">
        <v>913</v>
      </c>
    </row>
    <row r="51" spans="1:4" ht="15.75" customHeight="1" x14ac:dyDescent="0.2">
      <c r="A51" s="5" t="s">
        <v>426</v>
      </c>
      <c r="B51" s="5" t="s">
        <v>468</v>
      </c>
      <c r="C51" s="5" t="s">
        <v>469</v>
      </c>
      <c r="D51" s="5" t="s">
        <v>913</v>
      </c>
    </row>
    <row r="52" spans="1:4" ht="15.75" customHeight="1" x14ac:dyDescent="0.2">
      <c r="A52" s="5" t="s">
        <v>426</v>
      </c>
      <c r="B52" s="5" t="s">
        <v>476</v>
      </c>
      <c r="C52" s="5" t="s">
        <v>477</v>
      </c>
      <c r="D52" s="5" t="s">
        <v>913</v>
      </c>
    </row>
    <row r="53" spans="1:4" ht="15.75" customHeight="1" x14ac:dyDescent="0.2">
      <c r="A53" s="5" t="s">
        <v>426</v>
      </c>
      <c r="B53" s="5" t="s">
        <v>476</v>
      </c>
      <c r="C53" s="5" t="s">
        <v>477</v>
      </c>
      <c r="D53" s="5" t="s">
        <v>913</v>
      </c>
    </row>
    <row r="54" spans="1:4" ht="15.75" customHeight="1" x14ac:dyDescent="0.2">
      <c r="A54" s="5" t="s">
        <v>485</v>
      </c>
      <c r="B54" s="5" t="s">
        <v>486</v>
      </c>
      <c r="C54" s="5" t="s">
        <v>487</v>
      </c>
      <c r="D54" s="5" t="s">
        <v>913</v>
      </c>
    </row>
    <row r="55" spans="1:4" ht="15.75" customHeight="1" x14ac:dyDescent="0.2">
      <c r="A55" s="5" t="s">
        <v>485</v>
      </c>
      <c r="B55" s="5" t="s">
        <v>494</v>
      </c>
      <c r="C55" s="5" t="s">
        <v>495</v>
      </c>
      <c r="D55" s="5" t="s">
        <v>913</v>
      </c>
    </row>
    <row r="56" spans="1:4" ht="15.75" customHeight="1" x14ac:dyDescent="0.2">
      <c r="A56" s="5" t="s">
        <v>485</v>
      </c>
      <c r="B56" s="5" t="s">
        <v>503</v>
      </c>
      <c r="C56" s="5" t="s">
        <v>504</v>
      </c>
      <c r="D56" s="5" t="s">
        <v>913</v>
      </c>
    </row>
    <row r="57" spans="1:4" ht="15.75" customHeight="1" x14ac:dyDescent="0.2">
      <c r="A57" s="5" t="s">
        <v>485</v>
      </c>
      <c r="B57" s="5" t="s">
        <v>511</v>
      </c>
      <c r="C57" s="5" t="s">
        <v>512</v>
      </c>
      <c r="D57" s="5" t="s">
        <v>913</v>
      </c>
    </row>
    <row r="58" spans="1:4" ht="15.75" customHeight="1" x14ac:dyDescent="0.2">
      <c r="A58" s="5" t="s">
        <v>485</v>
      </c>
      <c r="B58" s="5" t="s">
        <v>519</v>
      </c>
      <c r="C58" s="5" t="s">
        <v>520</v>
      </c>
      <c r="D58" s="5" t="s">
        <v>913</v>
      </c>
    </row>
    <row r="59" spans="1:4" ht="15.75" customHeight="1" x14ac:dyDescent="0.2">
      <c r="A59" s="5" t="s">
        <v>485</v>
      </c>
      <c r="B59" s="5" t="s">
        <v>519</v>
      </c>
      <c r="C59" s="5" t="s">
        <v>520</v>
      </c>
      <c r="D59" s="5" t="s">
        <v>913</v>
      </c>
    </row>
    <row r="60" spans="1:4" ht="15.75" customHeight="1" x14ac:dyDescent="0.2">
      <c r="A60" s="5" t="s">
        <v>485</v>
      </c>
      <c r="B60" s="5" t="s">
        <v>527</v>
      </c>
      <c r="C60" s="5" t="s">
        <v>528</v>
      </c>
      <c r="D60" s="5" t="s">
        <v>913</v>
      </c>
    </row>
    <row r="61" spans="1:4" ht="15.75" customHeight="1" x14ac:dyDescent="0.2">
      <c r="A61" s="5" t="s">
        <v>485</v>
      </c>
      <c r="B61" s="5" t="s">
        <v>537</v>
      </c>
      <c r="C61" s="5" t="s">
        <v>538</v>
      </c>
      <c r="D61" s="5" t="s">
        <v>913</v>
      </c>
    </row>
    <row r="62" spans="1:4" ht="15.75" customHeight="1" x14ac:dyDescent="0.2">
      <c r="A62" s="5" t="s">
        <v>485</v>
      </c>
      <c r="B62" s="5" t="s">
        <v>546</v>
      </c>
      <c r="C62" s="5" t="s">
        <v>547</v>
      </c>
      <c r="D62" s="5" t="s">
        <v>913</v>
      </c>
    </row>
    <row r="63" spans="1:4" ht="15.75" customHeight="1" x14ac:dyDescent="0.2">
      <c r="A63" t="s">
        <v>70</v>
      </c>
      <c r="B63" t="s">
        <v>555</v>
      </c>
      <c r="C63" t="s">
        <v>556</v>
      </c>
      <c r="D63" t="s">
        <v>913</v>
      </c>
    </row>
    <row r="64" spans="1:4" ht="15.75" customHeight="1" x14ac:dyDescent="0.2">
      <c r="A64" t="s">
        <v>276</v>
      </c>
      <c r="B64" t="s">
        <v>562</v>
      </c>
      <c r="C64" t="s">
        <v>563</v>
      </c>
      <c r="D64" t="s">
        <v>913</v>
      </c>
    </row>
    <row r="65" spans="1:7" ht="15.75" customHeight="1" x14ac:dyDescent="0.2">
      <c r="A65" t="s">
        <v>276</v>
      </c>
      <c r="B65" t="s">
        <v>568</v>
      </c>
      <c r="C65" t="s">
        <v>569</v>
      </c>
      <c r="D65" t="s">
        <v>612</v>
      </c>
      <c r="E65" t="s">
        <v>1205</v>
      </c>
      <c r="F65" t="s">
        <v>1206</v>
      </c>
      <c r="G65" t="s">
        <v>612</v>
      </c>
    </row>
    <row r="66" spans="1:7" ht="15.75" customHeight="1" x14ac:dyDescent="0.2">
      <c r="A66" t="s">
        <v>276</v>
      </c>
      <c r="B66" t="s">
        <v>574</v>
      </c>
      <c r="C66" t="s">
        <v>575</v>
      </c>
      <c r="D66" t="s">
        <v>913</v>
      </c>
    </row>
    <row r="67" spans="1:7" ht="15.75" customHeight="1" x14ac:dyDescent="0.2"/>
    <row r="68" spans="1:7" ht="15.75" customHeight="1" x14ac:dyDescent="0.2"/>
    <row r="69" spans="1:7" ht="15.75" customHeight="1" x14ac:dyDescent="0.2"/>
    <row r="70" spans="1:7" ht="15.75" customHeight="1" x14ac:dyDescent="0.2"/>
    <row r="71" spans="1:7" ht="15.75" customHeight="1" x14ac:dyDescent="0.2"/>
    <row r="72" spans="1:7" ht="15.75" customHeight="1" x14ac:dyDescent="0.2"/>
    <row r="73" spans="1:7" ht="15.75" customHeight="1" x14ac:dyDescent="0.2"/>
    <row r="74" spans="1:7" ht="15.75" customHeight="1" x14ac:dyDescent="0.2"/>
    <row r="75" spans="1:7" ht="15.75" customHeight="1" x14ac:dyDescent="0.2"/>
    <row r="76" spans="1:7" ht="15.75" customHeight="1" x14ac:dyDescent="0.2"/>
    <row r="77" spans="1:7" ht="15.75" customHeight="1" x14ac:dyDescent="0.2"/>
    <row r="78" spans="1:7" ht="15.75" customHeight="1" x14ac:dyDescent="0.2"/>
    <row r="79" spans="1:7" ht="15.75" customHeight="1" x14ac:dyDescent="0.2"/>
    <row r="80" spans="1: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workbookViewId="0"/>
  </sheetViews>
  <sheetFormatPr baseColWidth="10" defaultColWidth="14.5" defaultRowHeight="15" customHeight="1" x14ac:dyDescent="0.2"/>
  <cols>
    <col min="1" max="26" width="8.6640625" customWidth="1"/>
  </cols>
  <sheetData>
    <row r="1" spans="1:8" x14ac:dyDescent="0.2">
      <c r="A1" s="1" t="s">
        <v>0</v>
      </c>
      <c r="B1" s="1" t="s">
        <v>1</v>
      </c>
      <c r="C1" s="1" t="s">
        <v>2</v>
      </c>
      <c r="D1" s="1" t="s">
        <v>1207</v>
      </c>
      <c r="E1" s="1" t="s">
        <v>1208</v>
      </c>
      <c r="F1" s="1" t="s">
        <v>1185</v>
      </c>
      <c r="G1" s="1" t="s">
        <v>1186</v>
      </c>
      <c r="H1" s="1" t="s">
        <v>1187</v>
      </c>
    </row>
    <row r="2" spans="1:8" x14ac:dyDescent="0.2">
      <c r="A2" s="5" t="s">
        <v>26</v>
      </c>
      <c r="B2" s="5" t="s">
        <v>27</v>
      </c>
      <c r="C2" s="5" t="s">
        <v>28</v>
      </c>
      <c r="D2" s="5" t="s">
        <v>612</v>
      </c>
      <c r="E2" s="5" t="s">
        <v>913</v>
      </c>
    </row>
    <row r="3" spans="1:8" x14ac:dyDescent="0.2">
      <c r="A3" s="5" t="s">
        <v>26</v>
      </c>
      <c r="B3" s="5" t="s">
        <v>40</v>
      </c>
      <c r="C3" s="5" t="s">
        <v>41</v>
      </c>
      <c r="D3" s="5" t="s">
        <v>913</v>
      </c>
    </row>
    <row r="4" spans="1:8" x14ac:dyDescent="0.2">
      <c r="A4" s="5" t="s">
        <v>26</v>
      </c>
      <c r="B4" s="5" t="s">
        <v>40</v>
      </c>
      <c r="C4" s="5" t="s">
        <v>41</v>
      </c>
      <c r="D4" s="5" t="s">
        <v>913</v>
      </c>
    </row>
    <row r="5" spans="1:8" x14ac:dyDescent="0.2">
      <c r="A5" s="5" t="s">
        <v>26</v>
      </c>
      <c r="B5" s="5" t="s">
        <v>50</v>
      </c>
      <c r="C5" s="5" t="s">
        <v>51</v>
      </c>
      <c r="D5" s="5" t="s">
        <v>913</v>
      </c>
    </row>
    <row r="6" spans="1:8" x14ac:dyDescent="0.2">
      <c r="A6" s="5" t="s">
        <v>26</v>
      </c>
      <c r="B6" s="5" t="s">
        <v>61</v>
      </c>
      <c r="C6" s="5" t="s">
        <v>62</v>
      </c>
      <c r="D6" s="5" t="s">
        <v>913</v>
      </c>
    </row>
    <row r="7" spans="1:8" x14ac:dyDescent="0.2">
      <c r="A7" s="5" t="s">
        <v>70</v>
      </c>
      <c r="B7" s="5" t="s">
        <v>71</v>
      </c>
      <c r="C7" s="5" t="s">
        <v>72</v>
      </c>
      <c r="D7" s="5" t="s">
        <v>913</v>
      </c>
    </row>
    <row r="8" spans="1:8" x14ac:dyDescent="0.2">
      <c r="A8" s="5" t="s">
        <v>70</v>
      </c>
      <c r="B8" s="5" t="s">
        <v>82</v>
      </c>
      <c r="C8" s="5" t="s">
        <v>83</v>
      </c>
      <c r="D8" s="5" t="s">
        <v>913</v>
      </c>
    </row>
    <row r="9" spans="1:8" x14ac:dyDescent="0.2">
      <c r="A9" s="5" t="s">
        <v>70</v>
      </c>
      <c r="B9" s="5" t="s">
        <v>93</v>
      </c>
      <c r="C9" s="5" t="s">
        <v>94</v>
      </c>
      <c r="D9" s="5" t="s">
        <v>913</v>
      </c>
    </row>
    <row r="10" spans="1:8" x14ac:dyDescent="0.2">
      <c r="A10" s="5" t="s">
        <v>70</v>
      </c>
      <c r="B10" s="5" t="s">
        <v>102</v>
      </c>
      <c r="C10" s="5" t="s">
        <v>103</v>
      </c>
      <c r="D10" s="5" t="s">
        <v>612</v>
      </c>
      <c r="E10" s="5" t="s">
        <v>913</v>
      </c>
    </row>
    <row r="11" spans="1:8" x14ac:dyDescent="0.2">
      <c r="A11" s="5" t="s">
        <v>70</v>
      </c>
      <c r="B11" s="5" t="s">
        <v>112</v>
      </c>
      <c r="C11" s="5" t="s">
        <v>113</v>
      </c>
      <c r="D11" s="5" t="s">
        <v>913</v>
      </c>
    </row>
    <row r="12" spans="1:8" x14ac:dyDescent="0.2">
      <c r="A12" s="5" t="s">
        <v>70</v>
      </c>
      <c r="B12" s="5" t="s">
        <v>123</v>
      </c>
      <c r="C12" s="5" t="s">
        <v>124</v>
      </c>
      <c r="D12" s="5" t="s">
        <v>913</v>
      </c>
    </row>
    <row r="13" spans="1:8" x14ac:dyDescent="0.2">
      <c r="A13" s="5" t="s">
        <v>70</v>
      </c>
      <c r="B13" s="5" t="s">
        <v>134</v>
      </c>
      <c r="C13" s="5" t="s">
        <v>135</v>
      </c>
      <c r="D13" s="5" t="s">
        <v>913</v>
      </c>
    </row>
    <row r="14" spans="1:8" x14ac:dyDescent="0.2">
      <c r="A14" s="5" t="s">
        <v>70</v>
      </c>
      <c r="B14" s="5" t="s">
        <v>144</v>
      </c>
      <c r="C14" s="5" t="s">
        <v>145</v>
      </c>
      <c r="D14" s="5" t="s">
        <v>913</v>
      </c>
    </row>
    <row r="15" spans="1:8" x14ac:dyDescent="0.2">
      <c r="A15" s="5" t="s">
        <v>70</v>
      </c>
      <c r="B15" s="5" t="s">
        <v>154</v>
      </c>
      <c r="C15" s="5" t="s">
        <v>155</v>
      </c>
      <c r="D15" s="5" t="s">
        <v>913</v>
      </c>
    </row>
    <row r="16" spans="1:8" x14ac:dyDescent="0.2">
      <c r="A16" s="5" t="s">
        <v>70</v>
      </c>
      <c r="B16" s="5" t="s">
        <v>165</v>
      </c>
      <c r="C16" s="5" t="s">
        <v>166</v>
      </c>
      <c r="D16" s="5" t="s">
        <v>913</v>
      </c>
    </row>
    <row r="17" spans="1:8" x14ac:dyDescent="0.2">
      <c r="A17" s="5" t="s">
        <v>70</v>
      </c>
      <c r="B17" s="5" t="s">
        <v>176</v>
      </c>
      <c r="C17" s="5" t="s">
        <v>177</v>
      </c>
      <c r="D17" s="5" t="s">
        <v>913</v>
      </c>
    </row>
    <row r="18" spans="1:8" x14ac:dyDescent="0.2">
      <c r="A18" s="5" t="s">
        <v>70</v>
      </c>
      <c r="B18" s="5" t="s">
        <v>184</v>
      </c>
      <c r="C18" s="5" t="s">
        <v>185</v>
      </c>
      <c r="D18" s="5" t="s">
        <v>913</v>
      </c>
    </row>
    <row r="19" spans="1:8" x14ac:dyDescent="0.2">
      <c r="A19" s="5" t="s">
        <v>70</v>
      </c>
      <c r="B19" s="5" t="s">
        <v>193</v>
      </c>
      <c r="C19" s="5" t="s">
        <v>194</v>
      </c>
      <c r="D19" s="5" t="s">
        <v>913</v>
      </c>
    </row>
    <row r="20" spans="1:8" x14ac:dyDescent="0.2">
      <c r="A20" s="5" t="s">
        <v>70</v>
      </c>
      <c r="B20" s="5" t="s">
        <v>200</v>
      </c>
      <c r="C20" s="5" t="s">
        <v>201</v>
      </c>
      <c r="D20" s="5" t="s">
        <v>913</v>
      </c>
    </row>
    <row r="21" spans="1:8" ht="15.75" customHeight="1" x14ac:dyDescent="0.2">
      <c r="A21" s="5" t="s">
        <v>70</v>
      </c>
      <c r="B21" s="5" t="s">
        <v>211</v>
      </c>
      <c r="C21" s="5" t="s">
        <v>212</v>
      </c>
      <c r="D21" s="5" t="s">
        <v>913</v>
      </c>
    </row>
    <row r="22" spans="1:8" ht="15.75" customHeight="1" x14ac:dyDescent="0.2">
      <c r="A22" s="5" t="s">
        <v>70</v>
      </c>
      <c r="B22" s="5" t="s">
        <v>221</v>
      </c>
      <c r="C22" s="5" t="s">
        <v>222</v>
      </c>
      <c r="D22" s="5" t="s">
        <v>913</v>
      </c>
    </row>
    <row r="23" spans="1:8" ht="15.75" customHeight="1" x14ac:dyDescent="0.2">
      <c r="A23" s="5" t="s">
        <v>70</v>
      </c>
      <c r="B23" s="5" t="s">
        <v>229</v>
      </c>
      <c r="C23" s="5" t="s">
        <v>230</v>
      </c>
      <c r="D23" s="5" t="s">
        <v>612</v>
      </c>
      <c r="E23" s="5" t="s">
        <v>913</v>
      </c>
    </row>
    <row r="24" spans="1:8" ht="15.75" customHeight="1" x14ac:dyDescent="0.2">
      <c r="A24" s="5" t="s">
        <v>70</v>
      </c>
      <c r="B24" s="5" t="s">
        <v>238</v>
      </c>
      <c r="C24" s="5" t="s">
        <v>239</v>
      </c>
      <c r="D24" s="5" t="s">
        <v>913</v>
      </c>
    </row>
    <row r="25" spans="1:8" ht="15.75" customHeight="1" x14ac:dyDescent="0.2">
      <c r="A25" s="5" t="s">
        <v>70</v>
      </c>
      <c r="B25" s="5" t="s">
        <v>247</v>
      </c>
      <c r="C25" s="5" t="s">
        <v>248</v>
      </c>
      <c r="D25" s="5" t="s">
        <v>913</v>
      </c>
    </row>
    <row r="26" spans="1:8" ht="15.75" customHeight="1" x14ac:dyDescent="0.2">
      <c r="A26" s="5" t="s">
        <v>70</v>
      </c>
      <c r="B26" s="5" t="s">
        <v>257</v>
      </c>
      <c r="C26" s="5" t="s">
        <v>258</v>
      </c>
      <c r="D26" s="5" t="s">
        <v>913</v>
      </c>
    </row>
    <row r="27" spans="1:8" ht="15.75" customHeight="1" x14ac:dyDescent="0.2">
      <c r="A27" s="5" t="s">
        <v>70</v>
      </c>
      <c r="B27" s="5" t="s">
        <v>268</v>
      </c>
      <c r="C27" s="5" t="s">
        <v>269</v>
      </c>
      <c r="D27" s="5" t="s">
        <v>913</v>
      </c>
    </row>
    <row r="28" spans="1:8" ht="15.75" customHeight="1" x14ac:dyDescent="0.2">
      <c r="A28" s="5" t="s">
        <v>276</v>
      </c>
      <c r="B28" s="5" t="s">
        <v>277</v>
      </c>
      <c r="C28" s="5" t="s">
        <v>278</v>
      </c>
      <c r="D28" s="5" t="s">
        <v>913</v>
      </c>
    </row>
    <row r="29" spans="1:8" ht="15.75" customHeight="1" x14ac:dyDescent="0.2">
      <c r="A29" s="5" t="s">
        <v>276</v>
      </c>
      <c r="B29" s="5" t="s">
        <v>288</v>
      </c>
      <c r="C29" s="5" t="s">
        <v>289</v>
      </c>
      <c r="D29" s="5" t="s">
        <v>913</v>
      </c>
    </row>
    <row r="30" spans="1:8" ht="15.75" customHeight="1" x14ac:dyDescent="0.2">
      <c r="A30" s="5" t="s">
        <v>276</v>
      </c>
      <c r="B30" s="5" t="s">
        <v>296</v>
      </c>
      <c r="C30" s="5" t="s">
        <v>297</v>
      </c>
      <c r="D30" s="5" t="s">
        <v>913</v>
      </c>
    </row>
    <row r="31" spans="1:8" ht="15.75" customHeight="1" x14ac:dyDescent="0.2">
      <c r="A31" s="5" t="s">
        <v>276</v>
      </c>
      <c r="B31" s="5" t="s">
        <v>305</v>
      </c>
      <c r="C31" s="5" t="s">
        <v>306</v>
      </c>
      <c r="D31" s="5" t="s">
        <v>612</v>
      </c>
      <c r="E31" s="5" t="s">
        <v>612</v>
      </c>
      <c r="F31" s="5" t="s">
        <v>1209</v>
      </c>
      <c r="G31" s="5" t="s">
        <v>1210</v>
      </c>
      <c r="H31" s="5" t="s">
        <v>612</v>
      </c>
    </row>
    <row r="32" spans="1:8" ht="15.75" customHeight="1" x14ac:dyDescent="0.2">
      <c r="A32" s="5" t="s">
        <v>276</v>
      </c>
      <c r="B32" s="5" t="s">
        <v>316</v>
      </c>
      <c r="C32" s="5" t="s">
        <v>317</v>
      </c>
      <c r="D32" s="5" t="s">
        <v>913</v>
      </c>
    </row>
    <row r="33" spans="1:5" ht="15.75" customHeight="1" x14ac:dyDescent="0.2">
      <c r="A33" s="5" t="s">
        <v>276</v>
      </c>
      <c r="B33" s="5" t="s">
        <v>327</v>
      </c>
      <c r="C33" s="5" t="s">
        <v>328</v>
      </c>
      <c r="D33" s="5" t="s">
        <v>913</v>
      </c>
    </row>
    <row r="34" spans="1:5" ht="15.75" customHeight="1" x14ac:dyDescent="0.2">
      <c r="A34" s="5" t="s">
        <v>276</v>
      </c>
      <c r="B34" s="5" t="s">
        <v>337</v>
      </c>
      <c r="C34" s="5" t="s">
        <v>338</v>
      </c>
      <c r="D34" s="5" t="s">
        <v>913</v>
      </c>
    </row>
    <row r="35" spans="1:5" ht="15.75" customHeight="1" x14ac:dyDescent="0.2">
      <c r="A35" s="5" t="s">
        <v>276</v>
      </c>
      <c r="B35" s="5" t="s">
        <v>346</v>
      </c>
      <c r="C35" s="5" t="s">
        <v>347</v>
      </c>
      <c r="D35" s="5" t="s">
        <v>913</v>
      </c>
    </row>
    <row r="36" spans="1:5" ht="15.75" customHeight="1" x14ac:dyDescent="0.2">
      <c r="A36" s="5" t="s">
        <v>276</v>
      </c>
      <c r="B36" s="5" t="s">
        <v>355</v>
      </c>
      <c r="C36" s="5" t="s">
        <v>356</v>
      </c>
      <c r="D36" s="5" t="s">
        <v>913</v>
      </c>
    </row>
    <row r="37" spans="1:5" ht="15.75" customHeight="1" x14ac:dyDescent="0.2">
      <c r="A37" s="5" t="s">
        <v>276</v>
      </c>
      <c r="B37" s="5" t="s">
        <v>363</v>
      </c>
      <c r="C37" s="5" t="s">
        <v>364</v>
      </c>
      <c r="D37" s="5" t="s">
        <v>612</v>
      </c>
      <c r="E37" s="5" t="s">
        <v>913</v>
      </c>
    </row>
    <row r="38" spans="1:5" ht="15.75" customHeight="1" x14ac:dyDescent="0.2">
      <c r="A38" s="5" t="s">
        <v>276</v>
      </c>
      <c r="B38" s="5" t="s">
        <v>372</v>
      </c>
      <c r="C38" s="5" t="s">
        <v>373</v>
      </c>
      <c r="D38" s="5" t="s">
        <v>913</v>
      </c>
    </row>
    <row r="39" spans="1:5" ht="15.75" customHeight="1" x14ac:dyDescent="0.2">
      <c r="A39" s="5" t="s">
        <v>380</v>
      </c>
      <c r="B39" s="5" t="s">
        <v>381</v>
      </c>
      <c r="C39" s="5" t="s">
        <v>382</v>
      </c>
      <c r="D39" s="5" t="s">
        <v>913</v>
      </c>
    </row>
    <row r="40" spans="1:5" ht="15.75" customHeight="1" x14ac:dyDescent="0.2">
      <c r="A40" s="5" t="s">
        <v>380</v>
      </c>
      <c r="B40" s="5" t="s">
        <v>390</v>
      </c>
      <c r="C40" s="5" t="s">
        <v>391</v>
      </c>
      <c r="D40" s="5" t="s">
        <v>913</v>
      </c>
    </row>
    <row r="41" spans="1:5" ht="15.75" customHeight="1" x14ac:dyDescent="0.2">
      <c r="A41" s="5" t="s">
        <v>380</v>
      </c>
      <c r="B41" s="5" t="s">
        <v>390</v>
      </c>
      <c r="C41" s="5" t="s">
        <v>391</v>
      </c>
      <c r="D41" s="5" t="s">
        <v>913</v>
      </c>
    </row>
    <row r="42" spans="1:5" ht="15.75" customHeight="1" x14ac:dyDescent="0.2">
      <c r="A42" s="5" t="s">
        <v>380</v>
      </c>
      <c r="B42" s="5" t="s">
        <v>399</v>
      </c>
      <c r="C42" s="5" t="s">
        <v>400</v>
      </c>
      <c r="D42" s="5" t="s">
        <v>612</v>
      </c>
      <c r="E42" s="5" t="s">
        <v>913</v>
      </c>
    </row>
    <row r="43" spans="1:5" ht="15.75" customHeight="1" x14ac:dyDescent="0.2">
      <c r="A43" s="5" t="s">
        <v>380</v>
      </c>
      <c r="B43" s="5" t="s">
        <v>407</v>
      </c>
      <c r="C43" s="5" t="s">
        <v>408</v>
      </c>
      <c r="D43" s="5" t="s">
        <v>913</v>
      </c>
    </row>
    <row r="44" spans="1:5" ht="15.75" customHeight="1" x14ac:dyDescent="0.2">
      <c r="A44" s="5" t="s">
        <v>380</v>
      </c>
      <c r="B44" s="5" t="s">
        <v>417</v>
      </c>
      <c r="C44" s="5" t="s">
        <v>418</v>
      </c>
      <c r="D44" s="5" t="s">
        <v>612</v>
      </c>
      <c r="E44" s="5" t="s">
        <v>913</v>
      </c>
    </row>
    <row r="45" spans="1:5" ht="15.75" customHeight="1" x14ac:dyDescent="0.2">
      <c r="A45" s="5" t="s">
        <v>426</v>
      </c>
      <c r="B45" s="5" t="s">
        <v>427</v>
      </c>
      <c r="C45" s="5" t="s">
        <v>428</v>
      </c>
      <c r="D45" s="5" t="s">
        <v>913</v>
      </c>
    </row>
    <row r="46" spans="1:5" ht="15.75" customHeight="1" x14ac:dyDescent="0.2">
      <c r="A46" s="5" t="s">
        <v>426</v>
      </c>
      <c r="B46" s="5" t="s">
        <v>435</v>
      </c>
      <c r="C46" s="5" t="s">
        <v>436</v>
      </c>
      <c r="D46" s="5" t="s">
        <v>612</v>
      </c>
      <c r="E46" s="5" t="s">
        <v>913</v>
      </c>
    </row>
    <row r="47" spans="1:5" ht="15.75" customHeight="1" x14ac:dyDescent="0.2">
      <c r="A47" s="5" t="s">
        <v>426</v>
      </c>
      <c r="B47" s="5" t="s">
        <v>435</v>
      </c>
      <c r="C47" s="5" t="s">
        <v>436</v>
      </c>
      <c r="D47" s="5" t="s">
        <v>612</v>
      </c>
      <c r="E47" s="5" t="s">
        <v>913</v>
      </c>
    </row>
    <row r="48" spans="1:5" ht="15.75" customHeight="1" x14ac:dyDescent="0.2">
      <c r="A48" s="5" t="s">
        <v>426</v>
      </c>
      <c r="B48" s="5" t="s">
        <v>444</v>
      </c>
      <c r="C48" s="5" t="s">
        <v>445</v>
      </c>
      <c r="D48" s="5" t="s">
        <v>913</v>
      </c>
    </row>
    <row r="49" spans="1:8" ht="15.75" customHeight="1" x14ac:dyDescent="0.2">
      <c r="A49" s="5" t="s">
        <v>426</v>
      </c>
      <c r="B49" s="5" t="s">
        <v>452</v>
      </c>
      <c r="C49" s="5" t="s">
        <v>453</v>
      </c>
      <c r="D49" s="5" t="s">
        <v>913</v>
      </c>
    </row>
    <row r="50" spans="1:8" ht="15.75" customHeight="1" x14ac:dyDescent="0.2">
      <c r="A50" s="5" t="s">
        <v>426</v>
      </c>
      <c r="B50" s="5" t="s">
        <v>460</v>
      </c>
      <c r="C50" s="5" t="s">
        <v>461</v>
      </c>
      <c r="D50" s="5" t="s">
        <v>612</v>
      </c>
      <c r="E50" s="5" t="s">
        <v>913</v>
      </c>
    </row>
    <row r="51" spans="1:8" ht="15.75" customHeight="1" x14ac:dyDescent="0.2">
      <c r="A51" s="5" t="s">
        <v>426</v>
      </c>
      <c r="B51" s="5" t="s">
        <v>468</v>
      </c>
      <c r="C51" s="5" t="s">
        <v>469</v>
      </c>
      <c r="D51" s="5" t="s">
        <v>913</v>
      </c>
    </row>
    <row r="52" spans="1:8" ht="15.75" customHeight="1" x14ac:dyDescent="0.2">
      <c r="A52" s="5" t="s">
        <v>426</v>
      </c>
      <c r="B52" s="5" t="s">
        <v>476</v>
      </c>
      <c r="C52" s="5" t="s">
        <v>477</v>
      </c>
      <c r="D52" s="5" t="s">
        <v>913</v>
      </c>
    </row>
    <row r="53" spans="1:8" ht="15.75" customHeight="1" x14ac:dyDescent="0.2">
      <c r="A53" s="5" t="s">
        <v>426</v>
      </c>
      <c r="B53" s="5" t="s">
        <v>476</v>
      </c>
      <c r="C53" s="5" t="s">
        <v>477</v>
      </c>
      <c r="D53" s="5" t="s">
        <v>913</v>
      </c>
    </row>
    <row r="54" spans="1:8" ht="15.75" customHeight="1" x14ac:dyDescent="0.2">
      <c r="A54" s="5" t="s">
        <v>485</v>
      </c>
      <c r="B54" s="5" t="s">
        <v>486</v>
      </c>
      <c r="C54" s="5" t="s">
        <v>487</v>
      </c>
      <c r="D54" s="5" t="s">
        <v>913</v>
      </c>
    </row>
    <row r="55" spans="1:8" ht="15.75" customHeight="1" x14ac:dyDescent="0.2">
      <c r="A55" s="5" t="s">
        <v>485</v>
      </c>
      <c r="B55" s="5" t="s">
        <v>494</v>
      </c>
      <c r="C55" s="5" t="s">
        <v>495</v>
      </c>
      <c r="D55" s="5" t="s">
        <v>913</v>
      </c>
    </row>
    <row r="56" spans="1:8" ht="15.75" customHeight="1" x14ac:dyDescent="0.2">
      <c r="A56" s="5" t="s">
        <v>485</v>
      </c>
      <c r="B56" s="5" t="s">
        <v>503</v>
      </c>
      <c r="C56" s="5" t="s">
        <v>504</v>
      </c>
      <c r="D56" s="5" t="s">
        <v>612</v>
      </c>
      <c r="E56" s="5" t="s">
        <v>913</v>
      </c>
    </row>
    <row r="57" spans="1:8" ht="15.75" customHeight="1" x14ac:dyDescent="0.2">
      <c r="A57" s="5" t="s">
        <v>485</v>
      </c>
      <c r="B57" s="5" t="s">
        <v>511</v>
      </c>
      <c r="C57" s="5" t="s">
        <v>512</v>
      </c>
      <c r="D57" s="5" t="s">
        <v>913</v>
      </c>
    </row>
    <row r="58" spans="1:8" ht="15.75" customHeight="1" x14ac:dyDescent="0.2">
      <c r="A58" s="5" t="s">
        <v>485</v>
      </c>
      <c r="B58" s="5" t="s">
        <v>519</v>
      </c>
      <c r="C58" s="5" t="s">
        <v>520</v>
      </c>
      <c r="D58" s="5" t="s">
        <v>913</v>
      </c>
    </row>
    <row r="59" spans="1:8" ht="15.75" customHeight="1" x14ac:dyDescent="0.2">
      <c r="A59" s="5" t="s">
        <v>485</v>
      </c>
      <c r="B59" s="5" t="s">
        <v>519</v>
      </c>
      <c r="C59" s="5" t="s">
        <v>520</v>
      </c>
      <c r="D59" s="5" t="s">
        <v>913</v>
      </c>
    </row>
    <row r="60" spans="1:8" ht="15.75" customHeight="1" x14ac:dyDescent="0.2">
      <c r="A60" s="5" t="s">
        <v>485</v>
      </c>
      <c r="B60" s="5" t="s">
        <v>527</v>
      </c>
      <c r="C60" s="5" t="s">
        <v>528</v>
      </c>
      <c r="D60" s="5" t="s">
        <v>913</v>
      </c>
    </row>
    <row r="61" spans="1:8" ht="15.75" customHeight="1" x14ac:dyDescent="0.2">
      <c r="A61" s="5" t="s">
        <v>485</v>
      </c>
      <c r="B61" s="5" t="s">
        <v>537</v>
      </c>
      <c r="C61" s="5" t="s">
        <v>538</v>
      </c>
      <c r="D61" s="5" t="s">
        <v>913</v>
      </c>
    </row>
    <row r="62" spans="1:8" ht="15.75" customHeight="1" x14ac:dyDescent="0.2">
      <c r="A62" s="5" t="s">
        <v>485</v>
      </c>
      <c r="B62" s="5" t="s">
        <v>546</v>
      </c>
      <c r="C62" s="5" t="s">
        <v>547</v>
      </c>
      <c r="D62" s="5" t="s">
        <v>913</v>
      </c>
    </row>
    <row r="63" spans="1:8" ht="15.75" customHeight="1" x14ac:dyDescent="0.2">
      <c r="A63" t="s">
        <v>70</v>
      </c>
      <c r="B63" t="s">
        <v>555</v>
      </c>
      <c r="C63" t="s">
        <v>556</v>
      </c>
      <c r="D63" t="s">
        <v>913</v>
      </c>
    </row>
    <row r="64" spans="1:8" ht="15.75" customHeight="1" x14ac:dyDescent="0.2">
      <c r="A64" t="s">
        <v>276</v>
      </c>
      <c r="B64" t="s">
        <v>562</v>
      </c>
      <c r="C64" t="s">
        <v>563</v>
      </c>
      <c r="D64" t="s">
        <v>612</v>
      </c>
      <c r="E64" t="s">
        <v>612</v>
      </c>
      <c r="F64" t="s">
        <v>1211</v>
      </c>
      <c r="G64" t="s">
        <v>1212</v>
      </c>
      <c r="H64" t="s">
        <v>612</v>
      </c>
    </row>
    <row r="65" spans="1:8" ht="15.75" customHeight="1" x14ac:dyDescent="0.2">
      <c r="A65" t="s">
        <v>276</v>
      </c>
      <c r="B65" t="s">
        <v>568</v>
      </c>
      <c r="C65" t="s">
        <v>569</v>
      </c>
      <c r="D65" t="s">
        <v>913</v>
      </c>
    </row>
    <row r="66" spans="1:8" ht="15.75" customHeight="1" x14ac:dyDescent="0.2">
      <c r="A66" t="s">
        <v>276</v>
      </c>
      <c r="B66" t="s">
        <v>574</v>
      </c>
      <c r="C66" t="s">
        <v>575</v>
      </c>
      <c r="D66" t="s">
        <v>612</v>
      </c>
      <c r="E66" t="s">
        <v>612</v>
      </c>
      <c r="F66" t="s">
        <v>1213</v>
      </c>
      <c r="G66" t="s">
        <v>1214</v>
      </c>
      <c r="H66" t="s">
        <v>612</v>
      </c>
    </row>
    <row r="67" spans="1:8" ht="15.75" customHeight="1" x14ac:dyDescent="0.2"/>
    <row r="68" spans="1:8" ht="15.75" customHeight="1" x14ac:dyDescent="0.2"/>
    <row r="69" spans="1:8" ht="15.75" customHeight="1" x14ac:dyDescent="0.2"/>
    <row r="70" spans="1:8" ht="15.75" customHeight="1" x14ac:dyDescent="0.2"/>
    <row r="71" spans="1:8" ht="15.75" customHeight="1" x14ac:dyDescent="0.2"/>
    <row r="72" spans="1:8" ht="15.75" customHeight="1" x14ac:dyDescent="0.2"/>
    <row r="73" spans="1:8" ht="15.75" customHeight="1" x14ac:dyDescent="0.2"/>
    <row r="74" spans="1:8" ht="15.75" customHeight="1" x14ac:dyDescent="0.2"/>
    <row r="75" spans="1:8" ht="15.75" customHeight="1" x14ac:dyDescent="0.2"/>
    <row r="76" spans="1:8" ht="15.75" customHeight="1" x14ac:dyDescent="0.2"/>
    <row r="77" spans="1:8" ht="15.75" customHeight="1" x14ac:dyDescent="0.2"/>
    <row r="78" spans="1:8" ht="15.75" customHeight="1" x14ac:dyDescent="0.2"/>
    <row r="79" spans="1:8" ht="15.75" customHeight="1" x14ac:dyDescent="0.2"/>
    <row r="80" spans="1: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workbookViewId="0"/>
  </sheetViews>
  <sheetFormatPr baseColWidth="10" defaultColWidth="14.5" defaultRowHeight="15" customHeight="1" x14ac:dyDescent="0.2"/>
  <cols>
    <col min="1" max="26" width="8.6640625" customWidth="1"/>
  </cols>
  <sheetData>
    <row r="1" spans="1:10" x14ac:dyDescent="0.2">
      <c r="A1" s="1" t="s">
        <v>0</v>
      </c>
      <c r="B1" s="1" t="s">
        <v>1</v>
      </c>
      <c r="C1" s="1" t="s">
        <v>2</v>
      </c>
      <c r="D1" s="1" t="s">
        <v>1215</v>
      </c>
      <c r="E1" s="1" t="s">
        <v>1216</v>
      </c>
      <c r="F1" s="1" t="s">
        <v>1217</v>
      </c>
      <c r="G1" s="1" t="s">
        <v>1186</v>
      </c>
      <c r="H1" s="1" t="s">
        <v>1187</v>
      </c>
      <c r="I1" s="1" t="s">
        <v>1218</v>
      </c>
      <c r="J1" s="1" t="s">
        <v>16</v>
      </c>
    </row>
    <row r="2" spans="1:10" x14ac:dyDescent="0.2">
      <c r="A2" s="5" t="s">
        <v>26</v>
      </c>
      <c r="B2" s="5" t="s">
        <v>27</v>
      </c>
      <c r="C2" s="5" t="s">
        <v>28</v>
      </c>
      <c r="D2" s="5" t="s">
        <v>612</v>
      </c>
      <c r="E2" s="5" t="s">
        <v>612</v>
      </c>
      <c r="F2" s="5" t="s">
        <v>1219</v>
      </c>
      <c r="G2" s="5" t="s">
        <v>884</v>
      </c>
      <c r="H2" s="5" t="s">
        <v>612</v>
      </c>
      <c r="I2" s="5" t="s">
        <v>612</v>
      </c>
    </row>
    <row r="3" spans="1:10" x14ac:dyDescent="0.2">
      <c r="A3" s="5" t="s">
        <v>26</v>
      </c>
      <c r="B3" s="5" t="s">
        <v>27</v>
      </c>
      <c r="C3" s="5" t="s">
        <v>28</v>
      </c>
      <c r="D3" s="5" t="s">
        <v>612</v>
      </c>
      <c r="E3" s="5" t="s">
        <v>612</v>
      </c>
      <c r="F3" s="5" t="s">
        <v>659</v>
      </c>
      <c r="G3" s="5" t="s">
        <v>1220</v>
      </c>
      <c r="H3" s="5" t="s">
        <v>612</v>
      </c>
      <c r="I3" s="5" t="s">
        <v>612</v>
      </c>
    </row>
    <row r="4" spans="1:10" x14ac:dyDescent="0.2">
      <c r="A4" s="5" t="s">
        <v>26</v>
      </c>
      <c r="B4" s="5" t="s">
        <v>27</v>
      </c>
      <c r="C4" s="5" t="s">
        <v>28</v>
      </c>
      <c r="D4" s="5" t="s">
        <v>612</v>
      </c>
      <c r="E4" s="5" t="s">
        <v>612</v>
      </c>
      <c r="F4" s="5" t="s">
        <v>1219</v>
      </c>
      <c r="G4" s="5" t="s">
        <v>1221</v>
      </c>
      <c r="H4" s="5" t="s">
        <v>612</v>
      </c>
      <c r="I4" s="5" t="s">
        <v>612</v>
      </c>
    </row>
    <row r="5" spans="1:10" x14ac:dyDescent="0.2">
      <c r="A5" s="5" t="s">
        <v>26</v>
      </c>
      <c r="B5" s="5" t="s">
        <v>40</v>
      </c>
      <c r="C5" s="5" t="s">
        <v>41</v>
      </c>
      <c r="D5" s="5" t="s">
        <v>612</v>
      </c>
      <c r="E5" s="5" t="s">
        <v>612</v>
      </c>
      <c r="F5" s="5" t="s">
        <v>1222</v>
      </c>
      <c r="G5" s="5" t="s">
        <v>1223</v>
      </c>
      <c r="H5" s="5" t="s">
        <v>612</v>
      </c>
      <c r="I5" s="5" t="s">
        <v>612</v>
      </c>
    </row>
    <row r="6" spans="1:10" x14ac:dyDescent="0.2">
      <c r="A6" s="5" t="s">
        <v>26</v>
      </c>
      <c r="B6" s="5" t="s">
        <v>40</v>
      </c>
      <c r="C6" s="5" t="s">
        <v>41</v>
      </c>
      <c r="D6" s="5" t="s">
        <v>612</v>
      </c>
      <c r="E6" s="5" t="s">
        <v>612</v>
      </c>
      <c r="F6" s="5" t="s">
        <v>1222</v>
      </c>
      <c r="G6" s="5" t="s">
        <v>1224</v>
      </c>
      <c r="H6" s="5" t="s">
        <v>612</v>
      </c>
      <c r="I6" s="5" t="s">
        <v>612</v>
      </c>
      <c r="J6" s="5" t="s">
        <v>1225</v>
      </c>
    </row>
    <row r="7" spans="1:10" x14ac:dyDescent="0.2">
      <c r="A7" s="5" t="s">
        <v>26</v>
      </c>
      <c r="B7" s="5" t="s">
        <v>40</v>
      </c>
      <c r="C7" s="5" t="s">
        <v>41</v>
      </c>
      <c r="D7" s="5" t="s">
        <v>612</v>
      </c>
      <c r="E7" s="5" t="s">
        <v>612</v>
      </c>
      <c r="F7" s="5" t="s">
        <v>1222</v>
      </c>
      <c r="G7" s="5" t="s">
        <v>1223</v>
      </c>
      <c r="H7" s="5" t="s">
        <v>612</v>
      </c>
      <c r="I7" s="5" t="s">
        <v>612</v>
      </c>
    </row>
    <row r="8" spans="1:10" x14ac:dyDescent="0.2">
      <c r="A8" s="5" t="s">
        <v>26</v>
      </c>
      <c r="B8" s="5" t="s">
        <v>40</v>
      </c>
      <c r="C8" s="5" t="s">
        <v>41</v>
      </c>
      <c r="D8" s="5" t="s">
        <v>612</v>
      </c>
      <c r="E8" s="5" t="s">
        <v>612</v>
      </c>
      <c r="F8" s="5" t="s">
        <v>1222</v>
      </c>
      <c r="G8" s="5" t="s">
        <v>1224</v>
      </c>
      <c r="H8" s="5" t="s">
        <v>612</v>
      </c>
      <c r="I8" s="5" t="s">
        <v>612</v>
      </c>
      <c r="J8" s="5" t="s">
        <v>1225</v>
      </c>
    </row>
    <row r="9" spans="1:10" x14ac:dyDescent="0.2">
      <c r="A9" s="5" t="s">
        <v>26</v>
      </c>
      <c r="B9" s="5" t="s">
        <v>50</v>
      </c>
      <c r="C9" s="5" t="s">
        <v>51</v>
      </c>
      <c r="D9" s="5" t="s">
        <v>612</v>
      </c>
      <c r="E9" s="5" t="s">
        <v>612</v>
      </c>
      <c r="F9" s="5" t="s">
        <v>1226</v>
      </c>
      <c r="G9" s="5" t="s">
        <v>1227</v>
      </c>
      <c r="H9" s="5" t="s">
        <v>612</v>
      </c>
      <c r="I9" s="5" t="s">
        <v>612</v>
      </c>
    </row>
    <row r="10" spans="1:10" x14ac:dyDescent="0.2">
      <c r="A10" s="5" t="s">
        <v>26</v>
      </c>
      <c r="B10" s="5" t="s">
        <v>50</v>
      </c>
      <c r="C10" s="5" t="s">
        <v>51</v>
      </c>
      <c r="D10" s="5" t="s">
        <v>612</v>
      </c>
      <c r="E10" s="5" t="s">
        <v>612</v>
      </c>
      <c r="F10" s="5" t="s">
        <v>1226</v>
      </c>
      <c r="G10" s="5" t="s">
        <v>1228</v>
      </c>
      <c r="H10" s="5" t="s">
        <v>612</v>
      </c>
      <c r="I10" s="5" t="s">
        <v>612</v>
      </c>
    </row>
    <row r="11" spans="1:10" x14ac:dyDescent="0.2">
      <c r="A11" s="5" t="s">
        <v>26</v>
      </c>
      <c r="B11" s="5" t="s">
        <v>61</v>
      </c>
      <c r="C11" s="5" t="s">
        <v>62</v>
      </c>
      <c r="D11" s="5" t="s">
        <v>612</v>
      </c>
      <c r="E11" s="5" t="s">
        <v>612</v>
      </c>
      <c r="F11" s="5" t="s">
        <v>1229</v>
      </c>
      <c r="G11" s="5" t="s">
        <v>884</v>
      </c>
      <c r="H11" s="5" t="s">
        <v>612</v>
      </c>
      <c r="I11" s="5" t="s">
        <v>612</v>
      </c>
    </row>
    <row r="12" spans="1:10" x14ac:dyDescent="0.2">
      <c r="A12" s="5" t="s">
        <v>26</v>
      </c>
      <c r="B12" s="5" t="s">
        <v>61</v>
      </c>
      <c r="C12" s="5" t="s">
        <v>62</v>
      </c>
      <c r="D12" s="5" t="s">
        <v>612</v>
      </c>
      <c r="E12" s="5" t="s">
        <v>612</v>
      </c>
      <c r="F12" s="5" t="s">
        <v>1229</v>
      </c>
      <c r="G12" s="5" t="s">
        <v>1221</v>
      </c>
      <c r="H12" s="5" t="s">
        <v>612</v>
      </c>
      <c r="I12" s="5" t="s">
        <v>612</v>
      </c>
    </row>
    <row r="13" spans="1:10" x14ac:dyDescent="0.2">
      <c r="A13" s="5" t="s">
        <v>70</v>
      </c>
      <c r="B13" s="5" t="s">
        <v>71</v>
      </c>
      <c r="C13" s="5" t="s">
        <v>72</v>
      </c>
      <c r="D13" s="5" t="s">
        <v>612</v>
      </c>
      <c r="E13" s="5" t="s">
        <v>612</v>
      </c>
      <c r="F13" s="5" t="s">
        <v>1230</v>
      </c>
      <c r="G13" s="5" t="s">
        <v>1231</v>
      </c>
      <c r="H13" s="5" t="s">
        <v>612</v>
      </c>
      <c r="I13" s="5" t="s">
        <v>612</v>
      </c>
    </row>
    <row r="14" spans="1:10" x14ac:dyDescent="0.2">
      <c r="A14" s="5" t="s">
        <v>70</v>
      </c>
      <c r="B14" s="5" t="s">
        <v>71</v>
      </c>
      <c r="C14" s="5" t="s">
        <v>72</v>
      </c>
      <c r="D14" s="5" t="s">
        <v>612</v>
      </c>
      <c r="E14" s="5" t="s">
        <v>612</v>
      </c>
      <c r="F14" s="5" t="s">
        <v>1230</v>
      </c>
      <c r="G14" s="5" t="s">
        <v>1232</v>
      </c>
      <c r="H14" s="5" t="s">
        <v>612</v>
      </c>
      <c r="I14" s="5" t="s">
        <v>612</v>
      </c>
      <c r="J14" s="5" t="s">
        <v>1233</v>
      </c>
    </row>
    <row r="15" spans="1:10" x14ac:dyDescent="0.2">
      <c r="A15" s="5" t="s">
        <v>70</v>
      </c>
      <c r="B15" s="5" t="s">
        <v>82</v>
      </c>
      <c r="C15" s="5" t="s">
        <v>83</v>
      </c>
      <c r="D15" s="5" t="s">
        <v>612</v>
      </c>
      <c r="E15" s="5" t="s">
        <v>612</v>
      </c>
      <c r="F15" s="5" t="s">
        <v>659</v>
      </c>
      <c r="G15" s="5" t="s">
        <v>1234</v>
      </c>
      <c r="H15" s="5" t="s">
        <v>612</v>
      </c>
      <c r="I15" s="5" t="s">
        <v>612</v>
      </c>
    </row>
    <row r="16" spans="1:10" x14ac:dyDescent="0.2">
      <c r="A16" s="5" t="s">
        <v>70</v>
      </c>
      <c r="B16" s="5" t="s">
        <v>93</v>
      </c>
      <c r="C16" s="5" t="s">
        <v>94</v>
      </c>
      <c r="D16" s="5" t="s">
        <v>612</v>
      </c>
      <c r="E16" s="5" t="s">
        <v>612</v>
      </c>
      <c r="F16" s="5" t="s">
        <v>1061</v>
      </c>
      <c r="G16" s="5" t="s">
        <v>1235</v>
      </c>
      <c r="H16" s="5" t="s">
        <v>612</v>
      </c>
      <c r="I16" s="5" t="s">
        <v>612</v>
      </c>
    </row>
    <row r="17" spans="1:10" x14ac:dyDescent="0.2">
      <c r="A17" s="5" t="s">
        <v>70</v>
      </c>
      <c r="B17" s="5" t="s">
        <v>93</v>
      </c>
      <c r="C17" s="5" t="s">
        <v>94</v>
      </c>
      <c r="D17" s="5" t="s">
        <v>612</v>
      </c>
      <c r="E17" s="5" t="s">
        <v>612</v>
      </c>
      <c r="F17" s="5" t="s">
        <v>1061</v>
      </c>
      <c r="G17" s="5" t="s">
        <v>1236</v>
      </c>
      <c r="H17" s="5" t="s">
        <v>612</v>
      </c>
      <c r="I17" s="5" t="s">
        <v>612</v>
      </c>
    </row>
    <row r="18" spans="1:10" x14ac:dyDescent="0.2">
      <c r="A18" s="5" t="s">
        <v>70</v>
      </c>
      <c r="B18" s="5" t="s">
        <v>93</v>
      </c>
      <c r="C18" s="5" t="s">
        <v>94</v>
      </c>
      <c r="D18" s="5" t="s">
        <v>612</v>
      </c>
      <c r="E18" s="5" t="s">
        <v>612</v>
      </c>
      <c r="F18" s="5" t="s">
        <v>1237</v>
      </c>
      <c r="G18" s="5" t="s">
        <v>1238</v>
      </c>
      <c r="H18" s="5" t="s">
        <v>612</v>
      </c>
      <c r="I18" s="5" t="s">
        <v>612</v>
      </c>
      <c r="J18" s="5" t="s">
        <v>1239</v>
      </c>
    </row>
    <row r="19" spans="1:10" x14ac:dyDescent="0.2">
      <c r="A19" s="5" t="s">
        <v>70</v>
      </c>
      <c r="B19" s="5" t="s">
        <v>102</v>
      </c>
      <c r="C19" s="5" t="s">
        <v>103</v>
      </c>
      <c r="D19" s="5" t="s">
        <v>612</v>
      </c>
      <c r="E19" s="5" t="s">
        <v>612</v>
      </c>
      <c r="F19" s="5" t="s">
        <v>1240</v>
      </c>
      <c r="G19" s="5" t="s">
        <v>1241</v>
      </c>
      <c r="H19" s="5" t="s">
        <v>913</v>
      </c>
    </row>
    <row r="20" spans="1:10" x14ac:dyDescent="0.2">
      <c r="A20" s="5" t="s">
        <v>70</v>
      </c>
      <c r="B20" s="5" t="s">
        <v>102</v>
      </c>
      <c r="C20" s="5" t="s">
        <v>103</v>
      </c>
      <c r="D20" s="5" t="s">
        <v>612</v>
      </c>
      <c r="E20" s="5" t="s">
        <v>612</v>
      </c>
      <c r="F20" s="5" t="s">
        <v>1242</v>
      </c>
      <c r="G20" s="5" t="s">
        <v>1243</v>
      </c>
      <c r="H20" s="5" t="s">
        <v>612</v>
      </c>
      <c r="I20" s="5" t="s">
        <v>612</v>
      </c>
    </row>
    <row r="21" spans="1:10" ht="15.75" customHeight="1" x14ac:dyDescent="0.2">
      <c r="A21" s="5" t="s">
        <v>70</v>
      </c>
      <c r="B21" s="5" t="s">
        <v>102</v>
      </c>
      <c r="C21" s="5" t="s">
        <v>103</v>
      </c>
      <c r="D21" s="5" t="s">
        <v>612</v>
      </c>
      <c r="E21" s="5" t="s">
        <v>612</v>
      </c>
      <c r="F21" s="5" t="s">
        <v>1242</v>
      </c>
      <c r="G21" s="5" t="s">
        <v>1244</v>
      </c>
      <c r="H21" s="5" t="s">
        <v>612</v>
      </c>
      <c r="I21" s="5" t="s">
        <v>612</v>
      </c>
    </row>
    <row r="22" spans="1:10" ht="15.75" customHeight="1" x14ac:dyDescent="0.2">
      <c r="A22" s="5" t="s">
        <v>70</v>
      </c>
      <c r="B22" s="5" t="s">
        <v>112</v>
      </c>
      <c r="C22" s="5" t="s">
        <v>113</v>
      </c>
      <c r="D22" s="5" t="s">
        <v>612</v>
      </c>
      <c r="E22" s="5" t="s">
        <v>612</v>
      </c>
      <c r="F22" s="5" t="s">
        <v>659</v>
      </c>
      <c r="G22" s="5" t="s">
        <v>884</v>
      </c>
      <c r="H22" s="5" t="s">
        <v>612</v>
      </c>
      <c r="I22" s="5" t="s">
        <v>612</v>
      </c>
      <c r="J22" s="5" t="s">
        <v>1245</v>
      </c>
    </row>
    <row r="23" spans="1:10" ht="15.75" customHeight="1" x14ac:dyDescent="0.2">
      <c r="A23" s="5" t="s">
        <v>70</v>
      </c>
      <c r="B23" s="5" t="s">
        <v>112</v>
      </c>
      <c r="C23" s="5" t="s">
        <v>113</v>
      </c>
      <c r="D23" s="5" t="s">
        <v>612</v>
      </c>
      <c r="E23" s="5" t="s">
        <v>612</v>
      </c>
      <c r="F23" s="5" t="s">
        <v>659</v>
      </c>
      <c r="G23" s="5" t="s">
        <v>1221</v>
      </c>
      <c r="H23" s="5" t="s">
        <v>612</v>
      </c>
      <c r="I23" s="5" t="s">
        <v>612</v>
      </c>
      <c r="J23" s="5" t="s">
        <v>1246</v>
      </c>
    </row>
    <row r="24" spans="1:10" ht="15.75" customHeight="1" x14ac:dyDescent="0.2">
      <c r="A24" s="5" t="s">
        <v>70</v>
      </c>
      <c r="B24" s="5" t="s">
        <v>123</v>
      </c>
      <c r="C24" s="5" t="s">
        <v>124</v>
      </c>
      <c r="D24" s="5" t="s">
        <v>612</v>
      </c>
      <c r="E24" s="5" t="s">
        <v>612</v>
      </c>
      <c r="F24" s="5" t="s">
        <v>1247</v>
      </c>
      <c r="G24" s="5" t="s">
        <v>1248</v>
      </c>
      <c r="H24" s="5" t="s">
        <v>913</v>
      </c>
    </row>
    <row r="25" spans="1:10" ht="15.75" customHeight="1" x14ac:dyDescent="0.2">
      <c r="A25" s="5" t="s">
        <v>70</v>
      </c>
      <c r="B25" s="5" t="s">
        <v>134</v>
      </c>
      <c r="C25" s="5" t="s">
        <v>135</v>
      </c>
      <c r="D25" s="5" t="s">
        <v>612</v>
      </c>
      <c r="E25" s="5" t="s">
        <v>612</v>
      </c>
      <c r="F25" s="5" t="s">
        <v>1249</v>
      </c>
      <c r="G25" s="5" t="s">
        <v>1244</v>
      </c>
      <c r="H25" s="5" t="s">
        <v>612</v>
      </c>
      <c r="I25" s="5" t="s">
        <v>612</v>
      </c>
    </row>
    <row r="26" spans="1:10" ht="15.75" customHeight="1" x14ac:dyDescent="0.2">
      <c r="A26" s="5" t="s">
        <v>70</v>
      </c>
      <c r="B26" s="5" t="s">
        <v>134</v>
      </c>
      <c r="C26" s="5" t="s">
        <v>135</v>
      </c>
      <c r="D26" s="5" t="s">
        <v>612</v>
      </c>
      <c r="E26" s="5" t="s">
        <v>612</v>
      </c>
      <c r="F26" s="5" t="s">
        <v>1249</v>
      </c>
      <c r="G26" s="5" t="s">
        <v>1243</v>
      </c>
      <c r="H26" s="5" t="s">
        <v>612</v>
      </c>
      <c r="I26" s="5" t="s">
        <v>612</v>
      </c>
    </row>
    <row r="27" spans="1:10" ht="15.75" customHeight="1" x14ac:dyDescent="0.2">
      <c r="A27" s="5" t="s">
        <v>70</v>
      </c>
      <c r="B27" s="5" t="s">
        <v>144</v>
      </c>
      <c r="C27" s="5" t="s">
        <v>145</v>
      </c>
      <c r="D27" s="5" t="s">
        <v>612</v>
      </c>
      <c r="E27" s="5" t="s">
        <v>612</v>
      </c>
      <c r="F27" s="5" t="s">
        <v>1250</v>
      </c>
      <c r="G27" s="5" t="s">
        <v>884</v>
      </c>
      <c r="H27" s="5" t="s">
        <v>612</v>
      </c>
      <c r="I27" s="5" t="s">
        <v>612</v>
      </c>
    </row>
    <row r="28" spans="1:10" ht="15.75" customHeight="1" x14ac:dyDescent="0.2">
      <c r="A28" s="5" t="s">
        <v>70</v>
      </c>
      <c r="B28" s="5" t="s">
        <v>144</v>
      </c>
      <c r="C28" s="5" t="s">
        <v>145</v>
      </c>
      <c r="D28" s="5" t="s">
        <v>612</v>
      </c>
      <c r="E28" s="5" t="s">
        <v>612</v>
      </c>
      <c r="F28" s="5" t="s">
        <v>1230</v>
      </c>
      <c r="G28" s="5" t="s">
        <v>1221</v>
      </c>
      <c r="H28" s="5" t="s">
        <v>612</v>
      </c>
      <c r="I28" s="5" t="s">
        <v>612</v>
      </c>
    </row>
    <row r="29" spans="1:10" ht="15.75" customHeight="1" x14ac:dyDescent="0.2">
      <c r="A29" s="5" t="s">
        <v>70</v>
      </c>
      <c r="B29" s="5" t="s">
        <v>154</v>
      </c>
      <c r="C29" s="5" t="s">
        <v>155</v>
      </c>
      <c r="D29" s="5" t="s">
        <v>612</v>
      </c>
      <c r="E29" s="5" t="s">
        <v>612</v>
      </c>
      <c r="F29" s="5" t="s">
        <v>1251</v>
      </c>
      <c r="G29" s="5" t="s">
        <v>1252</v>
      </c>
      <c r="H29" s="5" t="s">
        <v>612</v>
      </c>
      <c r="I29" s="5" t="s">
        <v>612</v>
      </c>
    </row>
    <row r="30" spans="1:10" ht="15.75" customHeight="1" x14ac:dyDescent="0.2">
      <c r="A30" s="5" t="s">
        <v>70</v>
      </c>
      <c r="B30" s="5" t="s">
        <v>154</v>
      </c>
      <c r="C30" s="5" t="s">
        <v>155</v>
      </c>
      <c r="D30" s="5" t="s">
        <v>612</v>
      </c>
      <c r="E30" s="5" t="s">
        <v>612</v>
      </c>
      <c r="F30" s="5" t="s">
        <v>1253</v>
      </c>
      <c r="G30" s="5" t="s">
        <v>1254</v>
      </c>
      <c r="H30" s="5" t="s">
        <v>612</v>
      </c>
      <c r="I30" s="5" t="s">
        <v>612</v>
      </c>
      <c r="J30" s="5" t="s">
        <v>1255</v>
      </c>
    </row>
    <row r="31" spans="1:10" ht="15.75" customHeight="1" x14ac:dyDescent="0.2">
      <c r="A31" s="5" t="s">
        <v>70</v>
      </c>
      <c r="B31" s="5" t="s">
        <v>165</v>
      </c>
      <c r="C31" s="5" t="s">
        <v>166</v>
      </c>
      <c r="D31" s="5" t="s">
        <v>612</v>
      </c>
      <c r="E31" s="5" t="s">
        <v>612</v>
      </c>
      <c r="F31" s="5" t="s">
        <v>1256</v>
      </c>
      <c r="G31" s="5" t="s">
        <v>1228</v>
      </c>
      <c r="H31" s="5" t="s">
        <v>612</v>
      </c>
      <c r="I31" s="5" t="s">
        <v>612</v>
      </c>
    </row>
    <row r="32" spans="1:10" ht="15.75" customHeight="1" x14ac:dyDescent="0.2">
      <c r="A32" s="5" t="s">
        <v>70</v>
      </c>
      <c r="B32" s="5" t="s">
        <v>165</v>
      </c>
      <c r="C32" s="5" t="s">
        <v>166</v>
      </c>
      <c r="D32" s="5" t="s">
        <v>612</v>
      </c>
      <c r="E32" s="5" t="s">
        <v>612</v>
      </c>
      <c r="F32" s="5" t="s">
        <v>1256</v>
      </c>
      <c r="G32" s="5" t="s">
        <v>884</v>
      </c>
      <c r="H32" s="5" t="s">
        <v>612</v>
      </c>
      <c r="I32" s="5" t="s">
        <v>612</v>
      </c>
    </row>
    <row r="33" spans="1:10" ht="15.75" customHeight="1" x14ac:dyDescent="0.2">
      <c r="A33" s="5" t="s">
        <v>70</v>
      </c>
      <c r="B33" s="5" t="s">
        <v>176</v>
      </c>
      <c r="C33" s="5" t="s">
        <v>177</v>
      </c>
      <c r="D33" s="5" t="s">
        <v>612</v>
      </c>
      <c r="E33" s="5" t="s">
        <v>612</v>
      </c>
      <c r="F33" s="5" t="s">
        <v>1257</v>
      </c>
      <c r="G33" s="5" t="s">
        <v>1221</v>
      </c>
      <c r="H33" s="5" t="s">
        <v>612</v>
      </c>
      <c r="I33" s="5" t="s">
        <v>612</v>
      </c>
    </row>
    <row r="34" spans="1:10" ht="15.75" customHeight="1" x14ac:dyDescent="0.2">
      <c r="A34" s="5" t="s">
        <v>70</v>
      </c>
      <c r="B34" s="5" t="s">
        <v>176</v>
      </c>
      <c r="C34" s="5" t="s">
        <v>177</v>
      </c>
      <c r="D34" s="5" t="s">
        <v>612</v>
      </c>
      <c r="E34" s="5" t="s">
        <v>612</v>
      </c>
      <c r="F34" s="5" t="s">
        <v>1257</v>
      </c>
      <c r="G34" s="5" t="s">
        <v>884</v>
      </c>
      <c r="H34" s="5" t="s">
        <v>612</v>
      </c>
      <c r="I34" s="5" t="s">
        <v>612</v>
      </c>
    </row>
    <row r="35" spans="1:10" ht="15.75" customHeight="1" x14ac:dyDescent="0.2">
      <c r="A35" s="5" t="s">
        <v>70</v>
      </c>
      <c r="B35" s="5" t="s">
        <v>184</v>
      </c>
      <c r="C35" s="5" t="s">
        <v>185</v>
      </c>
      <c r="D35" s="5" t="s">
        <v>612</v>
      </c>
      <c r="E35" s="5" t="s">
        <v>612</v>
      </c>
      <c r="F35" s="5" t="s">
        <v>1258</v>
      </c>
      <c r="G35" s="5" t="s">
        <v>1259</v>
      </c>
      <c r="H35" s="5" t="s">
        <v>612</v>
      </c>
      <c r="I35" s="5" t="s">
        <v>612</v>
      </c>
    </row>
    <row r="36" spans="1:10" ht="15.75" customHeight="1" x14ac:dyDescent="0.2">
      <c r="A36" s="5" t="s">
        <v>70</v>
      </c>
      <c r="B36" s="5" t="s">
        <v>184</v>
      </c>
      <c r="C36" s="5" t="s">
        <v>185</v>
      </c>
      <c r="D36" s="5" t="s">
        <v>612</v>
      </c>
      <c r="E36" s="5" t="s">
        <v>612</v>
      </c>
      <c r="F36" s="5" t="s">
        <v>1260</v>
      </c>
      <c r="G36" s="5" t="s">
        <v>1261</v>
      </c>
      <c r="H36" s="5" t="s">
        <v>612</v>
      </c>
      <c r="I36" s="5" t="s">
        <v>612</v>
      </c>
    </row>
    <row r="37" spans="1:10" ht="15.75" customHeight="1" x14ac:dyDescent="0.2">
      <c r="A37" s="5" t="s">
        <v>70</v>
      </c>
      <c r="B37" s="5" t="s">
        <v>193</v>
      </c>
      <c r="C37" s="5" t="s">
        <v>194</v>
      </c>
      <c r="D37" s="5" t="s">
        <v>612</v>
      </c>
      <c r="E37" s="5" t="s">
        <v>612</v>
      </c>
      <c r="F37" s="5" t="s">
        <v>1262</v>
      </c>
      <c r="G37" s="5" t="s">
        <v>1263</v>
      </c>
      <c r="H37" s="5" t="s">
        <v>612</v>
      </c>
      <c r="I37" s="5" t="s">
        <v>612</v>
      </c>
    </row>
    <row r="38" spans="1:10" ht="15.75" customHeight="1" x14ac:dyDescent="0.2">
      <c r="A38" s="5" t="s">
        <v>70</v>
      </c>
      <c r="B38" s="5" t="s">
        <v>200</v>
      </c>
      <c r="C38" s="5" t="s">
        <v>201</v>
      </c>
      <c r="D38" s="5" t="s">
        <v>612</v>
      </c>
      <c r="E38" s="5" t="s">
        <v>612</v>
      </c>
      <c r="F38" s="5" t="s">
        <v>1249</v>
      </c>
      <c r="G38" s="5" t="s">
        <v>1232</v>
      </c>
      <c r="H38" s="5" t="s">
        <v>612</v>
      </c>
      <c r="I38" s="5" t="s">
        <v>612</v>
      </c>
    </row>
    <row r="39" spans="1:10" ht="15.75" customHeight="1" x14ac:dyDescent="0.2">
      <c r="A39" s="5" t="s">
        <v>70</v>
      </c>
      <c r="B39" s="5" t="s">
        <v>200</v>
      </c>
      <c r="C39" s="5" t="s">
        <v>201</v>
      </c>
      <c r="D39" s="5" t="s">
        <v>612</v>
      </c>
      <c r="E39" s="5" t="s">
        <v>612</v>
      </c>
      <c r="F39" s="5" t="s">
        <v>1249</v>
      </c>
      <c r="G39" s="5" t="s">
        <v>1231</v>
      </c>
      <c r="H39" s="5" t="s">
        <v>612</v>
      </c>
      <c r="I39" s="5" t="s">
        <v>612</v>
      </c>
    </row>
    <row r="40" spans="1:10" ht="15.75" customHeight="1" x14ac:dyDescent="0.2">
      <c r="A40" s="5" t="s">
        <v>70</v>
      </c>
      <c r="B40" s="5" t="s">
        <v>211</v>
      </c>
      <c r="C40" s="5" t="s">
        <v>212</v>
      </c>
      <c r="D40" s="5" t="s">
        <v>612</v>
      </c>
      <c r="E40" s="5" t="s">
        <v>612</v>
      </c>
      <c r="F40" s="5" t="s">
        <v>1264</v>
      </c>
      <c r="G40" s="5" t="s">
        <v>1265</v>
      </c>
      <c r="H40" s="5" t="s">
        <v>913</v>
      </c>
    </row>
    <row r="41" spans="1:10" ht="15.75" customHeight="1" x14ac:dyDescent="0.2">
      <c r="A41" s="5" t="s">
        <v>70</v>
      </c>
      <c r="B41" s="5" t="s">
        <v>211</v>
      </c>
      <c r="C41" s="5" t="s">
        <v>212</v>
      </c>
      <c r="D41" s="5" t="s">
        <v>612</v>
      </c>
      <c r="E41" s="5" t="s">
        <v>612</v>
      </c>
      <c r="F41" s="5" t="s">
        <v>1266</v>
      </c>
      <c r="G41" s="5" t="s">
        <v>1265</v>
      </c>
      <c r="H41" s="5" t="s">
        <v>913</v>
      </c>
    </row>
    <row r="42" spans="1:10" ht="15.75" customHeight="1" x14ac:dyDescent="0.2">
      <c r="A42" s="5" t="s">
        <v>70</v>
      </c>
      <c r="B42" s="5" t="s">
        <v>221</v>
      </c>
      <c r="C42" s="5" t="s">
        <v>222</v>
      </c>
      <c r="D42" s="5" t="s">
        <v>612</v>
      </c>
      <c r="E42" s="5" t="s">
        <v>612</v>
      </c>
      <c r="F42" s="5" t="s">
        <v>659</v>
      </c>
      <c r="G42" s="5" t="s">
        <v>1234</v>
      </c>
      <c r="H42" s="5" t="s">
        <v>612</v>
      </c>
      <c r="I42" s="5" t="s">
        <v>612</v>
      </c>
    </row>
    <row r="43" spans="1:10" ht="15.75" customHeight="1" x14ac:dyDescent="0.2">
      <c r="A43" s="5" t="s">
        <v>70</v>
      </c>
      <c r="B43" s="5" t="s">
        <v>229</v>
      </c>
      <c r="C43" s="5" t="s">
        <v>230</v>
      </c>
      <c r="D43" s="5" t="s">
        <v>913</v>
      </c>
    </row>
    <row r="44" spans="1:10" ht="15.75" customHeight="1" x14ac:dyDescent="0.2">
      <c r="A44" s="5" t="s">
        <v>70</v>
      </c>
      <c r="B44" s="5" t="s">
        <v>238</v>
      </c>
      <c r="C44" s="5" t="s">
        <v>239</v>
      </c>
      <c r="D44" s="5" t="s">
        <v>612</v>
      </c>
      <c r="E44" s="5" t="s">
        <v>612</v>
      </c>
      <c r="F44" s="5" t="s">
        <v>1267</v>
      </c>
      <c r="G44" s="5" t="s">
        <v>1232</v>
      </c>
      <c r="H44" s="5" t="s">
        <v>612</v>
      </c>
      <c r="I44" s="5" t="s">
        <v>612</v>
      </c>
    </row>
    <row r="45" spans="1:10" ht="15.75" customHeight="1" x14ac:dyDescent="0.2">
      <c r="A45" s="5" t="s">
        <v>70</v>
      </c>
      <c r="B45" s="5" t="s">
        <v>238</v>
      </c>
      <c r="C45" s="5" t="s">
        <v>239</v>
      </c>
      <c r="D45" s="5" t="s">
        <v>612</v>
      </c>
      <c r="E45" s="5" t="s">
        <v>612</v>
      </c>
      <c r="F45" s="5" t="s">
        <v>1267</v>
      </c>
      <c r="G45" s="5" t="s">
        <v>1268</v>
      </c>
      <c r="H45" s="5" t="s">
        <v>612</v>
      </c>
      <c r="I45" s="5" t="s">
        <v>612</v>
      </c>
    </row>
    <row r="46" spans="1:10" ht="15.75" customHeight="1" x14ac:dyDescent="0.2">
      <c r="A46" s="5" t="s">
        <v>70</v>
      </c>
      <c r="B46" s="5" t="s">
        <v>238</v>
      </c>
      <c r="C46" s="5" t="s">
        <v>239</v>
      </c>
      <c r="D46" s="5" t="s">
        <v>612</v>
      </c>
      <c r="E46" s="5" t="s">
        <v>612</v>
      </c>
      <c r="F46" s="5" t="s">
        <v>1269</v>
      </c>
      <c r="G46" s="5" t="s">
        <v>1270</v>
      </c>
      <c r="H46" s="5" t="s">
        <v>612</v>
      </c>
      <c r="I46" s="5" t="s">
        <v>612</v>
      </c>
    </row>
    <row r="47" spans="1:10" ht="15.75" customHeight="1" x14ac:dyDescent="0.2">
      <c r="A47" s="5" t="s">
        <v>70</v>
      </c>
      <c r="B47" s="5" t="s">
        <v>247</v>
      </c>
      <c r="C47" s="5" t="s">
        <v>248</v>
      </c>
      <c r="D47" s="5" t="s">
        <v>612</v>
      </c>
      <c r="E47" s="5" t="s">
        <v>612</v>
      </c>
      <c r="F47" s="5" t="s">
        <v>1257</v>
      </c>
      <c r="G47" s="5" t="s">
        <v>1227</v>
      </c>
      <c r="H47" s="5" t="s">
        <v>612</v>
      </c>
      <c r="I47" s="5" t="s">
        <v>612</v>
      </c>
      <c r="J47" s="5" t="s">
        <v>1271</v>
      </c>
    </row>
    <row r="48" spans="1:10" ht="15.75" customHeight="1" x14ac:dyDescent="0.2">
      <c r="A48" s="5" t="s">
        <v>70</v>
      </c>
      <c r="B48" s="5" t="s">
        <v>247</v>
      </c>
      <c r="C48" s="5" t="s">
        <v>248</v>
      </c>
      <c r="D48" s="5" t="s">
        <v>612</v>
      </c>
      <c r="E48" s="5" t="s">
        <v>612</v>
      </c>
      <c r="F48" s="5" t="s">
        <v>1257</v>
      </c>
      <c r="G48" s="5" t="s">
        <v>884</v>
      </c>
      <c r="H48" s="5" t="s">
        <v>612</v>
      </c>
      <c r="I48" s="5" t="s">
        <v>612</v>
      </c>
    </row>
    <row r="49" spans="1:10" ht="15.75" customHeight="1" x14ac:dyDescent="0.2">
      <c r="A49" s="5" t="s">
        <v>70</v>
      </c>
      <c r="B49" s="5" t="s">
        <v>247</v>
      </c>
      <c r="C49" s="5" t="s">
        <v>248</v>
      </c>
      <c r="D49" s="5" t="s">
        <v>612</v>
      </c>
      <c r="E49" s="5" t="s">
        <v>612</v>
      </c>
      <c r="F49" s="5" t="s">
        <v>1257</v>
      </c>
      <c r="G49" s="5" t="s">
        <v>1221</v>
      </c>
      <c r="H49" s="5" t="s">
        <v>612</v>
      </c>
      <c r="I49" s="5" t="s">
        <v>612</v>
      </c>
    </row>
    <row r="50" spans="1:10" ht="15.75" customHeight="1" x14ac:dyDescent="0.2">
      <c r="A50" s="5" t="s">
        <v>70</v>
      </c>
      <c r="B50" s="5" t="s">
        <v>257</v>
      </c>
      <c r="C50" s="5" t="s">
        <v>258</v>
      </c>
      <c r="D50" s="5" t="s">
        <v>612</v>
      </c>
      <c r="E50" s="5" t="s">
        <v>612</v>
      </c>
      <c r="F50" s="5" t="s">
        <v>1272</v>
      </c>
      <c r="G50" s="5" t="s">
        <v>884</v>
      </c>
      <c r="H50" s="5" t="s">
        <v>612</v>
      </c>
      <c r="I50" s="5" t="s">
        <v>612</v>
      </c>
      <c r="J50" s="5" t="s">
        <v>1273</v>
      </c>
    </row>
    <row r="51" spans="1:10" ht="15.75" customHeight="1" x14ac:dyDescent="0.2">
      <c r="A51" s="5" t="s">
        <v>70</v>
      </c>
      <c r="B51" s="5" t="s">
        <v>257</v>
      </c>
      <c r="C51" s="5" t="s">
        <v>258</v>
      </c>
      <c r="D51" s="5" t="s">
        <v>612</v>
      </c>
      <c r="E51" s="5" t="s">
        <v>612</v>
      </c>
      <c r="F51" s="5" t="s">
        <v>1272</v>
      </c>
      <c r="G51" s="5" t="s">
        <v>1221</v>
      </c>
      <c r="H51" s="5" t="s">
        <v>612</v>
      </c>
      <c r="I51" s="5" t="s">
        <v>612</v>
      </c>
    </row>
    <row r="52" spans="1:10" ht="15.75" customHeight="1" x14ac:dyDescent="0.2">
      <c r="A52" s="5" t="s">
        <v>70</v>
      </c>
      <c r="B52" s="5" t="s">
        <v>268</v>
      </c>
      <c r="C52" s="5" t="s">
        <v>269</v>
      </c>
      <c r="D52" s="5" t="s">
        <v>612</v>
      </c>
      <c r="E52" s="5" t="s">
        <v>612</v>
      </c>
      <c r="F52" s="5" t="s">
        <v>1274</v>
      </c>
      <c r="G52" s="5" t="s">
        <v>1275</v>
      </c>
      <c r="H52" s="5" t="s">
        <v>612</v>
      </c>
      <c r="I52" s="5" t="s">
        <v>612</v>
      </c>
    </row>
    <row r="53" spans="1:10" ht="15.75" customHeight="1" x14ac:dyDescent="0.2">
      <c r="A53" s="5" t="s">
        <v>276</v>
      </c>
      <c r="B53" s="5" t="s">
        <v>277</v>
      </c>
      <c r="C53" s="5" t="s">
        <v>278</v>
      </c>
      <c r="D53" s="5" t="s">
        <v>913</v>
      </c>
    </row>
    <row r="54" spans="1:10" ht="15.75" customHeight="1" x14ac:dyDescent="0.2">
      <c r="A54" s="5" t="s">
        <v>276</v>
      </c>
      <c r="B54" s="5" t="s">
        <v>288</v>
      </c>
      <c r="C54" s="5" t="s">
        <v>289</v>
      </c>
      <c r="D54" s="5" t="s">
        <v>612</v>
      </c>
      <c r="E54" s="5" t="s">
        <v>612</v>
      </c>
      <c r="F54" s="5" t="s">
        <v>1276</v>
      </c>
      <c r="G54" s="5" t="s">
        <v>1224</v>
      </c>
      <c r="H54" s="5" t="s">
        <v>612</v>
      </c>
      <c r="I54" s="5" t="s">
        <v>612</v>
      </c>
    </row>
    <row r="55" spans="1:10" ht="15.75" customHeight="1" x14ac:dyDescent="0.2">
      <c r="A55" s="5" t="s">
        <v>276</v>
      </c>
      <c r="B55" s="5" t="s">
        <v>288</v>
      </c>
      <c r="C55" s="5" t="s">
        <v>289</v>
      </c>
      <c r="D55" s="5" t="s">
        <v>612</v>
      </c>
      <c r="E55" s="5" t="s">
        <v>612</v>
      </c>
      <c r="F55" s="5" t="s">
        <v>1276</v>
      </c>
      <c r="G55" s="5" t="s">
        <v>1277</v>
      </c>
      <c r="H55" s="5" t="s">
        <v>612</v>
      </c>
      <c r="I55" s="5" t="s">
        <v>612</v>
      </c>
    </row>
    <row r="56" spans="1:10" ht="15.75" customHeight="1" x14ac:dyDescent="0.2">
      <c r="A56" s="5" t="s">
        <v>276</v>
      </c>
      <c r="B56" s="5" t="s">
        <v>296</v>
      </c>
      <c r="C56" s="5" t="s">
        <v>297</v>
      </c>
      <c r="D56" s="5" t="s">
        <v>913</v>
      </c>
    </row>
    <row r="57" spans="1:10" ht="15.75" customHeight="1" x14ac:dyDescent="0.2">
      <c r="A57" s="5" t="s">
        <v>276</v>
      </c>
      <c r="B57" s="5" t="s">
        <v>305</v>
      </c>
      <c r="C57" s="5" t="s">
        <v>306</v>
      </c>
      <c r="D57" s="5" t="s">
        <v>612</v>
      </c>
      <c r="E57" s="5" t="s">
        <v>612</v>
      </c>
      <c r="F57" s="5" t="s">
        <v>1278</v>
      </c>
      <c r="G57" s="5" t="s">
        <v>1221</v>
      </c>
      <c r="H57" s="5" t="s">
        <v>612</v>
      </c>
      <c r="I57" s="5" t="s">
        <v>612</v>
      </c>
    </row>
    <row r="58" spans="1:10" ht="15.75" customHeight="1" x14ac:dyDescent="0.2">
      <c r="A58" s="5" t="s">
        <v>276</v>
      </c>
      <c r="B58" s="5" t="s">
        <v>305</v>
      </c>
      <c r="C58" s="5" t="s">
        <v>306</v>
      </c>
      <c r="D58" s="5" t="s">
        <v>612</v>
      </c>
      <c r="E58" s="5" t="s">
        <v>612</v>
      </c>
      <c r="F58" s="5" t="s">
        <v>1061</v>
      </c>
      <c r="G58" s="5" t="s">
        <v>884</v>
      </c>
      <c r="H58" s="5" t="s">
        <v>612</v>
      </c>
      <c r="I58" s="5" t="s">
        <v>612</v>
      </c>
    </row>
    <row r="59" spans="1:10" ht="15.75" customHeight="1" x14ac:dyDescent="0.2">
      <c r="A59" s="5" t="s">
        <v>276</v>
      </c>
      <c r="B59" s="5" t="s">
        <v>316</v>
      </c>
      <c r="C59" s="5" t="s">
        <v>317</v>
      </c>
      <c r="D59" s="5" t="s">
        <v>612</v>
      </c>
      <c r="E59" s="5" t="s">
        <v>612</v>
      </c>
      <c r="F59" s="5" t="s">
        <v>1279</v>
      </c>
      <c r="G59" s="5" t="s">
        <v>1221</v>
      </c>
      <c r="H59" s="5" t="s">
        <v>612</v>
      </c>
      <c r="I59" s="5" t="s">
        <v>612</v>
      </c>
    </row>
    <row r="60" spans="1:10" ht="15.75" customHeight="1" x14ac:dyDescent="0.2">
      <c r="A60" s="5" t="s">
        <v>276</v>
      </c>
      <c r="B60" s="5" t="s">
        <v>316</v>
      </c>
      <c r="C60" s="5" t="s">
        <v>317</v>
      </c>
      <c r="D60" s="5" t="s">
        <v>612</v>
      </c>
      <c r="E60" s="5" t="s">
        <v>612</v>
      </c>
      <c r="F60" s="5" t="s">
        <v>1280</v>
      </c>
      <c r="G60" s="5" t="s">
        <v>884</v>
      </c>
      <c r="H60" s="5" t="s">
        <v>612</v>
      </c>
      <c r="I60" s="5" t="s">
        <v>612</v>
      </c>
    </row>
    <row r="61" spans="1:10" ht="15.75" customHeight="1" x14ac:dyDescent="0.2">
      <c r="A61" s="5" t="s">
        <v>276</v>
      </c>
      <c r="B61" s="5" t="s">
        <v>327</v>
      </c>
      <c r="C61" s="5" t="s">
        <v>328</v>
      </c>
      <c r="D61" s="5" t="s">
        <v>612</v>
      </c>
      <c r="E61" s="5" t="s">
        <v>612</v>
      </c>
      <c r="F61" s="5" t="s">
        <v>1281</v>
      </c>
      <c r="G61" s="5" t="s">
        <v>884</v>
      </c>
      <c r="H61" s="5" t="s">
        <v>612</v>
      </c>
      <c r="I61" s="5" t="s">
        <v>612</v>
      </c>
    </row>
    <row r="62" spans="1:10" ht="15.75" customHeight="1" x14ac:dyDescent="0.2">
      <c r="A62" s="5" t="s">
        <v>276</v>
      </c>
      <c r="B62" s="5" t="s">
        <v>327</v>
      </c>
      <c r="C62" s="5" t="s">
        <v>328</v>
      </c>
      <c r="D62" s="5" t="s">
        <v>612</v>
      </c>
      <c r="E62" s="5" t="s">
        <v>612</v>
      </c>
      <c r="F62" s="5" t="s">
        <v>1281</v>
      </c>
      <c r="G62" s="5" t="s">
        <v>1282</v>
      </c>
      <c r="H62" s="5" t="s">
        <v>612</v>
      </c>
      <c r="I62" s="5" t="s">
        <v>612</v>
      </c>
    </row>
    <row r="63" spans="1:10" ht="15.75" customHeight="1" x14ac:dyDescent="0.2">
      <c r="A63" s="5" t="s">
        <v>276</v>
      </c>
      <c r="B63" s="5" t="s">
        <v>337</v>
      </c>
      <c r="C63" s="5" t="s">
        <v>338</v>
      </c>
      <c r="D63" s="5" t="s">
        <v>612</v>
      </c>
      <c r="E63" s="5" t="s">
        <v>612</v>
      </c>
      <c r="F63" s="5" t="s">
        <v>1283</v>
      </c>
      <c r="G63" s="5" t="s">
        <v>1284</v>
      </c>
      <c r="H63" s="5" t="s">
        <v>612</v>
      </c>
      <c r="I63" s="5" t="s">
        <v>612</v>
      </c>
    </row>
    <row r="64" spans="1:10" ht="15.75" customHeight="1" x14ac:dyDescent="0.2">
      <c r="A64" s="5" t="s">
        <v>276</v>
      </c>
      <c r="B64" s="5" t="s">
        <v>337</v>
      </c>
      <c r="C64" s="5" t="s">
        <v>338</v>
      </c>
      <c r="D64" s="5" t="s">
        <v>612</v>
      </c>
      <c r="E64" s="5" t="s">
        <v>612</v>
      </c>
      <c r="F64" s="5" t="s">
        <v>1283</v>
      </c>
      <c r="G64" s="5" t="s">
        <v>1285</v>
      </c>
      <c r="H64" s="5" t="s">
        <v>612</v>
      </c>
      <c r="I64" s="5" t="s">
        <v>612</v>
      </c>
    </row>
    <row r="65" spans="1:10" ht="15.75" customHeight="1" x14ac:dyDescent="0.2">
      <c r="A65" s="5" t="s">
        <v>276</v>
      </c>
      <c r="B65" s="5" t="s">
        <v>346</v>
      </c>
      <c r="C65" s="5" t="s">
        <v>347</v>
      </c>
      <c r="D65" s="5" t="s">
        <v>612</v>
      </c>
      <c r="E65" s="5" t="s">
        <v>612</v>
      </c>
      <c r="F65" s="5" t="s">
        <v>659</v>
      </c>
      <c r="G65" s="5" t="s">
        <v>1286</v>
      </c>
      <c r="H65" s="5" t="s">
        <v>612</v>
      </c>
      <c r="I65" s="5" t="s">
        <v>612</v>
      </c>
    </row>
    <row r="66" spans="1:10" ht="15.75" customHeight="1" x14ac:dyDescent="0.2">
      <c r="A66" s="5" t="s">
        <v>276</v>
      </c>
      <c r="B66" s="5" t="s">
        <v>355</v>
      </c>
      <c r="C66" s="5" t="s">
        <v>356</v>
      </c>
      <c r="D66" s="5" t="s">
        <v>612</v>
      </c>
      <c r="E66" s="5" t="s">
        <v>612</v>
      </c>
      <c r="F66" s="5" t="s">
        <v>1287</v>
      </c>
      <c r="G66" s="5" t="s">
        <v>1221</v>
      </c>
      <c r="H66" s="5" t="s">
        <v>612</v>
      </c>
      <c r="I66" s="5" t="s">
        <v>612</v>
      </c>
    </row>
    <row r="67" spans="1:10" ht="15.75" customHeight="1" x14ac:dyDescent="0.2">
      <c r="A67" s="5" t="s">
        <v>276</v>
      </c>
      <c r="B67" s="5" t="s">
        <v>355</v>
      </c>
      <c r="C67" s="5" t="s">
        <v>356</v>
      </c>
      <c r="D67" s="5" t="s">
        <v>612</v>
      </c>
      <c r="E67" s="5" t="s">
        <v>612</v>
      </c>
      <c r="F67" s="5" t="s">
        <v>1288</v>
      </c>
      <c r="G67" s="5" t="s">
        <v>1289</v>
      </c>
      <c r="H67" s="5" t="s">
        <v>913</v>
      </c>
      <c r="J67" s="5" t="s">
        <v>1290</v>
      </c>
    </row>
    <row r="68" spans="1:10" ht="15.75" customHeight="1" x14ac:dyDescent="0.2">
      <c r="A68" s="5" t="s">
        <v>276</v>
      </c>
      <c r="B68" s="5" t="s">
        <v>355</v>
      </c>
      <c r="C68" s="5" t="s">
        <v>356</v>
      </c>
      <c r="D68" s="5" t="s">
        <v>612</v>
      </c>
      <c r="E68" s="5" t="s">
        <v>612</v>
      </c>
      <c r="F68" s="5" t="s">
        <v>1287</v>
      </c>
      <c r="G68" s="5" t="s">
        <v>884</v>
      </c>
      <c r="H68" s="5" t="s">
        <v>612</v>
      </c>
      <c r="I68" s="5" t="s">
        <v>612</v>
      </c>
    </row>
    <row r="69" spans="1:10" ht="15.75" customHeight="1" x14ac:dyDescent="0.2">
      <c r="A69" s="5" t="s">
        <v>276</v>
      </c>
      <c r="B69" s="5" t="s">
        <v>363</v>
      </c>
      <c r="C69" s="5" t="s">
        <v>364</v>
      </c>
      <c r="D69" s="5" t="s">
        <v>612</v>
      </c>
      <c r="E69" s="5" t="s">
        <v>612</v>
      </c>
      <c r="F69" s="5" t="s">
        <v>1061</v>
      </c>
      <c r="G69" s="5" t="s">
        <v>1291</v>
      </c>
      <c r="H69" s="5" t="s">
        <v>612</v>
      </c>
      <c r="I69" s="5" t="s">
        <v>612</v>
      </c>
    </row>
    <row r="70" spans="1:10" ht="15.75" customHeight="1" x14ac:dyDescent="0.2">
      <c r="A70" s="5" t="s">
        <v>276</v>
      </c>
      <c r="B70" s="5" t="s">
        <v>363</v>
      </c>
      <c r="C70" s="5" t="s">
        <v>364</v>
      </c>
      <c r="D70" s="5" t="s">
        <v>612</v>
      </c>
      <c r="E70" s="5" t="s">
        <v>612</v>
      </c>
      <c r="F70" s="5" t="s">
        <v>1061</v>
      </c>
      <c r="G70" s="5" t="s">
        <v>1292</v>
      </c>
      <c r="H70" s="5" t="s">
        <v>612</v>
      </c>
      <c r="I70" s="5" t="s">
        <v>612</v>
      </c>
    </row>
    <row r="71" spans="1:10" ht="15.75" customHeight="1" x14ac:dyDescent="0.2">
      <c r="A71" s="5" t="s">
        <v>276</v>
      </c>
      <c r="B71" s="5" t="s">
        <v>363</v>
      </c>
      <c r="C71" s="5" t="s">
        <v>364</v>
      </c>
      <c r="D71" s="5" t="s">
        <v>612</v>
      </c>
      <c r="E71" s="5" t="s">
        <v>612</v>
      </c>
      <c r="F71" s="5" t="s">
        <v>1293</v>
      </c>
      <c r="G71" s="5" t="s">
        <v>1294</v>
      </c>
      <c r="H71" s="5" t="s">
        <v>612</v>
      </c>
      <c r="I71" s="5" t="s">
        <v>612</v>
      </c>
    </row>
    <row r="72" spans="1:10" ht="15.75" customHeight="1" x14ac:dyDescent="0.2">
      <c r="A72" s="5" t="s">
        <v>276</v>
      </c>
      <c r="B72" s="5" t="s">
        <v>372</v>
      </c>
      <c r="C72" s="5" t="s">
        <v>373</v>
      </c>
      <c r="D72" s="5" t="s">
        <v>612</v>
      </c>
      <c r="E72" s="5" t="s">
        <v>612</v>
      </c>
      <c r="F72" s="5" t="s">
        <v>1295</v>
      </c>
      <c r="G72" s="5" t="s">
        <v>1296</v>
      </c>
      <c r="H72" s="5" t="s">
        <v>913</v>
      </c>
    </row>
    <row r="73" spans="1:10" ht="15.75" customHeight="1" x14ac:dyDescent="0.2">
      <c r="A73" s="5" t="s">
        <v>380</v>
      </c>
      <c r="B73" s="5" t="s">
        <v>381</v>
      </c>
      <c r="C73" s="5" t="s">
        <v>382</v>
      </c>
      <c r="D73" s="5" t="s">
        <v>612</v>
      </c>
      <c r="E73" s="5" t="s">
        <v>612</v>
      </c>
      <c r="F73" s="5" t="s">
        <v>1283</v>
      </c>
      <c r="G73" s="5" t="s">
        <v>1284</v>
      </c>
      <c r="H73" s="5" t="s">
        <v>612</v>
      </c>
      <c r="I73" s="5" t="s">
        <v>612</v>
      </c>
    </row>
    <row r="74" spans="1:10" ht="15.75" customHeight="1" x14ac:dyDescent="0.2">
      <c r="A74" s="5" t="s">
        <v>380</v>
      </c>
      <c r="B74" s="5" t="s">
        <v>381</v>
      </c>
      <c r="C74" s="5" t="s">
        <v>382</v>
      </c>
      <c r="D74" s="5" t="s">
        <v>612</v>
      </c>
      <c r="E74" s="5" t="s">
        <v>612</v>
      </c>
      <c r="F74" s="5" t="s">
        <v>1283</v>
      </c>
      <c r="G74" s="5" t="s">
        <v>1285</v>
      </c>
      <c r="H74" s="5" t="s">
        <v>612</v>
      </c>
      <c r="I74" s="5" t="s">
        <v>612</v>
      </c>
    </row>
    <row r="75" spans="1:10" ht="15.75" customHeight="1" x14ac:dyDescent="0.2">
      <c r="A75" s="5" t="s">
        <v>380</v>
      </c>
      <c r="B75" s="5" t="s">
        <v>390</v>
      </c>
      <c r="C75" s="5" t="s">
        <v>391</v>
      </c>
      <c r="D75" s="5" t="s">
        <v>612</v>
      </c>
      <c r="E75" s="5" t="s">
        <v>612</v>
      </c>
      <c r="F75" s="5" t="s">
        <v>1297</v>
      </c>
      <c r="G75" s="5" t="s">
        <v>1298</v>
      </c>
      <c r="H75" s="5" t="s">
        <v>612</v>
      </c>
      <c r="I75" s="5" t="s">
        <v>612</v>
      </c>
    </row>
    <row r="76" spans="1:10" ht="15.75" customHeight="1" x14ac:dyDescent="0.2">
      <c r="A76" s="5" t="s">
        <v>380</v>
      </c>
      <c r="B76" s="5" t="s">
        <v>390</v>
      </c>
      <c r="C76" s="5" t="s">
        <v>391</v>
      </c>
      <c r="D76" s="5" t="s">
        <v>612</v>
      </c>
      <c r="E76" s="5" t="s">
        <v>612</v>
      </c>
      <c r="F76" s="5" t="s">
        <v>1297</v>
      </c>
      <c r="G76" s="5" t="s">
        <v>1299</v>
      </c>
      <c r="H76" s="5" t="s">
        <v>612</v>
      </c>
      <c r="I76" s="5" t="s">
        <v>612</v>
      </c>
    </row>
    <row r="77" spans="1:10" ht="15.75" customHeight="1" x14ac:dyDescent="0.2">
      <c r="A77" s="5" t="s">
        <v>380</v>
      </c>
      <c r="B77" s="5" t="s">
        <v>390</v>
      </c>
      <c r="C77" s="5" t="s">
        <v>391</v>
      </c>
      <c r="D77" s="5" t="s">
        <v>612</v>
      </c>
      <c r="E77" s="5" t="s">
        <v>612</v>
      </c>
      <c r="F77" s="5" t="s">
        <v>1297</v>
      </c>
      <c r="G77" s="5" t="s">
        <v>1298</v>
      </c>
      <c r="H77" s="5" t="s">
        <v>612</v>
      </c>
      <c r="I77" s="5" t="s">
        <v>612</v>
      </c>
    </row>
    <row r="78" spans="1:10" ht="15.75" customHeight="1" x14ac:dyDescent="0.2">
      <c r="A78" s="5" t="s">
        <v>380</v>
      </c>
      <c r="B78" s="5" t="s">
        <v>390</v>
      </c>
      <c r="C78" s="5" t="s">
        <v>391</v>
      </c>
      <c r="D78" s="5" t="s">
        <v>612</v>
      </c>
      <c r="E78" s="5" t="s">
        <v>612</v>
      </c>
      <c r="F78" s="5" t="s">
        <v>1297</v>
      </c>
      <c r="G78" s="5" t="s">
        <v>1299</v>
      </c>
      <c r="H78" s="5" t="s">
        <v>612</v>
      </c>
      <c r="I78" s="5" t="s">
        <v>612</v>
      </c>
    </row>
    <row r="79" spans="1:10" ht="15.75" customHeight="1" x14ac:dyDescent="0.2">
      <c r="A79" s="5" t="s">
        <v>380</v>
      </c>
      <c r="B79" s="5" t="s">
        <v>399</v>
      </c>
      <c r="C79" s="5" t="s">
        <v>400</v>
      </c>
      <c r="D79" s="5" t="s">
        <v>913</v>
      </c>
    </row>
    <row r="80" spans="1:10" ht="15.75" customHeight="1" x14ac:dyDescent="0.2">
      <c r="A80" s="5" t="s">
        <v>380</v>
      </c>
      <c r="B80" s="5" t="s">
        <v>407</v>
      </c>
      <c r="C80" s="5" t="s">
        <v>408</v>
      </c>
      <c r="D80" s="5" t="s">
        <v>612</v>
      </c>
      <c r="E80" s="5" t="s">
        <v>612</v>
      </c>
      <c r="F80" s="5" t="s">
        <v>1300</v>
      </c>
      <c r="G80" s="5" t="s">
        <v>1301</v>
      </c>
      <c r="H80" s="5" t="s">
        <v>913</v>
      </c>
      <c r="J80" s="5" t="s">
        <v>1302</v>
      </c>
    </row>
    <row r="81" spans="1:10" ht="15.75" customHeight="1" x14ac:dyDescent="0.2">
      <c r="A81" s="5" t="s">
        <v>380</v>
      </c>
      <c r="B81" s="5" t="s">
        <v>407</v>
      </c>
      <c r="C81" s="5" t="s">
        <v>408</v>
      </c>
      <c r="D81" s="5" t="s">
        <v>612</v>
      </c>
      <c r="E81" s="5" t="s">
        <v>612</v>
      </c>
      <c r="F81" s="5" t="s">
        <v>1303</v>
      </c>
      <c r="G81" s="5" t="s">
        <v>1289</v>
      </c>
      <c r="H81" s="5" t="s">
        <v>913</v>
      </c>
      <c r="J81" s="5" t="s">
        <v>1304</v>
      </c>
    </row>
    <row r="82" spans="1:10" ht="15.75" customHeight="1" x14ac:dyDescent="0.2">
      <c r="A82" s="5" t="s">
        <v>380</v>
      </c>
      <c r="B82" s="5" t="s">
        <v>417</v>
      </c>
      <c r="C82" s="5" t="s">
        <v>418</v>
      </c>
      <c r="D82" s="5" t="s">
        <v>612</v>
      </c>
      <c r="E82" s="5" t="s">
        <v>612</v>
      </c>
      <c r="F82" s="5" t="s">
        <v>1219</v>
      </c>
      <c r="G82" s="5" t="s">
        <v>1305</v>
      </c>
      <c r="H82" s="5" t="s">
        <v>612</v>
      </c>
      <c r="I82" s="5" t="s">
        <v>612</v>
      </c>
    </row>
    <row r="83" spans="1:10" ht="15.75" customHeight="1" x14ac:dyDescent="0.2">
      <c r="A83" s="5" t="s">
        <v>380</v>
      </c>
      <c r="B83" s="5" t="s">
        <v>417</v>
      </c>
      <c r="C83" s="5" t="s">
        <v>418</v>
      </c>
      <c r="D83" s="5" t="s">
        <v>612</v>
      </c>
      <c r="E83" s="5" t="s">
        <v>612</v>
      </c>
      <c r="F83" s="5" t="s">
        <v>1279</v>
      </c>
      <c r="G83" s="5" t="s">
        <v>1306</v>
      </c>
      <c r="H83" s="5" t="s">
        <v>612</v>
      </c>
      <c r="I83" s="5" t="s">
        <v>612</v>
      </c>
    </row>
    <row r="84" spans="1:10" ht="15.75" customHeight="1" x14ac:dyDescent="0.2">
      <c r="A84" s="5" t="s">
        <v>426</v>
      </c>
      <c r="B84" s="5" t="s">
        <v>427</v>
      </c>
      <c r="C84" s="5" t="s">
        <v>428</v>
      </c>
      <c r="D84" s="5" t="s">
        <v>612</v>
      </c>
      <c r="E84" s="5" t="s">
        <v>612</v>
      </c>
      <c r="F84" s="5" t="s">
        <v>659</v>
      </c>
      <c r="G84" s="5" t="s">
        <v>1307</v>
      </c>
      <c r="H84" s="5" t="s">
        <v>612</v>
      </c>
      <c r="I84" s="5" t="s">
        <v>612</v>
      </c>
    </row>
    <row r="85" spans="1:10" ht="15.75" customHeight="1" x14ac:dyDescent="0.2">
      <c r="A85" s="5" t="s">
        <v>426</v>
      </c>
      <c r="B85" s="5" t="s">
        <v>435</v>
      </c>
      <c r="C85" s="5" t="s">
        <v>436</v>
      </c>
      <c r="D85" s="5" t="s">
        <v>612</v>
      </c>
      <c r="E85" s="5" t="s">
        <v>612</v>
      </c>
      <c r="F85" s="5" t="s">
        <v>1297</v>
      </c>
      <c r="G85" s="5" t="s">
        <v>1298</v>
      </c>
      <c r="H85" s="5" t="s">
        <v>612</v>
      </c>
      <c r="I85" s="5" t="s">
        <v>612</v>
      </c>
    </row>
    <row r="86" spans="1:10" ht="15.75" customHeight="1" x14ac:dyDescent="0.2">
      <c r="A86" s="5" t="s">
        <v>426</v>
      </c>
      <c r="B86" s="5" t="s">
        <v>435</v>
      </c>
      <c r="C86" s="5" t="s">
        <v>436</v>
      </c>
      <c r="D86" s="5" t="s">
        <v>612</v>
      </c>
      <c r="E86" s="5" t="s">
        <v>612</v>
      </c>
      <c r="F86" s="5" t="s">
        <v>1297</v>
      </c>
      <c r="G86" s="5" t="s">
        <v>1299</v>
      </c>
      <c r="H86" s="5" t="s">
        <v>612</v>
      </c>
      <c r="I86" s="5" t="s">
        <v>612</v>
      </c>
    </row>
    <row r="87" spans="1:10" ht="15.75" customHeight="1" x14ac:dyDescent="0.2">
      <c r="A87" s="5" t="s">
        <v>426</v>
      </c>
      <c r="B87" s="5" t="s">
        <v>435</v>
      </c>
      <c r="C87" s="5" t="s">
        <v>436</v>
      </c>
      <c r="D87" s="5" t="s">
        <v>612</v>
      </c>
      <c r="E87" s="5" t="s">
        <v>612</v>
      </c>
      <c r="F87" s="5" t="s">
        <v>1297</v>
      </c>
      <c r="G87" s="5" t="s">
        <v>1299</v>
      </c>
      <c r="H87" s="5" t="s">
        <v>612</v>
      </c>
      <c r="I87" s="5" t="s">
        <v>612</v>
      </c>
    </row>
    <row r="88" spans="1:10" ht="15.75" customHeight="1" x14ac:dyDescent="0.2">
      <c r="A88" s="5" t="s">
        <v>426</v>
      </c>
      <c r="B88" s="5" t="s">
        <v>435</v>
      </c>
      <c r="C88" s="5" t="s">
        <v>436</v>
      </c>
      <c r="D88" s="5" t="s">
        <v>612</v>
      </c>
      <c r="E88" s="5" t="s">
        <v>612</v>
      </c>
      <c r="F88" s="5" t="s">
        <v>1297</v>
      </c>
      <c r="G88" s="5" t="s">
        <v>1298</v>
      </c>
      <c r="H88" s="5" t="s">
        <v>612</v>
      </c>
      <c r="I88" s="5" t="s">
        <v>612</v>
      </c>
    </row>
    <row r="89" spans="1:10" ht="15.75" customHeight="1" x14ac:dyDescent="0.2">
      <c r="A89" s="5" t="s">
        <v>426</v>
      </c>
      <c r="B89" s="5" t="s">
        <v>444</v>
      </c>
      <c r="C89" s="5" t="s">
        <v>445</v>
      </c>
      <c r="D89" s="5" t="s">
        <v>612</v>
      </c>
      <c r="E89" s="5" t="s">
        <v>612</v>
      </c>
      <c r="F89" s="5" t="s">
        <v>659</v>
      </c>
      <c r="G89" s="5" t="s">
        <v>1234</v>
      </c>
      <c r="H89" s="5" t="s">
        <v>612</v>
      </c>
      <c r="I89" s="5" t="s">
        <v>612</v>
      </c>
    </row>
    <row r="90" spans="1:10" ht="15.75" customHeight="1" x14ac:dyDescent="0.2">
      <c r="A90" s="5" t="s">
        <v>426</v>
      </c>
      <c r="B90" s="5" t="s">
        <v>444</v>
      </c>
      <c r="C90" s="5" t="s">
        <v>445</v>
      </c>
      <c r="D90" s="5" t="s">
        <v>612</v>
      </c>
      <c r="E90" s="5" t="s">
        <v>612</v>
      </c>
      <c r="F90" s="5" t="s">
        <v>659</v>
      </c>
      <c r="G90" s="5" t="s">
        <v>1308</v>
      </c>
      <c r="H90" s="5" t="s">
        <v>612</v>
      </c>
      <c r="I90" s="5" t="s">
        <v>612</v>
      </c>
    </row>
    <row r="91" spans="1:10" ht="15.75" customHeight="1" x14ac:dyDescent="0.2">
      <c r="A91" s="5" t="s">
        <v>426</v>
      </c>
      <c r="B91" s="5" t="s">
        <v>452</v>
      </c>
      <c r="C91" s="5" t="s">
        <v>453</v>
      </c>
      <c r="D91" s="5" t="s">
        <v>612</v>
      </c>
      <c r="E91" s="5" t="s">
        <v>612</v>
      </c>
      <c r="F91" s="5" t="s">
        <v>1242</v>
      </c>
      <c r="G91" s="5" t="s">
        <v>884</v>
      </c>
      <c r="H91" s="5" t="s">
        <v>612</v>
      </c>
      <c r="I91" s="5" t="s">
        <v>612</v>
      </c>
    </row>
    <row r="92" spans="1:10" ht="15.75" customHeight="1" x14ac:dyDescent="0.2">
      <c r="A92" s="5" t="s">
        <v>426</v>
      </c>
      <c r="B92" s="5" t="s">
        <v>452</v>
      </c>
      <c r="C92" s="5" t="s">
        <v>453</v>
      </c>
      <c r="D92" s="5" t="s">
        <v>612</v>
      </c>
      <c r="E92" s="5" t="s">
        <v>612</v>
      </c>
      <c r="F92" s="5" t="s">
        <v>1242</v>
      </c>
      <c r="G92" s="5" t="s">
        <v>1228</v>
      </c>
      <c r="H92" s="5" t="s">
        <v>612</v>
      </c>
      <c r="I92" s="5" t="s">
        <v>612</v>
      </c>
    </row>
    <row r="93" spans="1:10" ht="15.75" customHeight="1" x14ac:dyDescent="0.2">
      <c r="A93" s="5" t="s">
        <v>426</v>
      </c>
      <c r="B93" s="5" t="s">
        <v>460</v>
      </c>
      <c r="C93" s="5" t="s">
        <v>461</v>
      </c>
      <c r="D93" s="5" t="s">
        <v>612</v>
      </c>
      <c r="E93" s="5" t="s">
        <v>612</v>
      </c>
      <c r="F93" s="5" t="s">
        <v>1309</v>
      </c>
      <c r="G93" s="5" t="s">
        <v>1310</v>
      </c>
      <c r="H93" s="5" t="s">
        <v>612</v>
      </c>
      <c r="I93" s="5" t="s">
        <v>612</v>
      </c>
    </row>
    <row r="94" spans="1:10" ht="15.75" customHeight="1" x14ac:dyDescent="0.2">
      <c r="A94" s="5" t="s">
        <v>426</v>
      </c>
      <c r="B94" s="5" t="s">
        <v>460</v>
      </c>
      <c r="C94" s="5" t="s">
        <v>461</v>
      </c>
      <c r="D94" s="5" t="s">
        <v>612</v>
      </c>
      <c r="E94" s="5" t="s">
        <v>612</v>
      </c>
      <c r="F94" s="5" t="s">
        <v>1309</v>
      </c>
      <c r="G94" s="5" t="s">
        <v>1311</v>
      </c>
      <c r="H94" s="5" t="s">
        <v>612</v>
      </c>
      <c r="I94" s="5" t="s">
        <v>612</v>
      </c>
      <c r="J94" s="5" t="s">
        <v>1312</v>
      </c>
    </row>
    <row r="95" spans="1:10" ht="15.75" customHeight="1" x14ac:dyDescent="0.2">
      <c r="A95" s="5" t="s">
        <v>426</v>
      </c>
      <c r="B95" s="5" t="s">
        <v>468</v>
      </c>
      <c r="C95" s="5" t="s">
        <v>469</v>
      </c>
      <c r="D95" s="5" t="s">
        <v>612</v>
      </c>
      <c r="E95" s="5" t="s">
        <v>612</v>
      </c>
      <c r="F95" s="5" t="s">
        <v>659</v>
      </c>
      <c r="G95" s="5" t="s">
        <v>1221</v>
      </c>
      <c r="H95" s="5" t="s">
        <v>612</v>
      </c>
      <c r="I95" s="5" t="s">
        <v>612</v>
      </c>
    </row>
    <row r="96" spans="1:10" ht="15.75" customHeight="1" x14ac:dyDescent="0.2">
      <c r="A96" s="5" t="s">
        <v>426</v>
      </c>
      <c r="B96" s="5" t="s">
        <v>468</v>
      </c>
      <c r="C96" s="5" t="s">
        <v>469</v>
      </c>
      <c r="D96" s="5" t="s">
        <v>612</v>
      </c>
      <c r="E96" s="5" t="s">
        <v>612</v>
      </c>
      <c r="F96" s="5" t="s">
        <v>659</v>
      </c>
      <c r="G96" s="5" t="s">
        <v>884</v>
      </c>
      <c r="H96" s="5" t="s">
        <v>612</v>
      </c>
      <c r="I96" s="5" t="s">
        <v>612</v>
      </c>
    </row>
    <row r="97" spans="1:9" ht="15.75" customHeight="1" x14ac:dyDescent="0.2">
      <c r="A97" s="5" t="s">
        <v>426</v>
      </c>
      <c r="B97" s="5" t="s">
        <v>476</v>
      </c>
      <c r="C97" s="5" t="s">
        <v>477</v>
      </c>
      <c r="D97" s="5" t="s">
        <v>612</v>
      </c>
      <c r="E97" s="5" t="s">
        <v>612</v>
      </c>
      <c r="F97" s="5" t="s">
        <v>1313</v>
      </c>
      <c r="G97" s="5" t="s">
        <v>1305</v>
      </c>
      <c r="H97" s="5" t="s">
        <v>612</v>
      </c>
      <c r="I97" s="5" t="s">
        <v>612</v>
      </c>
    </row>
    <row r="98" spans="1:9" ht="15.75" customHeight="1" x14ac:dyDescent="0.2">
      <c r="A98" s="5" t="s">
        <v>426</v>
      </c>
      <c r="B98" s="5" t="s">
        <v>476</v>
      </c>
      <c r="C98" s="5" t="s">
        <v>477</v>
      </c>
      <c r="D98" s="5" t="s">
        <v>612</v>
      </c>
      <c r="E98" s="5" t="s">
        <v>612</v>
      </c>
      <c r="F98" s="5" t="s">
        <v>1313</v>
      </c>
      <c r="G98" s="5" t="s">
        <v>1314</v>
      </c>
      <c r="H98" s="5" t="s">
        <v>612</v>
      </c>
      <c r="I98" s="5" t="s">
        <v>612</v>
      </c>
    </row>
    <row r="99" spans="1:9" ht="15.75" customHeight="1" x14ac:dyDescent="0.2">
      <c r="A99" s="5" t="s">
        <v>426</v>
      </c>
      <c r="B99" s="5" t="s">
        <v>476</v>
      </c>
      <c r="C99" s="5" t="s">
        <v>477</v>
      </c>
      <c r="D99" s="5" t="s">
        <v>612</v>
      </c>
      <c r="E99" s="5" t="s">
        <v>612</v>
      </c>
      <c r="F99" s="5" t="s">
        <v>1313</v>
      </c>
      <c r="G99" s="5" t="s">
        <v>1305</v>
      </c>
      <c r="H99" s="5" t="s">
        <v>612</v>
      </c>
      <c r="I99" s="5" t="s">
        <v>612</v>
      </c>
    </row>
    <row r="100" spans="1:9" ht="15.75" customHeight="1" x14ac:dyDescent="0.2">
      <c r="A100" s="5" t="s">
        <v>426</v>
      </c>
      <c r="B100" s="5" t="s">
        <v>476</v>
      </c>
      <c r="C100" s="5" t="s">
        <v>477</v>
      </c>
      <c r="D100" s="5" t="s">
        <v>612</v>
      </c>
      <c r="E100" s="5" t="s">
        <v>612</v>
      </c>
      <c r="F100" s="5" t="s">
        <v>1313</v>
      </c>
      <c r="G100" s="5" t="s">
        <v>1314</v>
      </c>
      <c r="H100" s="5" t="s">
        <v>612</v>
      </c>
      <c r="I100" s="5" t="s">
        <v>612</v>
      </c>
    </row>
    <row r="101" spans="1:9" ht="15.75" customHeight="1" x14ac:dyDescent="0.2">
      <c r="A101" s="5" t="s">
        <v>485</v>
      </c>
      <c r="B101" s="5" t="s">
        <v>486</v>
      </c>
      <c r="C101" s="5" t="s">
        <v>487</v>
      </c>
      <c r="D101" s="5" t="s">
        <v>913</v>
      </c>
    </row>
    <row r="102" spans="1:9" ht="15.75" customHeight="1" x14ac:dyDescent="0.2">
      <c r="A102" s="5" t="s">
        <v>485</v>
      </c>
      <c r="B102" s="5" t="s">
        <v>494</v>
      </c>
      <c r="C102" s="5" t="s">
        <v>495</v>
      </c>
      <c r="D102" s="5" t="s">
        <v>612</v>
      </c>
      <c r="E102" s="5" t="s">
        <v>612</v>
      </c>
      <c r="F102" s="5" t="s">
        <v>1309</v>
      </c>
      <c r="G102" s="5" t="s">
        <v>1315</v>
      </c>
      <c r="H102" s="5" t="s">
        <v>612</v>
      </c>
      <c r="I102" s="5" t="s">
        <v>612</v>
      </c>
    </row>
    <row r="103" spans="1:9" ht="15.75" customHeight="1" x14ac:dyDescent="0.2">
      <c r="A103" s="5" t="s">
        <v>485</v>
      </c>
      <c r="B103" s="5" t="s">
        <v>494</v>
      </c>
      <c r="C103" s="5" t="s">
        <v>495</v>
      </c>
      <c r="D103" s="5" t="s">
        <v>612</v>
      </c>
      <c r="E103" s="5" t="s">
        <v>612</v>
      </c>
      <c r="F103" s="5" t="s">
        <v>1309</v>
      </c>
      <c r="G103" s="5" t="s">
        <v>884</v>
      </c>
      <c r="H103" s="5" t="s">
        <v>612</v>
      </c>
      <c r="I103" s="5" t="s">
        <v>612</v>
      </c>
    </row>
    <row r="104" spans="1:9" ht="15.75" customHeight="1" x14ac:dyDescent="0.2">
      <c r="A104" s="5" t="s">
        <v>485</v>
      </c>
      <c r="B104" s="5" t="s">
        <v>494</v>
      </c>
      <c r="C104" s="5" t="s">
        <v>495</v>
      </c>
      <c r="D104" s="5" t="s">
        <v>612</v>
      </c>
      <c r="E104" s="5" t="s">
        <v>612</v>
      </c>
      <c r="F104" s="5" t="s">
        <v>1309</v>
      </c>
      <c r="G104" s="5" t="s">
        <v>1316</v>
      </c>
      <c r="H104" s="5" t="s">
        <v>612</v>
      </c>
      <c r="I104" s="5" t="s">
        <v>612</v>
      </c>
    </row>
    <row r="105" spans="1:9" ht="15.75" customHeight="1" x14ac:dyDescent="0.2">
      <c r="A105" s="5" t="s">
        <v>485</v>
      </c>
      <c r="B105" s="5" t="s">
        <v>503</v>
      </c>
      <c r="C105" s="5" t="s">
        <v>504</v>
      </c>
      <c r="D105" s="5" t="s">
        <v>612</v>
      </c>
      <c r="E105" s="5" t="s">
        <v>612</v>
      </c>
      <c r="F105" s="5" t="s">
        <v>1317</v>
      </c>
      <c r="G105" s="5" t="s">
        <v>1318</v>
      </c>
      <c r="H105" s="5" t="s">
        <v>612</v>
      </c>
      <c r="I105" s="5" t="s">
        <v>612</v>
      </c>
    </row>
    <row r="106" spans="1:9" ht="15.75" customHeight="1" x14ac:dyDescent="0.2">
      <c r="A106" s="5" t="s">
        <v>485</v>
      </c>
      <c r="B106" s="5" t="s">
        <v>503</v>
      </c>
      <c r="C106" s="5" t="s">
        <v>504</v>
      </c>
      <c r="D106" s="5" t="s">
        <v>612</v>
      </c>
      <c r="E106" s="5" t="s">
        <v>612</v>
      </c>
      <c r="F106" s="5" t="s">
        <v>1317</v>
      </c>
      <c r="G106" s="5" t="s">
        <v>1319</v>
      </c>
      <c r="H106" s="5" t="s">
        <v>612</v>
      </c>
      <c r="I106" s="5" t="s">
        <v>612</v>
      </c>
    </row>
    <row r="107" spans="1:9" ht="15.75" customHeight="1" x14ac:dyDescent="0.2">
      <c r="A107" s="5" t="s">
        <v>485</v>
      </c>
      <c r="B107" s="5" t="s">
        <v>511</v>
      </c>
      <c r="C107" s="5" t="s">
        <v>512</v>
      </c>
      <c r="D107" s="5" t="s">
        <v>913</v>
      </c>
    </row>
    <row r="108" spans="1:9" ht="15.75" customHeight="1" x14ac:dyDescent="0.2">
      <c r="A108" s="5" t="s">
        <v>485</v>
      </c>
      <c r="B108" s="5" t="s">
        <v>519</v>
      </c>
      <c r="C108" s="5" t="s">
        <v>520</v>
      </c>
      <c r="D108" s="5" t="s">
        <v>612</v>
      </c>
      <c r="E108" s="5" t="s">
        <v>612</v>
      </c>
      <c r="F108" s="5" t="s">
        <v>1320</v>
      </c>
      <c r="G108" s="5" t="s">
        <v>1321</v>
      </c>
      <c r="H108" s="5" t="s">
        <v>612</v>
      </c>
      <c r="I108" s="5" t="s">
        <v>612</v>
      </c>
    </row>
    <row r="109" spans="1:9" ht="15.75" customHeight="1" x14ac:dyDescent="0.2">
      <c r="A109" s="5" t="s">
        <v>485</v>
      </c>
      <c r="B109" s="5" t="s">
        <v>519</v>
      </c>
      <c r="C109" s="5" t="s">
        <v>520</v>
      </c>
      <c r="D109" s="5" t="s">
        <v>612</v>
      </c>
      <c r="E109" s="5" t="s">
        <v>612</v>
      </c>
      <c r="F109" s="5" t="s">
        <v>1320</v>
      </c>
      <c r="G109" s="5" t="s">
        <v>1322</v>
      </c>
      <c r="H109" s="5" t="s">
        <v>612</v>
      </c>
      <c r="I109" s="5" t="s">
        <v>612</v>
      </c>
    </row>
    <row r="110" spans="1:9" ht="15.75" customHeight="1" x14ac:dyDescent="0.2">
      <c r="A110" s="5" t="s">
        <v>485</v>
      </c>
      <c r="B110" s="5" t="s">
        <v>519</v>
      </c>
      <c r="C110" s="5" t="s">
        <v>520</v>
      </c>
      <c r="D110" s="5" t="s">
        <v>612</v>
      </c>
      <c r="E110" s="5" t="s">
        <v>612</v>
      </c>
      <c r="F110" s="5" t="s">
        <v>1320</v>
      </c>
      <c r="G110" s="5" t="s">
        <v>1322</v>
      </c>
      <c r="H110" s="5" t="s">
        <v>612</v>
      </c>
      <c r="I110" s="5" t="s">
        <v>612</v>
      </c>
    </row>
    <row r="111" spans="1:9" ht="15.75" customHeight="1" x14ac:dyDescent="0.2">
      <c r="A111" s="5" t="s">
        <v>485</v>
      </c>
      <c r="B111" s="5" t="s">
        <v>519</v>
      </c>
      <c r="C111" s="5" t="s">
        <v>520</v>
      </c>
      <c r="D111" s="5" t="s">
        <v>612</v>
      </c>
      <c r="E111" s="5" t="s">
        <v>612</v>
      </c>
      <c r="F111" s="5" t="s">
        <v>1320</v>
      </c>
      <c r="G111" s="5" t="s">
        <v>1321</v>
      </c>
      <c r="H111" s="5" t="s">
        <v>612</v>
      </c>
      <c r="I111" s="5" t="s">
        <v>612</v>
      </c>
    </row>
    <row r="112" spans="1:9" ht="15.75" customHeight="1" x14ac:dyDescent="0.2">
      <c r="A112" s="5" t="s">
        <v>485</v>
      </c>
      <c r="B112" s="5" t="s">
        <v>527</v>
      </c>
      <c r="C112" s="5" t="s">
        <v>528</v>
      </c>
      <c r="D112" s="5" t="s">
        <v>612</v>
      </c>
      <c r="E112" s="5" t="s">
        <v>612</v>
      </c>
      <c r="F112" s="5" t="s">
        <v>1323</v>
      </c>
      <c r="G112" s="5" t="s">
        <v>1324</v>
      </c>
      <c r="H112" s="5" t="s">
        <v>612</v>
      </c>
      <c r="I112" s="5" t="s">
        <v>612</v>
      </c>
    </row>
    <row r="113" spans="1:10" ht="15.75" customHeight="1" x14ac:dyDescent="0.2">
      <c r="A113" s="5" t="s">
        <v>485</v>
      </c>
      <c r="B113" s="5" t="s">
        <v>527</v>
      </c>
      <c r="C113" s="5" t="s">
        <v>528</v>
      </c>
      <c r="D113" s="5" t="s">
        <v>612</v>
      </c>
      <c r="E113" s="5" t="s">
        <v>612</v>
      </c>
      <c r="F113" s="5" t="s">
        <v>1323</v>
      </c>
      <c r="G113" s="5" t="s">
        <v>1314</v>
      </c>
      <c r="H113" s="5" t="s">
        <v>612</v>
      </c>
      <c r="I113" s="5" t="s">
        <v>612</v>
      </c>
    </row>
    <row r="114" spans="1:10" ht="15.75" customHeight="1" x14ac:dyDescent="0.2">
      <c r="A114" s="5" t="s">
        <v>485</v>
      </c>
      <c r="B114" s="5" t="s">
        <v>537</v>
      </c>
      <c r="C114" s="5" t="s">
        <v>538</v>
      </c>
      <c r="D114" s="5" t="s">
        <v>612</v>
      </c>
      <c r="E114" s="5" t="s">
        <v>612</v>
      </c>
      <c r="F114" s="5" t="s">
        <v>1325</v>
      </c>
      <c r="G114" s="5" t="s">
        <v>1221</v>
      </c>
      <c r="H114" s="5" t="s">
        <v>612</v>
      </c>
      <c r="I114" s="5" t="s">
        <v>612</v>
      </c>
    </row>
    <row r="115" spans="1:10" ht="15.75" customHeight="1" x14ac:dyDescent="0.2">
      <c r="A115" s="5" t="s">
        <v>485</v>
      </c>
      <c r="B115" s="5" t="s">
        <v>537</v>
      </c>
      <c r="C115" s="5" t="s">
        <v>538</v>
      </c>
      <c r="D115" s="5" t="s">
        <v>612</v>
      </c>
      <c r="E115" s="5" t="s">
        <v>612</v>
      </c>
      <c r="F115" s="5" t="s">
        <v>1325</v>
      </c>
      <c r="G115" s="5" t="s">
        <v>884</v>
      </c>
      <c r="H115" s="5" t="s">
        <v>612</v>
      </c>
      <c r="I115" s="5" t="s">
        <v>612</v>
      </c>
    </row>
    <row r="116" spans="1:10" ht="15.75" customHeight="1" x14ac:dyDescent="0.2">
      <c r="A116" s="5" t="s">
        <v>485</v>
      </c>
      <c r="B116" s="5" t="s">
        <v>546</v>
      </c>
      <c r="C116" s="5" t="s">
        <v>547</v>
      </c>
      <c r="D116" s="5" t="s">
        <v>612</v>
      </c>
      <c r="E116" s="5" t="s">
        <v>612</v>
      </c>
      <c r="F116" s="5" t="s">
        <v>1326</v>
      </c>
      <c r="G116" s="5" t="s">
        <v>1327</v>
      </c>
      <c r="H116" s="5" t="s">
        <v>612</v>
      </c>
      <c r="I116" s="5" t="s">
        <v>612</v>
      </c>
    </row>
    <row r="117" spans="1:10" ht="15.75" customHeight="1" x14ac:dyDescent="0.2">
      <c r="A117" t="s">
        <v>70</v>
      </c>
      <c r="B117" t="s">
        <v>555</v>
      </c>
      <c r="C117" t="s">
        <v>556</v>
      </c>
      <c r="D117" t="s">
        <v>612</v>
      </c>
      <c r="E117" t="s">
        <v>612</v>
      </c>
      <c r="F117" t="s">
        <v>1274</v>
      </c>
      <c r="G117" t="s">
        <v>1221</v>
      </c>
      <c r="H117" t="s">
        <v>612</v>
      </c>
      <c r="I117" t="s">
        <v>612</v>
      </c>
      <c r="J117" t="s">
        <v>1328</v>
      </c>
    </row>
    <row r="118" spans="1:10" ht="15.75" customHeight="1" x14ac:dyDescent="0.2">
      <c r="A118" t="s">
        <v>70</v>
      </c>
      <c r="B118" t="s">
        <v>555</v>
      </c>
      <c r="C118" t="s">
        <v>556</v>
      </c>
      <c r="D118" t="s">
        <v>612</v>
      </c>
      <c r="E118" t="s">
        <v>612</v>
      </c>
      <c r="F118" t="s">
        <v>1274</v>
      </c>
      <c r="G118" t="s">
        <v>884</v>
      </c>
      <c r="H118" t="s">
        <v>612</v>
      </c>
      <c r="I118" t="s">
        <v>612</v>
      </c>
      <c r="J118" t="s">
        <v>1329</v>
      </c>
    </row>
    <row r="119" spans="1:10" ht="15.75" customHeight="1" x14ac:dyDescent="0.2">
      <c r="A119" t="s">
        <v>276</v>
      </c>
      <c r="B119" t="s">
        <v>562</v>
      </c>
      <c r="C119" t="s">
        <v>563</v>
      </c>
      <c r="D119" t="s">
        <v>612</v>
      </c>
      <c r="E119" t="s">
        <v>612</v>
      </c>
      <c r="F119" t="s">
        <v>1330</v>
      </c>
      <c r="G119" t="s">
        <v>1324</v>
      </c>
      <c r="H119" t="s">
        <v>612</v>
      </c>
      <c r="I119" t="s">
        <v>612</v>
      </c>
    </row>
    <row r="120" spans="1:10" ht="15.75" customHeight="1" x14ac:dyDescent="0.2">
      <c r="A120" t="s">
        <v>276</v>
      </c>
      <c r="B120" t="s">
        <v>568</v>
      </c>
      <c r="C120" t="s">
        <v>569</v>
      </c>
      <c r="D120" t="s">
        <v>612</v>
      </c>
      <c r="E120" t="s">
        <v>612</v>
      </c>
      <c r="F120" t="s">
        <v>1331</v>
      </c>
      <c r="G120" t="s">
        <v>1332</v>
      </c>
      <c r="H120" t="s">
        <v>612</v>
      </c>
      <c r="I120" t="s">
        <v>612</v>
      </c>
    </row>
    <row r="121" spans="1:10" ht="15.75" customHeight="1" x14ac:dyDescent="0.2">
      <c r="A121" t="s">
        <v>276</v>
      </c>
      <c r="B121" t="s">
        <v>568</v>
      </c>
      <c r="C121" t="s">
        <v>569</v>
      </c>
      <c r="D121" t="s">
        <v>612</v>
      </c>
      <c r="E121" t="s">
        <v>612</v>
      </c>
      <c r="F121" t="s">
        <v>1331</v>
      </c>
      <c r="G121" t="s">
        <v>1333</v>
      </c>
      <c r="H121" t="s">
        <v>612</v>
      </c>
      <c r="I121" t="s">
        <v>612</v>
      </c>
    </row>
    <row r="122" spans="1:10" ht="15.75" customHeight="1" x14ac:dyDescent="0.2">
      <c r="A122" t="s">
        <v>276</v>
      </c>
      <c r="B122" t="s">
        <v>568</v>
      </c>
      <c r="C122" t="s">
        <v>569</v>
      </c>
      <c r="D122" t="s">
        <v>612</v>
      </c>
      <c r="E122" t="s">
        <v>612</v>
      </c>
      <c r="F122" t="s">
        <v>1331</v>
      </c>
      <c r="G122" t="s">
        <v>1334</v>
      </c>
      <c r="H122" t="s">
        <v>612</v>
      </c>
      <c r="I122" t="s">
        <v>612</v>
      </c>
    </row>
    <row r="123" spans="1:10" ht="15.75" customHeight="1" x14ac:dyDescent="0.2">
      <c r="A123" t="s">
        <v>276</v>
      </c>
      <c r="B123" t="s">
        <v>568</v>
      </c>
      <c r="C123" t="s">
        <v>569</v>
      </c>
      <c r="D123" t="s">
        <v>612</v>
      </c>
      <c r="E123" t="s">
        <v>612</v>
      </c>
      <c r="F123" t="s">
        <v>1331</v>
      </c>
      <c r="G123" t="s">
        <v>1335</v>
      </c>
      <c r="H123" t="s">
        <v>612</v>
      </c>
      <c r="I123" t="s">
        <v>612</v>
      </c>
    </row>
    <row r="124" spans="1:10" ht="15.75" customHeight="1" x14ac:dyDescent="0.2">
      <c r="A124" t="s">
        <v>276</v>
      </c>
      <c r="B124" t="s">
        <v>574</v>
      </c>
      <c r="C124" t="s">
        <v>575</v>
      </c>
      <c r="D124" t="s">
        <v>913</v>
      </c>
    </row>
    <row r="125" spans="1:10" ht="15.75" customHeight="1" x14ac:dyDescent="0.2"/>
    <row r="126" spans="1:10" ht="15.75" customHeight="1" x14ac:dyDescent="0.2"/>
    <row r="127" spans="1:10" ht="15.75" customHeight="1" x14ac:dyDescent="0.2"/>
    <row r="128" spans="1:10"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00"/>
  <sheetViews>
    <sheetView workbookViewId="0"/>
  </sheetViews>
  <sheetFormatPr baseColWidth="10" defaultColWidth="14.5" defaultRowHeight="15" customHeight="1" x14ac:dyDescent="0.2"/>
  <cols>
    <col min="1" max="6" width="8.6640625" customWidth="1"/>
    <col min="7" max="7" width="50.1640625" customWidth="1"/>
    <col min="8" max="26" width="8.6640625" customWidth="1"/>
  </cols>
  <sheetData>
    <row r="1" spans="1:13" x14ac:dyDescent="0.2">
      <c r="A1" s="1" t="s">
        <v>0</v>
      </c>
      <c r="B1" s="1" t="s">
        <v>1</v>
      </c>
      <c r="C1" s="1" t="s">
        <v>2</v>
      </c>
      <c r="D1" s="1" t="s">
        <v>1336</v>
      </c>
      <c r="E1" s="1" t="s">
        <v>1337</v>
      </c>
      <c r="F1" s="1" t="s">
        <v>1185</v>
      </c>
      <c r="G1" s="1" t="s">
        <v>1338</v>
      </c>
      <c r="H1" s="1" t="s">
        <v>1187</v>
      </c>
      <c r="I1" s="1" t="s">
        <v>1218</v>
      </c>
      <c r="J1" s="1" t="s">
        <v>1339</v>
      </c>
      <c r="K1" s="1" t="s">
        <v>1340</v>
      </c>
      <c r="L1" s="1" t="s">
        <v>1341</v>
      </c>
      <c r="M1" s="1" t="s">
        <v>16</v>
      </c>
    </row>
    <row r="2" spans="1:13" x14ac:dyDescent="0.2">
      <c r="A2" s="5" t="s">
        <v>26</v>
      </c>
      <c r="B2" s="5" t="s">
        <v>27</v>
      </c>
      <c r="C2" s="5" t="s">
        <v>28</v>
      </c>
      <c r="D2" s="5" t="s">
        <v>612</v>
      </c>
      <c r="E2" s="5" t="s">
        <v>612</v>
      </c>
      <c r="F2" s="5" t="s">
        <v>1309</v>
      </c>
      <c r="G2" s="5" t="s">
        <v>1342</v>
      </c>
      <c r="H2" s="5" t="s">
        <v>612</v>
      </c>
      <c r="I2" s="5" t="s">
        <v>612</v>
      </c>
      <c r="J2" s="5" t="s">
        <v>612</v>
      </c>
      <c r="L2" s="5" t="s">
        <v>627</v>
      </c>
    </row>
    <row r="3" spans="1:13" x14ac:dyDescent="0.2">
      <c r="A3" s="5" t="s">
        <v>26</v>
      </c>
      <c r="B3" s="5" t="s">
        <v>40</v>
      </c>
      <c r="C3" s="5" t="s">
        <v>41</v>
      </c>
      <c r="D3" s="5" t="s">
        <v>612</v>
      </c>
      <c r="E3" s="5" t="s">
        <v>612</v>
      </c>
      <c r="F3" s="5" t="s">
        <v>1343</v>
      </c>
      <c r="G3" s="5" t="s">
        <v>1344</v>
      </c>
      <c r="H3" s="5" t="s">
        <v>612</v>
      </c>
      <c r="I3" s="5" t="s">
        <v>612</v>
      </c>
      <c r="J3" s="5" t="s">
        <v>612</v>
      </c>
      <c r="L3" s="5" t="s">
        <v>1345</v>
      </c>
    </row>
    <row r="4" spans="1:13" x14ac:dyDescent="0.2">
      <c r="A4" s="5" t="s">
        <v>26</v>
      </c>
      <c r="B4" s="5" t="s">
        <v>40</v>
      </c>
      <c r="C4" s="5" t="s">
        <v>41</v>
      </c>
      <c r="D4" s="5" t="s">
        <v>612</v>
      </c>
      <c r="E4" s="5" t="s">
        <v>612</v>
      </c>
      <c r="F4" s="5" t="s">
        <v>1343</v>
      </c>
      <c r="G4" s="5" t="s">
        <v>1346</v>
      </c>
      <c r="H4" s="5" t="s">
        <v>612</v>
      </c>
      <c r="I4" s="5" t="s">
        <v>612</v>
      </c>
      <c r="K4" s="5" t="s">
        <v>612</v>
      </c>
      <c r="L4" s="5" t="s">
        <v>1111</v>
      </c>
    </row>
    <row r="5" spans="1:13" x14ac:dyDescent="0.2">
      <c r="A5" s="5" t="s">
        <v>26</v>
      </c>
      <c r="B5" s="5" t="s">
        <v>40</v>
      </c>
      <c r="C5" s="5" t="s">
        <v>41</v>
      </c>
      <c r="D5" s="5" t="s">
        <v>612</v>
      </c>
      <c r="E5" s="5" t="s">
        <v>612</v>
      </c>
      <c r="F5" s="5" t="s">
        <v>1343</v>
      </c>
      <c r="G5" s="5" t="s">
        <v>1346</v>
      </c>
      <c r="H5" s="5" t="s">
        <v>612</v>
      </c>
      <c r="I5" s="5" t="s">
        <v>612</v>
      </c>
      <c r="K5" s="5" t="s">
        <v>612</v>
      </c>
      <c r="L5" s="5" t="s">
        <v>1111</v>
      </c>
    </row>
    <row r="6" spans="1:13" x14ac:dyDescent="0.2">
      <c r="A6" s="5" t="s">
        <v>26</v>
      </c>
      <c r="B6" s="5" t="s">
        <v>40</v>
      </c>
      <c r="C6" s="5" t="s">
        <v>41</v>
      </c>
      <c r="D6" s="5" t="s">
        <v>612</v>
      </c>
      <c r="E6" s="5" t="s">
        <v>612</v>
      </c>
      <c r="F6" s="5" t="s">
        <v>1343</v>
      </c>
      <c r="G6" s="5" t="s">
        <v>1344</v>
      </c>
      <c r="H6" s="5" t="s">
        <v>612</v>
      </c>
      <c r="I6" s="5" t="s">
        <v>612</v>
      </c>
      <c r="J6" s="5" t="s">
        <v>612</v>
      </c>
      <c r="L6" s="5" t="s">
        <v>1345</v>
      </c>
    </row>
    <row r="7" spans="1:13" x14ac:dyDescent="0.2">
      <c r="A7" s="5" t="s">
        <v>26</v>
      </c>
      <c r="B7" s="5" t="s">
        <v>50</v>
      </c>
      <c r="C7" s="5" t="s">
        <v>51</v>
      </c>
      <c r="D7" s="5" t="s">
        <v>612</v>
      </c>
      <c r="E7" s="5" t="s">
        <v>612</v>
      </c>
      <c r="F7" s="5" t="s">
        <v>659</v>
      </c>
      <c r="G7" s="5" t="s">
        <v>1347</v>
      </c>
      <c r="H7" s="5" t="s">
        <v>612</v>
      </c>
      <c r="I7" s="5" t="s">
        <v>913</v>
      </c>
      <c r="M7" s="5" t="s">
        <v>1348</v>
      </c>
    </row>
    <row r="8" spans="1:13" x14ac:dyDescent="0.2">
      <c r="A8" s="5" t="s">
        <v>26</v>
      </c>
      <c r="B8" s="5" t="s">
        <v>50</v>
      </c>
      <c r="C8" s="5" t="s">
        <v>51</v>
      </c>
      <c r="D8" s="5" t="s">
        <v>612</v>
      </c>
      <c r="E8" s="5" t="s">
        <v>612</v>
      </c>
      <c r="F8" s="5" t="s">
        <v>1349</v>
      </c>
      <c r="G8" s="5" t="s">
        <v>1350</v>
      </c>
      <c r="H8" s="5" t="s">
        <v>612</v>
      </c>
      <c r="I8" s="5" t="s">
        <v>913</v>
      </c>
      <c r="M8" s="5" t="s">
        <v>1351</v>
      </c>
    </row>
    <row r="9" spans="1:13" x14ac:dyDescent="0.2">
      <c r="A9" s="5" t="s">
        <v>26</v>
      </c>
      <c r="B9" s="5" t="s">
        <v>61</v>
      </c>
      <c r="C9" s="5" t="s">
        <v>62</v>
      </c>
      <c r="D9" s="5" t="s">
        <v>612</v>
      </c>
      <c r="E9" s="5" t="s">
        <v>612</v>
      </c>
      <c r="F9" s="5" t="s">
        <v>1352</v>
      </c>
      <c r="G9" s="5" t="s">
        <v>1353</v>
      </c>
      <c r="H9" s="5" t="s">
        <v>612</v>
      </c>
      <c r="I9" s="5" t="s">
        <v>913</v>
      </c>
    </row>
    <row r="10" spans="1:13" x14ac:dyDescent="0.2">
      <c r="A10" s="5" t="s">
        <v>26</v>
      </c>
      <c r="B10" s="5" t="s">
        <v>61</v>
      </c>
      <c r="C10" s="5" t="s">
        <v>62</v>
      </c>
      <c r="D10" s="5" t="s">
        <v>612</v>
      </c>
      <c r="E10" s="5" t="s">
        <v>612</v>
      </c>
      <c r="F10" s="5" t="s">
        <v>659</v>
      </c>
      <c r="G10" s="5" t="s">
        <v>1354</v>
      </c>
      <c r="H10" s="5" t="s">
        <v>612</v>
      </c>
      <c r="I10" s="5" t="s">
        <v>612</v>
      </c>
      <c r="J10" s="5" t="s">
        <v>612</v>
      </c>
    </row>
    <row r="11" spans="1:13" x14ac:dyDescent="0.2">
      <c r="A11" s="5" t="s">
        <v>70</v>
      </c>
      <c r="B11" s="5" t="s">
        <v>71</v>
      </c>
      <c r="C11" s="5" t="s">
        <v>72</v>
      </c>
      <c r="D11" s="5" t="s">
        <v>612</v>
      </c>
      <c r="E11" s="5" t="s">
        <v>612</v>
      </c>
      <c r="F11" s="5" t="s">
        <v>1355</v>
      </c>
      <c r="G11" s="5" t="s">
        <v>1356</v>
      </c>
      <c r="H11" s="5" t="s">
        <v>612</v>
      </c>
      <c r="I11" s="5" t="s">
        <v>913</v>
      </c>
    </row>
    <row r="12" spans="1:13" x14ac:dyDescent="0.2">
      <c r="A12" s="5" t="s">
        <v>70</v>
      </c>
      <c r="B12" s="5" t="s">
        <v>82</v>
      </c>
      <c r="C12" s="5" t="s">
        <v>83</v>
      </c>
      <c r="D12" s="5" t="s">
        <v>612</v>
      </c>
      <c r="E12" s="5" t="s">
        <v>612</v>
      </c>
      <c r="F12" s="5" t="s">
        <v>1357</v>
      </c>
      <c r="G12" s="5" t="s">
        <v>1358</v>
      </c>
      <c r="H12" s="5" t="s">
        <v>612</v>
      </c>
      <c r="I12" s="5" t="s">
        <v>612</v>
      </c>
      <c r="J12" s="5" t="s">
        <v>612</v>
      </c>
      <c r="L12" s="5" t="s">
        <v>1021</v>
      </c>
      <c r="M12" s="5" t="s">
        <v>1359</v>
      </c>
    </row>
    <row r="13" spans="1:13" x14ac:dyDescent="0.2">
      <c r="A13" s="5" t="s">
        <v>70</v>
      </c>
      <c r="B13" s="5" t="s">
        <v>93</v>
      </c>
      <c r="C13" s="5" t="s">
        <v>94</v>
      </c>
      <c r="D13" s="5" t="s">
        <v>612</v>
      </c>
      <c r="E13" s="5" t="s">
        <v>612</v>
      </c>
      <c r="F13" s="5" t="s">
        <v>1061</v>
      </c>
      <c r="G13" s="5" t="s">
        <v>1360</v>
      </c>
      <c r="H13" s="5" t="s">
        <v>612</v>
      </c>
      <c r="I13" s="5" t="s">
        <v>612</v>
      </c>
      <c r="J13" s="5" t="s">
        <v>612</v>
      </c>
      <c r="L13" s="5" t="s">
        <v>837</v>
      </c>
    </row>
    <row r="14" spans="1:13" x14ac:dyDescent="0.2">
      <c r="A14" s="5" t="s">
        <v>70</v>
      </c>
      <c r="B14" s="5" t="s">
        <v>93</v>
      </c>
      <c r="C14" s="5" t="s">
        <v>94</v>
      </c>
      <c r="D14" s="5" t="s">
        <v>612</v>
      </c>
      <c r="E14" s="5" t="s">
        <v>612</v>
      </c>
      <c r="F14" s="5" t="s">
        <v>1361</v>
      </c>
      <c r="G14" s="5" t="s">
        <v>1362</v>
      </c>
      <c r="H14" s="5" t="s">
        <v>612</v>
      </c>
      <c r="I14" s="5" t="s">
        <v>612</v>
      </c>
      <c r="J14" s="5" t="s">
        <v>612</v>
      </c>
      <c r="L14" s="5" t="s">
        <v>688</v>
      </c>
    </row>
    <row r="15" spans="1:13" x14ac:dyDescent="0.2">
      <c r="A15" s="5" t="s">
        <v>70</v>
      </c>
      <c r="B15" s="5" t="s">
        <v>93</v>
      </c>
      <c r="C15" s="5" t="s">
        <v>94</v>
      </c>
      <c r="D15" s="5" t="s">
        <v>612</v>
      </c>
      <c r="E15" s="5" t="s">
        <v>612</v>
      </c>
      <c r="F15" s="5" t="s">
        <v>1363</v>
      </c>
      <c r="G15" s="5" t="s">
        <v>1364</v>
      </c>
      <c r="H15" s="5" t="s">
        <v>612</v>
      </c>
      <c r="I15" s="5" t="s">
        <v>612</v>
      </c>
      <c r="K15" s="5" t="s">
        <v>612</v>
      </c>
      <c r="L15" s="5" t="s">
        <v>617</v>
      </c>
    </row>
    <row r="16" spans="1:13" x14ac:dyDescent="0.2">
      <c r="A16" s="5" t="s">
        <v>70</v>
      </c>
      <c r="B16" s="5" t="s">
        <v>102</v>
      </c>
      <c r="C16" s="5" t="s">
        <v>103</v>
      </c>
      <c r="D16" s="5" t="s">
        <v>612</v>
      </c>
      <c r="E16" s="5" t="s">
        <v>612</v>
      </c>
      <c r="F16" s="5" t="s">
        <v>1365</v>
      </c>
      <c r="G16" s="5" t="s">
        <v>1366</v>
      </c>
      <c r="H16" s="5" t="s">
        <v>913</v>
      </c>
    </row>
    <row r="17" spans="1:13" x14ac:dyDescent="0.2">
      <c r="A17" s="5" t="s">
        <v>70</v>
      </c>
      <c r="B17" s="5" t="s">
        <v>112</v>
      </c>
      <c r="C17" s="5" t="s">
        <v>113</v>
      </c>
      <c r="D17" s="5" t="s">
        <v>612</v>
      </c>
      <c r="E17" s="5" t="s">
        <v>612</v>
      </c>
      <c r="F17" s="5" t="s">
        <v>1303</v>
      </c>
      <c r="G17" s="5" t="s">
        <v>1367</v>
      </c>
      <c r="H17" s="5" t="s">
        <v>612</v>
      </c>
      <c r="I17" s="5" t="s">
        <v>612</v>
      </c>
      <c r="J17" s="5" t="s">
        <v>913</v>
      </c>
      <c r="K17" s="5" t="s">
        <v>913</v>
      </c>
    </row>
    <row r="18" spans="1:13" x14ac:dyDescent="0.2">
      <c r="A18" s="5" t="s">
        <v>70</v>
      </c>
      <c r="B18" s="5" t="s">
        <v>112</v>
      </c>
      <c r="C18" s="5" t="s">
        <v>113</v>
      </c>
      <c r="D18" s="5" t="s">
        <v>612</v>
      </c>
      <c r="E18" s="5" t="s">
        <v>612</v>
      </c>
      <c r="F18" s="5" t="s">
        <v>730</v>
      </c>
      <c r="G18" s="5" t="s">
        <v>1368</v>
      </c>
      <c r="H18" s="5" t="s">
        <v>612</v>
      </c>
      <c r="I18" s="5" t="s">
        <v>612</v>
      </c>
      <c r="J18" s="5" t="s">
        <v>913</v>
      </c>
      <c r="K18" s="5" t="s">
        <v>913</v>
      </c>
    </row>
    <row r="19" spans="1:13" x14ac:dyDescent="0.2">
      <c r="A19" s="5" t="s">
        <v>70</v>
      </c>
      <c r="B19" s="5" t="s">
        <v>123</v>
      </c>
      <c r="C19" s="5" t="s">
        <v>124</v>
      </c>
      <c r="D19" s="5" t="s">
        <v>913</v>
      </c>
    </row>
    <row r="20" spans="1:13" x14ac:dyDescent="0.2">
      <c r="A20" s="5" t="s">
        <v>70</v>
      </c>
      <c r="B20" s="5" t="s">
        <v>134</v>
      </c>
      <c r="C20" s="5" t="s">
        <v>135</v>
      </c>
      <c r="D20" s="5" t="s">
        <v>913</v>
      </c>
    </row>
    <row r="21" spans="1:13" ht="15.75" customHeight="1" x14ac:dyDescent="0.2">
      <c r="A21" s="5" t="s">
        <v>70</v>
      </c>
      <c r="B21" s="5" t="s">
        <v>144</v>
      </c>
      <c r="C21" s="5" t="s">
        <v>145</v>
      </c>
      <c r="D21" s="5" t="s">
        <v>612</v>
      </c>
      <c r="E21" s="5" t="s">
        <v>612</v>
      </c>
      <c r="F21" s="5" t="s">
        <v>1257</v>
      </c>
      <c r="G21" s="5" t="s">
        <v>1369</v>
      </c>
      <c r="H21" s="5" t="s">
        <v>612</v>
      </c>
      <c r="I21" s="5" t="s">
        <v>612</v>
      </c>
      <c r="J21" s="5" t="s">
        <v>612</v>
      </c>
      <c r="L21" s="5" t="s">
        <v>617</v>
      </c>
    </row>
    <row r="22" spans="1:13" ht="15.75" customHeight="1" x14ac:dyDescent="0.2">
      <c r="A22" s="5" t="s">
        <v>70</v>
      </c>
      <c r="B22" s="5" t="s">
        <v>154</v>
      </c>
      <c r="C22" s="5" t="s">
        <v>155</v>
      </c>
      <c r="D22" s="5" t="s">
        <v>612</v>
      </c>
      <c r="E22" s="5" t="s">
        <v>612</v>
      </c>
      <c r="F22" s="5" t="s">
        <v>1370</v>
      </c>
      <c r="G22" s="5" t="s">
        <v>1371</v>
      </c>
      <c r="H22" s="5" t="s">
        <v>612</v>
      </c>
      <c r="I22" s="5" t="s">
        <v>612</v>
      </c>
      <c r="J22" s="5" t="s">
        <v>913</v>
      </c>
      <c r="K22" s="5" t="s">
        <v>913</v>
      </c>
      <c r="M22" s="5" t="s">
        <v>1372</v>
      </c>
    </row>
    <row r="23" spans="1:13" ht="15.75" customHeight="1" x14ac:dyDescent="0.2">
      <c r="A23" s="5" t="s">
        <v>70</v>
      </c>
      <c r="B23" s="5" t="s">
        <v>165</v>
      </c>
      <c r="C23" s="5" t="s">
        <v>166</v>
      </c>
      <c r="D23" s="5" t="s">
        <v>913</v>
      </c>
    </row>
    <row r="24" spans="1:13" ht="15.75" customHeight="1" x14ac:dyDescent="0.2">
      <c r="A24" s="5" t="s">
        <v>70</v>
      </c>
      <c r="B24" s="5" t="s">
        <v>176</v>
      </c>
      <c r="C24" s="5" t="s">
        <v>177</v>
      </c>
      <c r="D24" s="5" t="s">
        <v>612</v>
      </c>
      <c r="E24" s="5" t="s">
        <v>612</v>
      </c>
      <c r="F24" s="5" t="s">
        <v>1309</v>
      </c>
      <c r="G24" s="5" t="s">
        <v>1373</v>
      </c>
      <c r="H24" s="5" t="s">
        <v>612</v>
      </c>
      <c r="I24" s="5" t="s">
        <v>612</v>
      </c>
      <c r="K24" s="5" t="s">
        <v>612</v>
      </c>
      <c r="L24" s="5" t="s">
        <v>624</v>
      </c>
    </row>
    <row r="25" spans="1:13" ht="15.75" customHeight="1" x14ac:dyDescent="0.2">
      <c r="A25" s="5" t="s">
        <v>70</v>
      </c>
      <c r="B25" s="5" t="s">
        <v>176</v>
      </c>
      <c r="C25" s="5" t="s">
        <v>177</v>
      </c>
      <c r="D25" s="5" t="s">
        <v>612</v>
      </c>
      <c r="E25" s="5" t="s">
        <v>612</v>
      </c>
      <c r="F25" s="5" t="s">
        <v>659</v>
      </c>
      <c r="G25" s="5" t="s">
        <v>1374</v>
      </c>
      <c r="H25" s="5" t="s">
        <v>612</v>
      </c>
      <c r="I25" s="5" t="s">
        <v>612</v>
      </c>
      <c r="J25" s="5" t="s">
        <v>612</v>
      </c>
      <c r="M25" s="5" t="s">
        <v>1375</v>
      </c>
    </row>
    <row r="26" spans="1:13" ht="15.75" customHeight="1" x14ac:dyDescent="0.2">
      <c r="A26" s="5" t="s">
        <v>70</v>
      </c>
      <c r="B26" s="5" t="s">
        <v>184</v>
      </c>
      <c r="C26" s="5" t="s">
        <v>185</v>
      </c>
      <c r="D26" s="5" t="s">
        <v>913</v>
      </c>
    </row>
    <row r="27" spans="1:13" ht="15.75" customHeight="1" x14ac:dyDescent="0.2">
      <c r="A27" s="5" t="s">
        <v>70</v>
      </c>
      <c r="B27" s="5" t="s">
        <v>193</v>
      </c>
      <c r="C27" s="5" t="s">
        <v>194</v>
      </c>
      <c r="D27" s="5" t="s">
        <v>913</v>
      </c>
    </row>
    <row r="28" spans="1:13" ht="15.75" customHeight="1" x14ac:dyDescent="0.2">
      <c r="A28" s="5" t="s">
        <v>70</v>
      </c>
      <c r="B28" s="5" t="s">
        <v>200</v>
      </c>
      <c r="C28" s="5" t="s">
        <v>201</v>
      </c>
      <c r="D28" s="5" t="s">
        <v>612</v>
      </c>
      <c r="E28" s="5" t="s">
        <v>612</v>
      </c>
      <c r="F28" s="5" t="s">
        <v>1376</v>
      </c>
      <c r="G28" s="5" t="s">
        <v>1377</v>
      </c>
      <c r="H28" s="5" t="s">
        <v>612</v>
      </c>
      <c r="I28" s="5" t="s">
        <v>612</v>
      </c>
      <c r="J28" s="5" t="s">
        <v>612</v>
      </c>
      <c r="L28" s="5" t="s">
        <v>713</v>
      </c>
    </row>
    <row r="29" spans="1:13" ht="15.75" customHeight="1" x14ac:dyDescent="0.2">
      <c r="A29" s="5" t="s">
        <v>70</v>
      </c>
      <c r="B29" s="5" t="s">
        <v>211</v>
      </c>
      <c r="C29" s="5" t="s">
        <v>212</v>
      </c>
      <c r="D29" s="5" t="s">
        <v>913</v>
      </c>
    </row>
    <row r="30" spans="1:13" ht="15.75" customHeight="1" x14ac:dyDescent="0.2">
      <c r="A30" s="5" t="s">
        <v>70</v>
      </c>
      <c r="B30" s="5" t="s">
        <v>221</v>
      </c>
      <c r="C30" s="5" t="s">
        <v>222</v>
      </c>
      <c r="D30" s="5" t="s">
        <v>913</v>
      </c>
    </row>
    <row r="31" spans="1:13" ht="15.75" customHeight="1" x14ac:dyDescent="0.2">
      <c r="A31" s="5" t="s">
        <v>70</v>
      </c>
      <c r="B31" s="5" t="s">
        <v>229</v>
      </c>
      <c r="C31" s="5" t="s">
        <v>230</v>
      </c>
      <c r="D31" s="5" t="s">
        <v>913</v>
      </c>
    </row>
    <row r="32" spans="1:13" ht="15.75" customHeight="1" x14ac:dyDescent="0.2">
      <c r="A32" s="5" t="s">
        <v>70</v>
      </c>
      <c r="B32" s="5" t="s">
        <v>238</v>
      </c>
      <c r="C32" s="5" t="s">
        <v>239</v>
      </c>
      <c r="D32" s="5" t="s">
        <v>612</v>
      </c>
      <c r="E32" s="5" t="s">
        <v>612</v>
      </c>
      <c r="F32" s="5" t="s">
        <v>1378</v>
      </c>
      <c r="G32" s="5" t="s">
        <v>1379</v>
      </c>
      <c r="H32" s="5" t="s">
        <v>612</v>
      </c>
      <c r="I32" s="5" t="s">
        <v>612</v>
      </c>
      <c r="J32" s="5" t="s">
        <v>612</v>
      </c>
      <c r="L32" s="5" t="s">
        <v>653</v>
      </c>
    </row>
    <row r="33" spans="1:13" ht="15.75" customHeight="1" x14ac:dyDescent="0.2">
      <c r="A33" s="5" t="s">
        <v>70</v>
      </c>
      <c r="B33" s="5" t="s">
        <v>238</v>
      </c>
      <c r="C33" s="5" t="s">
        <v>239</v>
      </c>
      <c r="D33" s="5" t="s">
        <v>612</v>
      </c>
      <c r="E33" s="5" t="s">
        <v>612</v>
      </c>
      <c r="F33" s="5" t="s">
        <v>1309</v>
      </c>
      <c r="G33" s="5" t="s">
        <v>1380</v>
      </c>
      <c r="H33" s="5" t="s">
        <v>612</v>
      </c>
      <c r="I33" s="5" t="s">
        <v>612</v>
      </c>
      <c r="K33" s="5" t="s">
        <v>612</v>
      </c>
      <c r="L33" s="5" t="s">
        <v>631</v>
      </c>
      <c r="M33" s="5" t="s">
        <v>1381</v>
      </c>
    </row>
    <row r="34" spans="1:13" ht="15.75" customHeight="1" x14ac:dyDescent="0.2">
      <c r="A34" s="5" t="s">
        <v>70</v>
      </c>
      <c r="B34" s="5" t="s">
        <v>238</v>
      </c>
      <c r="C34" s="5" t="s">
        <v>239</v>
      </c>
      <c r="D34" s="5" t="s">
        <v>612</v>
      </c>
      <c r="E34" s="5" t="s">
        <v>612</v>
      </c>
      <c r="F34" s="5" t="s">
        <v>1269</v>
      </c>
      <c r="G34" s="5" t="s">
        <v>1382</v>
      </c>
      <c r="H34" s="5" t="s">
        <v>612</v>
      </c>
      <c r="I34" s="5" t="s">
        <v>612</v>
      </c>
      <c r="J34" s="5" t="s">
        <v>612</v>
      </c>
      <c r="L34" s="5" t="s">
        <v>623</v>
      </c>
    </row>
    <row r="35" spans="1:13" ht="15.75" customHeight="1" x14ac:dyDescent="0.2">
      <c r="A35" s="5" t="s">
        <v>70</v>
      </c>
      <c r="B35" s="5" t="s">
        <v>238</v>
      </c>
      <c r="C35" s="5" t="s">
        <v>239</v>
      </c>
      <c r="D35" s="5" t="s">
        <v>612</v>
      </c>
      <c r="E35" s="5" t="s">
        <v>612</v>
      </c>
      <c r="F35" s="5" t="s">
        <v>1230</v>
      </c>
      <c r="G35" s="5" t="s">
        <v>1383</v>
      </c>
      <c r="H35" s="5" t="s">
        <v>612</v>
      </c>
      <c r="I35" s="5" t="s">
        <v>612</v>
      </c>
      <c r="J35" s="5" t="s">
        <v>612</v>
      </c>
      <c r="L35" s="5" t="s">
        <v>623</v>
      </c>
    </row>
    <row r="36" spans="1:13" ht="15.75" customHeight="1" x14ac:dyDescent="0.2">
      <c r="A36" s="5" t="s">
        <v>70</v>
      </c>
      <c r="B36" s="5" t="s">
        <v>247</v>
      </c>
      <c r="C36" s="5" t="s">
        <v>248</v>
      </c>
      <c r="D36" s="5" t="s">
        <v>612</v>
      </c>
      <c r="E36" s="5" t="s">
        <v>612</v>
      </c>
      <c r="F36" s="5" t="s">
        <v>1384</v>
      </c>
      <c r="G36" s="5" t="s">
        <v>1385</v>
      </c>
      <c r="H36" s="5" t="s">
        <v>612</v>
      </c>
      <c r="I36" s="5" t="s">
        <v>612</v>
      </c>
      <c r="J36" s="5" t="s">
        <v>913</v>
      </c>
      <c r="K36" s="5" t="s">
        <v>913</v>
      </c>
      <c r="M36" s="5" t="s">
        <v>1386</v>
      </c>
    </row>
    <row r="37" spans="1:13" ht="15.75" customHeight="1" x14ac:dyDescent="0.2">
      <c r="A37" s="5" t="s">
        <v>70</v>
      </c>
      <c r="B37" s="5" t="s">
        <v>257</v>
      </c>
      <c r="C37" s="5" t="s">
        <v>258</v>
      </c>
      <c r="D37" s="5" t="s">
        <v>612</v>
      </c>
      <c r="E37" s="5" t="s">
        <v>612</v>
      </c>
      <c r="F37" s="5" t="s">
        <v>1387</v>
      </c>
      <c r="G37" s="5" t="s">
        <v>1388</v>
      </c>
      <c r="H37" s="5" t="s">
        <v>612</v>
      </c>
      <c r="I37" s="5" t="s">
        <v>612</v>
      </c>
      <c r="J37" s="5" t="s">
        <v>913</v>
      </c>
      <c r="K37" s="5" t="s">
        <v>913</v>
      </c>
    </row>
    <row r="38" spans="1:13" ht="15.75" customHeight="1" x14ac:dyDescent="0.2">
      <c r="A38" s="5" t="s">
        <v>70</v>
      </c>
      <c r="B38" s="5" t="s">
        <v>257</v>
      </c>
      <c r="C38" s="5" t="s">
        <v>258</v>
      </c>
      <c r="D38" s="5" t="s">
        <v>612</v>
      </c>
      <c r="E38" s="5" t="s">
        <v>612</v>
      </c>
      <c r="F38" s="5" t="s">
        <v>730</v>
      </c>
      <c r="G38" s="5" t="s">
        <v>1389</v>
      </c>
      <c r="H38" s="5" t="s">
        <v>913</v>
      </c>
      <c r="M38" s="5" t="s">
        <v>1390</v>
      </c>
    </row>
    <row r="39" spans="1:13" ht="15.75" customHeight="1" x14ac:dyDescent="0.2">
      <c r="A39" s="5" t="s">
        <v>70</v>
      </c>
      <c r="B39" s="5" t="s">
        <v>268</v>
      </c>
      <c r="C39" s="5" t="s">
        <v>269</v>
      </c>
      <c r="D39" s="5" t="s">
        <v>612</v>
      </c>
      <c r="E39" s="5" t="s">
        <v>612</v>
      </c>
      <c r="F39" s="5" t="s">
        <v>1391</v>
      </c>
      <c r="G39" s="5" t="s">
        <v>1392</v>
      </c>
      <c r="H39" s="5" t="s">
        <v>913</v>
      </c>
      <c r="M39" s="5" t="s">
        <v>1393</v>
      </c>
    </row>
    <row r="40" spans="1:13" ht="15.75" customHeight="1" x14ac:dyDescent="0.2">
      <c r="A40" s="5" t="s">
        <v>276</v>
      </c>
      <c r="B40" s="5" t="s">
        <v>277</v>
      </c>
      <c r="C40" s="5" t="s">
        <v>278</v>
      </c>
      <c r="D40" s="5" t="s">
        <v>913</v>
      </c>
    </row>
    <row r="41" spans="1:13" ht="15.75" customHeight="1" x14ac:dyDescent="0.2">
      <c r="A41" s="5" t="s">
        <v>276</v>
      </c>
      <c r="B41" s="5" t="s">
        <v>288</v>
      </c>
      <c r="C41" s="5" t="s">
        <v>289</v>
      </c>
      <c r="D41" s="5" t="s">
        <v>612</v>
      </c>
      <c r="E41" s="5" t="s">
        <v>612</v>
      </c>
      <c r="F41" s="5" t="s">
        <v>879</v>
      </c>
      <c r="G41" s="5" t="s">
        <v>1394</v>
      </c>
      <c r="H41" s="5" t="s">
        <v>612</v>
      </c>
      <c r="I41" s="5" t="s">
        <v>612</v>
      </c>
      <c r="J41" s="5" t="s">
        <v>913</v>
      </c>
      <c r="K41" s="5" t="s">
        <v>913</v>
      </c>
      <c r="M41" s="5" t="s">
        <v>706</v>
      </c>
    </row>
    <row r="42" spans="1:13" ht="15.75" customHeight="1" x14ac:dyDescent="0.2">
      <c r="A42" s="5" t="s">
        <v>276</v>
      </c>
      <c r="B42" s="5" t="s">
        <v>296</v>
      </c>
      <c r="C42" s="5" t="s">
        <v>297</v>
      </c>
      <c r="D42" s="5" t="s">
        <v>913</v>
      </c>
    </row>
    <row r="43" spans="1:13" ht="15.75" customHeight="1" x14ac:dyDescent="0.2">
      <c r="A43" s="5" t="s">
        <v>276</v>
      </c>
      <c r="B43" s="5" t="s">
        <v>305</v>
      </c>
      <c r="C43" s="5" t="s">
        <v>306</v>
      </c>
      <c r="D43" s="5" t="s">
        <v>612</v>
      </c>
      <c r="E43" s="5" t="s">
        <v>612</v>
      </c>
      <c r="F43" s="5" t="s">
        <v>1395</v>
      </c>
      <c r="G43" s="5" t="s">
        <v>1396</v>
      </c>
      <c r="H43" s="5" t="s">
        <v>612</v>
      </c>
      <c r="I43" s="5" t="s">
        <v>612</v>
      </c>
      <c r="J43" s="5" t="s">
        <v>913</v>
      </c>
      <c r="K43" s="5" t="s">
        <v>913</v>
      </c>
    </row>
    <row r="44" spans="1:13" ht="15.75" customHeight="1" x14ac:dyDescent="0.2">
      <c r="A44" s="5" t="s">
        <v>276</v>
      </c>
      <c r="B44" s="5" t="s">
        <v>316</v>
      </c>
      <c r="C44" s="5" t="s">
        <v>317</v>
      </c>
      <c r="D44" s="5" t="s">
        <v>612</v>
      </c>
      <c r="E44" s="5" t="s">
        <v>612</v>
      </c>
      <c r="F44" s="5" t="s">
        <v>1397</v>
      </c>
      <c r="G44" s="5" t="s">
        <v>1398</v>
      </c>
      <c r="H44" s="5" t="s">
        <v>612</v>
      </c>
      <c r="I44" s="5" t="s">
        <v>612</v>
      </c>
      <c r="J44" s="5" t="s">
        <v>913</v>
      </c>
      <c r="K44" s="5" t="s">
        <v>913</v>
      </c>
    </row>
    <row r="45" spans="1:13" ht="15.75" customHeight="1" x14ac:dyDescent="0.2">
      <c r="A45" s="5" t="s">
        <v>276</v>
      </c>
      <c r="B45" s="5" t="s">
        <v>327</v>
      </c>
      <c r="C45" s="5" t="s">
        <v>328</v>
      </c>
      <c r="D45" s="5" t="s">
        <v>612</v>
      </c>
      <c r="E45" s="5" t="s">
        <v>612</v>
      </c>
      <c r="F45" s="5" t="s">
        <v>1281</v>
      </c>
      <c r="G45" s="5" t="s">
        <v>1399</v>
      </c>
      <c r="H45" s="5" t="s">
        <v>612</v>
      </c>
      <c r="I45" s="5" t="s">
        <v>612</v>
      </c>
      <c r="J45" s="5" t="s">
        <v>913</v>
      </c>
      <c r="K45" s="5" t="s">
        <v>913</v>
      </c>
    </row>
    <row r="46" spans="1:13" ht="15.75" customHeight="1" x14ac:dyDescent="0.2">
      <c r="A46" s="5" t="s">
        <v>276</v>
      </c>
      <c r="B46" s="5" t="s">
        <v>337</v>
      </c>
      <c r="C46" s="5" t="s">
        <v>338</v>
      </c>
      <c r="D46" s="5" t="s">
        <v>612</v>
      </c>
      <c r="E46" s="5" t="s">
        <v>612</v>
      </c>
      <c r="F46" s="5" t="s">
        <v>1283</v>
      </c>
      <c r="G46" s="5" t="s">
        <v>1400</v>
      </c>
      <c r="H46" s="5" t="s">
        <v>612</v>
      </c>
      <c r="I46" s="5" t="s">
        <v>612</v>
      </c>
      <c r="J46" s="5" t="s">
        <v>612</v>
      </c>
      <c r="L46" s="5" t="s">
        <v>649</v>
      </c>
    </row>
    <row r="47" spans="1:13" ht="15.75" customHeight="1" x14ac:dyDescent="0.2">
      <c r="A47" s="5" t="s">
        <v>276</v>
      </c>
      <c r="B47" s="5" t="s">
        <v>346</v>
      </c>
      <c r="C47" s="5" t="s">
        <v>347</v>
      </c>
      <c r="D47" s="5" t="s">
        <v>612</v>
      </c>
      <c r="E47" s="5" t="s">
        <v>612</v>
      </c>
      <c r="F47" s="5" t="s">
        <v>1401</v>
      </c>
      <c r="G47" s="5" t="s">
        <v>1402</v>
      </c>
      <c r="H47" s="5" t="s">
        <v>612</v>
      </c>
      <c r="I47" s="5" t="s">
        <v>612</v>
      </c>
      <c r="J47" s="5" t="s">
        <v>913</v>
      </c>
      <c r="K47" s="5" t="s">
        <v>913</v>
      </c>
      <c r="M47" s="5" t="s">
        <v>1403</v>
      </c>
    </row>
    <row r="48" spans="1:13" ht="15.75" customHeight="1" x14ac:dyDescent="0.2">
      <c r="A48" s="5" t="s">
        <v>276</v>
      </c>
      <c r="B48" s="5" t="s">
        <v>355</v>
      </c>
      <c r="C48" s="5" t="s">
        <v>356</v>
      </c>
      <c r="D48" s="5" t="s">
        <v>913</v>
      </c>
    </row>
    <row r="49" spans="1:13" ht="15.75" customHeight="1" x14ac:dyDescent="0.2">
      <c r="A49" s="5" t="s">
        <v>276</v>
      </c>
      <c r="B49" s="5" t="s">
        <v>363</v>
      </c>
      <c r="C49" s="5" t="s">
        <v>364</v>
      </c>
      <c r="D49" s="5" t="s">
        <v>612</v>
      </c>
      <c r="E49" s="5" t="s">
        <v>612</v>
      </c>
      <c r="F49" s="5" t="s">
        <v>1404</v>
      </c>
      <c r="G49" s="5" t="s">
        <v>1405</v>
      </c>
      <c r="H49" s="5" t="s">
        <v>612</v>
      </c>
      <c r="I49" s="5" t="s">
        <v>612</v>
      </c>
      <c r="J49" s="5" t="s">
        <v>612</v>
      </c>
      <c r="L49" s="5" t="s">
        <v>618</v>
      </c>
    </row>
    <row r="50" spans="1:13" ht="15.75" customHeight="1" x14ac:dyDescent="0.2">
      <c r="A50" s="5" t="s">
        <v>276</v>
      </c>
      <c r="B50" s="5" t="s">
        <v>372</v>
      </c>
      <c r="C50" s="5" t="s">
        <v>373</v>
      </c>
      <c r="D50" s="5" t="s">
        <v>913</v>
      </c>
    </row>
    <row r="51" spans="1:13" ht="15.75" customHeight="1" x14ac:dyDescent="0.2">
      <c r="A51" s="5" t="s">
        <v>380</v>
      </c>
      <c r="B51" s="5" t="s">
        <v>381</v>
      </c>
      <c r="C51" s="5" t="s">
        <v>382</v>
      </c>
      <c r="D51" s="5" t="s">
        <v>612</v>
      </c>
      <c r="E51" s="5" t="s">
        <v>612</v>
      </c>
      <c r="F51" s="5" t="s">
        <v>1376</v>
      </c>
      <c r="G51" s="5" t="s">
        <v>1406</v>
      </c>
      <c r="H51" s="5" t="s">
        <v>612</v>
      </c>
      <c r="I51" s="5" t="s">
        <v>612</v>
      </c>
      <c r="J51" s="5" t="s">
        <v>612</v>
      </c>
      <c r="L51" s="5" t="s">
        <v>688</v>
      </c>
    </row>
    <row r="52" spans="1:13" ht="15.75" customHeight="1" x14ac:dyDescent="0.2">
      <c r="A52" s="5" t="s">
        <v>380</v>
      </c>
      <c r="B52" s="5" t="s">
        <v>390</v>
      </c>
      <c r="C52" s="5" t="s">
        <v>391</v>
      </c>
      <c r="D52" s="5" t="s">
        <v>612</v>
      </c>
      <c r="E52" s="5" t="s">
        <v>612</v>
      </c>
      <c r="F52" s="5" t="s">
        <v>1407</v>
      </c>
      <c r="G52" s="5" t="s">
        <v>1408</v>
      </c>
      <c r="H52" s="5" t="s">
        <v>612</v>
      </c>
      <c r="I52" s="5" t="s">
        <v>612</v>
      </c>
      <c r="J52" s="5" t="s">
        <v>913</v>
      </c>
      <c r="K52" s="5" t="s">
        <v>913</v>
      </c>
    </row>
    <row r="53" spans="1:13" ht="15.75" customHeight="1" x14ac:dyDescent="0.2">
      <c r="A53" s="5" t="s">
        <v>380</v>
      </c>
      <c r="B53" s="5" t="s">
        <v>390</v>
      </c>
      <c r="C53" s="5" t="s">
        <v>391</v>
      </c>
      <c r="D53" s="5" t="s">
        <v>612</v>
      </c>
      <c r="E53" s="5" t="s">
        <v>612</v>
      </c>
      <c r="F53" s="5" t="s">
        <v>1407</v>
      </c>
      <c r="G53" s="5" t="s">
        <v>1408</v>
      </c>
      <c r="H53" s="5" t="s">
        <v>612</v>
      </c>
      <c r="I53" s="5" t="s">
        <v>612</v>
      </c>
      <c r="J53" s="5" t="s">
        <v>913</v>
      </c>
      <c r="K53" s="5" t="s">
        <v>913</v>
      </c>
    </row>
    <row r="54" spans="1:13" ht="15.75" customHeight="1" x14ac:dyDescent="0.2">
      <c r="A54" s="5" t="s">
        <v>380</v>
      </c>
      <c r="B54" s="5" t="s">
        <v>399</v>
      </c>
      <c r="C54" s="5" t="s">
        <v>400</v>
      </c>
      <c r="D54" s="5" t="s">
        <v>913</v>
      </c>
    </row>
    <row r="55" spans="1:13" ht="15.75" customHeight="1" x14ac:dyDescent="0.2">
      <c r="A55" s="5" t="s">
        <v>380</v>
      </c>
      <c r="B55" s="5" t="s">
        <v>407</v>
      </c>
      <c r="C55" s="5" t="s">
        <v>408</v>
      </c>
      <c r="D55" s="5" t="s">
        <v>913</v>
      </c>
    </row>
    <row r="56" spans="1:13" ht="15.75" customHeight="1" x14ac:dyDescent="0.2">
      <c r="A56" s="5" t="s">
        <v>380</v>
      </c>
      <c r="B56" s="5" t="s">
        <v>417</v>
      </c>
      <c r="C56" s="5" t="s">
        <v>418</v>
      </c>
      <c r="D56" s="5" t="s">
        <v>612</v>
      </c>
      <c r="E56" s="5" t="s">
        <v>612</v>
      </c>
      <c r="F56" s="5" t="s">
        <v>1409</v>
      </c>
      <c r="G56" s="5" t="s">
        <v>1410</v>
      </c>
      <c r="H56" s="5" t="s">
        <v>612</v>
      </c>
      <c r="I56" s="5" t="s">
        <v>612</v>
      </c>
      <c r="J56" s="5" t="s">
        <v>913</v>
      </c>
      <c r="K56" s="5" t="s">
        <v>913</v>
      </c>
    </row>
    <row r="57" spans="1:13" ht="15.75" customHeight="1" x14ac:dyDescent="0.2">
      <c r="A57" s="5" t="s">
        <v>426</v>
      </c>
      <c r="B57" s="5" t="s">
        <v>427</v>
      </c>
      <c r="C57" s="5" t="s">
        <v>428</v>
      </c>
      <c r="D57" s="5" t="s">
        <v>612</v>
      </c>
      <c r="E57" s="5" t="s">
        <v>612</v>
      </c>
      <c r="F57" s="5" t="s">
        <v>1411</v>
      </c>
      <c r="G57" s="5" t="s">
        <v>1412</v>
      </c>
      <c r="H57" s="5" t="s">
        <v>612</v>
      </c>
      <c r="I57" s="5" t="s">
        <v>612</v>
      </c>
      <c r="J57" s="5" t="s">
        <v>612</v>
      </c>
      <c r="L57" s="5" t="s">
        <v>1413</v>
      </c>
      <c r="M57" s="5" t="s">
        <v>1414</v>
      </c>
    </row>
    <row r="58" spans="1:13" ht="15.75" customHeight="1" x14ac:dyDescent="0.2">
      <c r="A58" s="5" t="s">
        <v>426</v>
      </c>
      <c r="B58" s="5" t="s">
        <v>427</v>
      </c>
      <c r="C58" s="5" t="s">
        <v>428</v>
      </c>
      <c r="D58" s="5" t="s">
        <v>612</v>
      </c>
      <c r="E58" s="5" t="s">
        <v>612</v>
      </c>
      <c r="F58" s="5" t="s">
        <v>659</v>
      </c>
      <c r="G58" s="5" t="s">
        <v>1415</v>
      </c>
      <c r="H58" s="5" t="s">
        <v>612</v>
      </c>
      <c r="I58" s="5" t="s">
        <v>612</v>
      </c>
      <c r="J58" s="5" t="s">
        <v>612</v>
      </c>
      <c r="L58" s="5" t="s">
        <v>1416</v>
      </c>
    </row>
    <row r="59" spans="1:13" ht="15.75" customHeight="1" x14ac:dyDescent="0.2">
      <c r="A59" s="5" t="s">
        <v>426</v>
      </c>
      <c r="B59" s="5" t="s">
        <v>435</v>
      </c>
      <c r="C59" s="5" t="s">
        <v>436</v>
      </c>
      <c r="D59" s="5" t="s">
        <v>612</v>
      </c>
      <c r="E59" s="5" t="s">
        <v>612</v>
      </c>
      <c r="F59" s="5" t="s">
        <v>1417</v>
      </c>
      <c r="G59" s="5" t="s">
        <v>1418</v>
      </c>
      <c r="H59" s="5" t="s">
        <v>612</v>
      </c>
      <c r="I59" s="5" t="s">
        <v>612</v>
      </c>
      <c r="J59" s="5" t="s">
        <v>612</v>
      </c>
      <c r="L59" s="5" t="s">
        <v>624</v>
      </c>
    </row>
    <row r="60" spans="1:13" ht="15.75" customHeight="1" x14ac:dyDescent="0.2">
      <c r="A60" s="5" t="s">
        <v>426</v>
      </c>
      <c r="B60" s="5" t="s">
        <v>435</v>
      </c>
      <c r="C60" s="5" t="s">
        <v>436</v>
      </c>
      <c r="D60" s="5" t="s">
        <v>612</v>
      </c>
      <c r="E60" s="5" t="s">
        <v>612</v>
      </c>
      <c r="F60" s="5" t="s">
        <v>1419</v>
      </c>
      <c r="G60" s="5" t="s">
        <v>1420</v>
      </c>
      <c r="H60" s="5" t="s">
        <v>612</v>
      </c>
      <c r="I60" s="5" t="s">
        <v>612</v>
      </c>
      <c r="J60" s="5" t="s">
        <v>612</v>
      </c>
      <c r="L60" s="5" t="s">
        <v>632</v>
      </c>
    </row>
    <row r="61" spans="1:13" ht="15.75" customHeight="1" x14ac:dyDescent="0.2">
      <c r="A61" s="5" t="s">
        <v>426</v>
      </c>
      <c r="B61" s="5" t="s">
        <v>435</v>
      </c>
      <c r="C61" s="5" t="s">
        <v>436</v>
      </c>
      <c r="D61" s="5" t="s">
        <v>612</v>
      </c>
      <c r="E61" s="5" t="s">
        <v>612</v>
      </c>
      <c r="F61" s="5" t="s">
        <v>1421</v>
      </c>
      <c r="G61" s="5" t="s">
        <v>1422</v>
      </c>
      <c r="H61" s="5" t="s">
        <v>612</v>
      </c>
      <c r="I61" s="5" t="s">
        <v>612</v>
      </c>
      <c r="J61" s="5" t="s">
        <v>612</v>
      </c>
      <c r="L61" s="5" t="s">
        <v>632</v>
      </c>
    </row>
    <row r="62" spans="1:13" ht="15.75" customHeight="1" x14ac:dyDescent="0.2">
      <c r="A62" s="5" t="s">
        <v>426</v>
      </c>
      <c r="B62" s="5" t="s">
        <v>435</v>
      </c>
      <c r="C62" s="5" t="s">
        <v>436</v>
      </c>
      <c r="D62" s="5" t="s">
        <v>612</v>
      </c>
      <c r="E62" s="5" t="s">
        <v>612</v>
      </c>
      <c r="F62" s="5" t="s">
        <v>1417</v>
      </c>
      <c r="G62" s="5" t="s">
        <v>1418</v>
      </c>
      <c r="H62" s="5" t="s">
        <v>612</v>
      </c>
      <c r="I62" s="5" t="s">
        <v>612</v>
      </c>
      <c r="J62" s="5" t="s">
        <v>612</v>
      </c>
      <c r="L62" s="5" t="s">
        <v>624</v>
      </c>
    </row>
    <row r="63" spans="1:13" ht="15.75" customHeight="1" x14ac:dyDescent="0.2">
      <c r="A63" s="5" t="s">
        <v>426</v>
      </c>
      <c r="B63" s="5" t="s">
        <v>435</v>
      </c>
      <c r="C63" s="5" t="s">
        <v>436</v>
      </c>
      <c r="D63" s="5" t="s">
        <v>612</v>
      </c>
      <c r="E63" s="5" t="s">
        <v>612</v>
      </c>
      <c r="F63" s="5" t="s">
        <v>1419</v>
      </c>
      <c r="G63" s="5" t="s">
        <v>1420</v>
      </c>
      <c r="H63" s="5" t="s">
        <v>612</v>
      </c>
      <c r="I63" s="5" t="s">
        <v>612</v>
      </c>
      <c r="J63" s="5" t="s">
        <v>612</v>
      </c>
      <c r="L63" s="5" t="s">
        <v>632</v>
      </c>
    </row>
    <row r="64" spans="1:13" ht="15.75" customHeight="1" x14ac:dyDescent="0.2">
      <c r="A64" s="5" t="s">
        <v>426</v>
      </c>
      <c r="B64" s="5" t="s">
        <v>435</v>
      </c>
      <c r="C64" s="5" t="s">
        <v>436</v>
      </c>
      <c r="D64" s="5" t="s">
        <v>612</v>
      </c>
      <c r="E64" s="5" t="s">
        <v>612</v>
      </c>
      <c r="F64" s="5" t="s">
        <v>1421</v>
      </c>
      <c r="G64" s="5" t="s">
        <v>1422</v>
      </c>
      <c r="H64" s="5" t="s">
        <v>612</v>
      </c>
      <c r="I64" s="5" t="s">
        <v>612</v>
      </c>
      <c r="J64" s="5" t="s">
        <v>612</v>
      </c>
      <c r="L64" s="5" t="s">
        <v>632</v>
      </c>
    </row>
    <row r="65" spans="1:13" ht="15.75" customHeight="1" x14ac:dyDescent="0.2">
      <c r="A65" s="5" t="s">
        <v>426</v>
      </c>
      <c r="B65" s="5" t="s">
        <v>444</v>
      </c>
      <c r="C65" s="5" t="s">
        <v>445</v>
      </c>
      <c r="D65" s="5" t="s">
        <v>612</v>
      </c>
      <c r="E65" s="5" t="s">
        <v>612</v>
      </c>
      <c r="F65" s="5" t="s">
        <v>659</v>
      </c>
      <c r="G65" s="5" t="s">
        <v>1423</v>
      </c>
      <c r="H65" s="5" t="s">
        <v>612</v>
      </c>
      <c r="I65" s="5" t="s">
        <v>612</v>
      </c>
      <c r="J65" s="5" t="s">
        <v>612</v>
      </c>
      <c r="L65" s="5" t="s">
        <v>632</v>
      </c>
    </row>
    <row r="66" spans="1:13" ht="15.75" customHeight="1" x14ac:dyDescent="0.2">
      <c r="A66" s="5" t="s">
        <v>426</v>
      </c>
      <c r="B66" s="5" t="s">
        <v>452</v>
      </c>
      <c r="C66" s="5" t="s">
        <v>453</v>
      </c>
      <c r="D66" s="5" t="s">
        <v>612</v>
      </c>
      <c r="E66" s="5" t="s">
        <v>612</v>
      </c>
      <c r="F66" s="5" t="s">
        <v>1288</v>
      </c>
      <c r="G66" s="5" t="s">
        <v>1424</v>
      </c>
      <c r="H66" s="5" t="s">
        <v>612</v>
      </c>
      <c r="I66" s="5" t="s">
        <v>913</v>
      </c>
    </row>
    <row r="67" spans="1:13" ht="15.75" customHeight="1" x14ac:dyDescent="0.2">
      <c r="A67" s="5" t="s">
        <v>426</v>
      </c>
      <c r="B67" s="5" t="s">
        <v>460</v>
      </c>
      <c r="C67" s="5" t="s">
        <v>461</v>
      </c>
      <c r="D67" s="5" t="s">
        <v>913</v>
      </c>
    </row>
    <row r="68" spans="1:13" ht="15.75" customHeight="1" x14ac:dyDescent="0.2">
      <c r="A68" s="5" t="s">
        <v>426</v>
      </c>
      <c r="B68" s="5" t="s">
        <v>468</v>
      </c>
      <c r="C68" s="5" t="s">
        <v>469</v>
      </c>
      <c r="D68" s="5" t="s">
        <v>612</v>
      </c>
      <c r="E68" s="5" t="s">
        <v>612</v>
      </c>
      <c r="F68" s="5" t="s">
        <v>1425</v>
      </c>
      <c r="G68" s="5" t="s">
        <v>1426</v>
      </c>
      <c r="H68" s="5" t="s">
        <v>612</v>
      </c>
      <c r="I68" s="5" t="s">
        <v>612</v>
      </c>
      <c r="J68" s="5" t="s">
        <v>612</v>
      </c>
      <c r="L68" s="5" t="s">
        <v>693</v>
      </c>
    </row>
    <row r="69" spans="1:13" ht="15.75" customHeight="1" x14ac:dyDescent="0.2">
      <c r="A69" s="5" t="s">
        <v>426</v>
      </c>
      <c r="B69" s="5" t="s">
        <v>476</v>
      </c>
      <c r="C69" s="5" t="s">
        <v>477</v>
      </c>
      <c r="D69" s="5" t="s">
        <v>612</v>
      </c>
      <c r="E69" s="5" t="s">
        <v>612</v>
      </c>
      <c r="F69" s="5" t="s">
        <v>1061</v>
      </c>
      <c r="G69" s="5" t="s">
        <v>1427</v>
      </c>
      <c r="H69" s="5" t="s">
        <v>612</v>
      </c>
      <c r="I69" s="5" t="s">
        <v>612</v>
      </c>
      <c r="J69" s="5" t="s">
        <v>612</v>
      </c>
      <c r="L69" s="5" t="s">
        <v>717</v>
      </c>
    </row>
    <row r="70" spans="1:13" ht="15.75" customHeight="1" x14ac:dyDescent="0.2">
      <c r="A70" s="5" t="s">
        <v>426</v>
      </c>
      <c r="B70" s="5" t="s">
        <v>476</v>
      </c>
      <c r="C70" s="5" t="s">
        <v>477</v>
      </c>
      <c r="D70" s="5" t="s">
        <v>612</v>
      </c>
      <c r="E70" s="5" t="s">
        <v>612</v>
      </c>
      <c r="F70" s="5" t="s">
        <v>1061</v>
      </c>
      <c r="G70" s="5" t="s">
        <v>1427</v>
      </c>
      <c r="H70" s="5" t="s">
        <v>612</v>
      </c>
      <c r="I70" s="5" t="s">
        <v>612</v>
      </c>
      <c r="J70" s="5" t="s">
        <v>612</v>
      </c>
      <c r="L70" s="5" t="s">
        <v>717</v>
      </c>
    </row>
    <row r="71" spans="1:13" ht="15.75" customHeight="1" x14ac:dyDescent="0.2">
      <c r="A71" s="5" t="s">
        <v>485</v>
      </c>
      <c r="B71" s="5" t="s">
        <v>486</v>
      </c>
      <c r="C71" s="5" t="s">
        <v>487</v>
      </c>
      <c r="D71" s="5" t="s">
        <v>913</v>
      </c>
    </row>
    <row r="72" spans="1:13" ht="15.75" customHeight="1" x14ac:dyDescent="0.2">
      <c r="A72" s="5" t="s">
        <v>485</v>
      </c>
      <c r="B72" s="5" t="s">
        <v>494</v>
      </c>
      <c r="C72" s="5" t="s">
        <v>495</v>
      </c>
      <c r="D72" s="5" t="s">
        <v>612</v>
      </c>
      <c r="E72" s="5" t="s">
        <v>612</v>
      </c>
      <c r="F72" s="5" t="s">
        <v>1428</v>
      </c>
      <c r="G72" s="5" t="s">
        <v>1429</v>
      </c>
      <c r="H72" s="5" t="s">
        <v>612</v>
      </c>
      <c r="I72" s="5" t="s">
        <v>612</v>
      </c>
      <c r="J72" s="5" t="s">
        <v>913</v>
      </c>
      <c r="K72" s="5" t="s">
        <v>913</v>
      </c>
    </row>
    <row r="73" spans="1:13" ht="15.75" customHeight="1" x14ac:dyDescent="0.2">
      <c r="A73" s="5" t="s">
        <v>485</v>
      </c>
      <c r="B73" s="5" t="s">
        <v>503</v>
      </c>
      <c r="C73" s="5" t="s">
        <v>504</v>
      </c>
      <c r="D73" s="5" t="s">
        <v>612</v>
      </c>
      <c r="E73" s="5" t="s">
        <v>612</v>
      </c>
      <c r="F73" s="5" t="s">
        <v>1430</v>
      </c>
      <c r="G73" s="5" t="s">
        <v>1431</v>
      </c>
      <c r="H73" s="5" t="s">
        <v>612</v>
      </c>
      <c r="I73" s="5" t="s">
        <v>612</v>
      </c>
      <c r="J73" s="5" t="s">
        <v>913</v>
      </c>
      <c r="K73" s="5" t="s">
        <v>913</v>
      </c>
      <c r="M73" s="5" t="s">
        <v>1432</v>
      </c>
    </row>
    <row r="74" spans="1:13" ht="15.75" customHeight="1" x14ac:dyDescent="0.2">
      <c r="A74" s="5" t="s">
        <v>485</v>
      </c>
      <c r="B74" s="5" t="s">
        <v>503</v>
      </c>
      <c r="C74" s="5" t="s">
        <v>504</v>
      </c>
      <c r="D74" s="5" t="s">
        <v>612</v>
      </c>
      <c r="E74" s="5" t="s">
        <v>612</v>
      </c>
      <c r="F74" s="5" t="s">
        <v>1433</v>
      </c>
      <c r="G74" s="5" t="s">
        <v>1434</v>
      </c>
      <c r="H74" s="5" t="s">
        <v>612</v>
      </c>
      <c r="I74" s="5" t="s">
        <v>612</v>
      </c>
      <c r="J74" s="5" t="s">
        <v>913</v>
      </c>
      <c r="K74" s="5" t="s">
        <v>913</v>
      </c>
    </row>
    <row r="75" spans="1:13" ht="15.75" customHeight="1" x14ac:dyDescent="0.2">
      <c r="A75" s="5" t="s">
        <v>485</v>
      </c>
      <c r="B75" s="5" t="s">
        <v>503</v>
      </c>
      <c r="C75" s="5" t="s">
        <v>504</v>
      </c>
      <c r="D75" s="5" t="s">
        <v>612</v>
      </c>
      <c r="E75" s="5" t="s">
        <v>612</v>
      </c>
      <c r="F75" s="5" t="s">
        <v>1433</v>
      </c>
      <c r="G75" s="5" t="s">
        <v>1435</v>
      </c>
      <c r="H75" s="5" t="s">
        <v>612</v>
      </c>
      <c r="I75" s="5" t="s">
        <v>612</v>
      </c>
      <c r="J75" s="5" t="s">
        <v>913</v>
      </c>
      <c r="K75" s="5" t="s">
        <v>913</v>
      </c>
    </row>
    <row r="76" spans="1:13" ht="15.75" customHeight="1" x14ac:dyDescent="0.2">
      <c r="A76" s="5" t="s">
        <v>485</v>
      </c>
      <c r="B76" s="5" t="s">
        <v>503</v>
      </c>
      <c r="C76" s="5" t="s">
        <v>504</v>
      </c>
      <c r="D76" s="5" t="s">
        <v>612</v>
      </c>
      <c r="E76" s="5" t="s">
        <v>612</v>
      </c>
      <c r="F76" s="5" t="s">
        <v>1363</v>
      </c>
      <c r="G76" s="5" t="s">
        <v>1436</v>
      </c>
      <c r="H76" s="5" t="s">
        <v>612</v>
      </c>
      <c r="I76" s="5" t="s">
        <v>612</v>
      </c>
      <c r="J76" s="5" t="s">
        <v>612</v>
      </c>
      <c r="L76" s="5" t="s">
        <v>618</v>
      </c>
    </row>
    <row r="77" spans="1:13" ht="15.75" customHeight="1" x14ac:dyDescent="0.2">
      <c r="A77" s="5" t="s">
        <v>485</v>
      </c>
      <c r="B77" s="5" t="s">
        <v>511</v>
      </c>
      <c r="C77" s="5" t="s">
        <v>512</v>
      </c>
      <c r="D77" s="5" t="s">
        <v>913</v>
      </c>
    </row>
    <row r="78" spans="1:13" ht="15.75" customHeight="1" x14ac:dyDescent="0.2">
      <c r="A78" s="5" t="s">
        <v>485</v>
      </c>
      <c r="B78" s="5" t="s">
        <v>519</v>
      </c>
      <c r="C78" s="5" t="s">
        <v>520</v>
      </c>
      <c r="D78" s="5" t="s">
        <v>612</v>
      </c>
      <c r="E78" s="5" t="s">
        <v>612</v>
      </c>
      <c r="F78" s="5" t="s">
        <v>1437</v>
      </c>
      <c r="G78" s="5" t="s">
        <v>1438</v>
      </c>
      <c r="H78" s="5" t="s">
        <v>612</v>
      </c>
      <c r="I78" s="5" t="s">
        <v>612</v>
      </c>
      <c r="J78" s="5" t="s">
        <v>612</v>
      </c>
    </row>
    <row r="79" spans="1:13" ht="15.75" customHeight="1" x14ac:dyDescent="0.2">
      <c r="A79" s="5" t="s">
        <v>485</v>
      </c>
      <c r="B79" s="5" t="s">
        <v>519</v>
      </c>
      <c r="C79" s="5" t="s">
        <v>520</v>
      </c>
      <c r="D79" s="5" t="s">
        <v>612</v>
      </c>
      <c r="E79" s="5" t="s">
        <v>612</v>
      </c>
      <c r="F79" s="5" t="s">
        <v>1437</v>
      </c>
      <c r="G79" s="5" t="s">
        <v>1438</v>
      </c>
      <c r="H79" s="5" t="s">
        <v>612</v>
      </c>
      <c r="I79" s="5" t="s">
        <v>612</v>
      </c>
      <c r="J79" s="5" t="s">
        <v>612</v>
      </c>
    </row>
    <row r="80" spans="1:13" ht="15.75" customHeight="1" x14ac:dyDescent="0.2">
      <c r="A80" s="5" t="s">
        <v>485</v>
      </c>
      <c r="B80" s="5" t="s">
        <v>527</v>
      </c>
      <c r="C80" s="5" t="s">
        <v>528</v>
      </c>
      <c r="D80" s="5" t="s">
        <v>612</v>
      </c>
      <c r="E80" s="5" t="s">
        <v>612</v>
      </c>
      <c r="F80" s="5" t="s">
        <v>1061</v>
      </c>
      <c r="G80" s="5" t="s">
        <v>1439</v>
      </c>
      <c r="H80" s="5" t="s">
        <v>612</v>
      </c>
      <c r="I80" s="5" t="s">
        <v>612</v>
      </c>
      <c r="K80" s="5" t="s">
        <v>612</v>
      </c>
      <c r="L80" s="5" t="s">
        <v>941</v>
      </c>
    </row>
    <row r="81" spans="1:13" ht="15.75" customHeight="1" x14ac:dyDescent="0.2">
      <c r="A81" s="5" t="s">
        <v>485</v>
      </c>
      <c r="B81" s="5" t="s">
        <v>527</v>
      </c>
      <c r="C81" s="5" t="s">
        <v>528</v>
      </c>
      <c r="D81" s="5" t="s">
        <v>612</v>
      </c>
      <c r="E81" s="5" t="s">
        <v>612</v>
      </c>
      <c r="F81" s="5" t="s">
        <v>1323</v>
      </c>
      <c r="G81" s="5" t="s">
        <v>1440</v>
      </c>
      <c r="H81" s="5" t="s">
        <v>612</v>
      </c>
      <c r="I81" s="5" t="s">
        <v>612</v>
      </c>
      <c r="J81" s="5" t="s">
        <v>612</v>
      </c>
    </row>
    <row r="82" spans="1:13" ht="15.75" customHeight="1" x14ac:dyDescent="0.2">
      <c r="A82" s="5" t="s">
        <v>485</v>
      </c>
      <c r="B82" s="5" t="s">
        <v>537</v>
      </c>
      <c r="C82" s="5" t="s">
        <v>538</v>
      </c>
      <c r="D82" s="5" t="s">
        <v>612</v>
      </c>
      <c r="E82" s="5" t="s">
        <v>612</v>
      </c>
      <c r="F82" s="5" t="s">
        <v>872</v>
      </c>
      <c r="G82" s="5" t="s">
        <v>1441</v>
      </c>
      <c r="H82" s="5" t="s">
        <v>612</v>
      </c>
      <c r="I82" s="5" t="s">
        <v>612</v>
      </c>
      <c r="J82" s="5" t="s">
        <v>913</v>
      </c>
      <c r="K82" s="5" t="s">
        <v>913</v>
      </c>
      <c r="M82" s="5" t="s">
        <v>1442</v>
      </c>
    </row>
    <row r="83" spans="1:13" ht="15.75" customHeight="1" x14ac:dyDescent="0.2">
      <c r="A83" s="5" t="s">
        <v>485</v>
      </c>
      <c r="B83" s="5" t="s">
        <v>546</v>
      </c>
      <c r="C83" s="5" t="s">
        <v>547</v>
      </c>
      <c r="D83" s="5" t="s">
        <v>913</v>
      </c>
    </row>
    <row r="84" spans="1:13" ht="15.75" customHeight="1" x14ac:dyDescent="0.2">
      <c r="A84" t="s">
        <v>70</v>
      </c>
      <c r="B84" t="s">
        <v>555</v>
      </c>
      <c r="C84" t="s">
        <v>556</v>
      </c>
      <c r="D84" t="s">
        <v>612</v>
      </c>
      <c r="E84" t="s">
        <v>612</v>
      </c>
      <c r="F84" t="s">
        <v>1320</v>
      </c>
      <c r="G84" t="s">
        <v>1443</v>
      </c>
      <c r="H84" t="s">
        <v>612</v>
      </c>
      <c r="I84" t="s">
        <v>612</v>
      </c>
      <c r="J84" t="s">
        <v>612</v>
      </c>
      <c r="L84" t="s">
        <v>621</v>
      </c>
      <c r="M84" t="s">
        <v>1444</v>
      </c>
    </row>
    <row r="85" spans="1:13" ht="15.75" customHeight="1" x14ac:dyDescent="0.2">
      <c r="A85" t="s">
        <v>276</v>
      </c>
      <c r="B85" t="s">
        <v>562</v>
      </c>
      <c r="C85" t="s">
        <v>563</v>
      </c>
      <c r="D85" t="s">
        <v>913</v>
      </c>
    </row>
    <row r="86" spans="1:13" ht="15.75" customHeight="1" x14ac:dyDescent="0.2">
      <c r="A86" t="s">
        <v>276</v>
      </c>
      <c r="B86" t="s">
        <v>568</v>
      </c>
      <c r="C86" t="s">
        <v>569</v>
      </c>
      <c r="D86" t="s">
        <v>612</v>
      </c>
      <c r="E86" t="s">
        <v>612</v>
      </c>
      <c r="F86" t="s">
        <v>1331</v>
      </c>
      <c r="G86" t="s">
        <v>1445</v>
      </c>
      <c r="H86" t="s">
        <v>612</v>
      </c>
      <c r="I86" t="s">
        <v>612</v>
      </c>
      <c r="J86" t="s">
        <v>913</v>
      </c>
      <c r="K86" t="s">
        <v>913</v>
      </c>
      <c r="M86" t="s">
        <v>1446</v>
      </c>
    </row>
    <row r="87" spans="1:13" ht="15.75" customHeight="1" x14ac:dyDescent="0.2">
      <c r="A87" t="s">
        <v>276</v>
      </c>
      <c r="B87" t="s">
        <v>574</v>
      </c>
      <c r="C87" t="s">
        <v>575</v>
      </c>
      <c r="D87" t="s">
        <v>913</v>
      </c>
    </row>
    <row r="88" spans="1:13" ht="15.75" customHeight="1" x14ac:dyDescent="0.2"/>
    <row r="89" spans="1:13" ht="15.75" customHeight="1" x14ac:dyDescent="0.2"/>
    <row r="90" spans="1:13" ht="15.75" customHeight="1" x14ac:dyDescent="0.2"/>
    <row r="91" spans="1:13" ht="15.75" customHeight="1" x14ac:dyDescent="0.2"/>
    <row r="92" spans="1:13" ht="15.75" customHeight="1" x14ac:dyDescent="0.2"/>
    <row r="93" spans="1:13" ht="15.75" customHeight="1" x14ac:dyDescent="0.2"/>
    <row r="94" spans="1:13" ht="15.75" customHeight="1" x14ac:dyDescent="0.2"/>
    <row r="95" spans="1:13" ht="15.75" customHeight="1" x14ac:dyDescent="0.2"/>
    <row r="96" spans="1:13"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0"/>
  <sheetViews>
    <sheetView workbookViewId="0"/>
  </sheetViews>
  <sheetFormatPr baseColWidth="10" defaultColWidth="14.5" defaultRowHeight="15" customHeight="1" x14ac:dyDescent="0.2"/>
  <cols>
    <col min="1" max="26" width="8.6640625" customWidth="1"/>
  </cols>
  <sheetData>
    <row r="1" spans="1:12" x14ac:dyDescent="0.2">
      <c r="A1" s="1" t="s">
        <v>0</v>
      </c>
      <c r="B1" s="1" t="s">
        <v>1</v>
      </c>
      <c r="C1" s="1" t="s">
        <v>2</v>
      </c>
      <c r="D1" s="1" t="s">
        <v>1447</v>
      </c>
      <c r="E1" s="1" t="s">
        <v>1448</v>
      </c>
      <c r="F1" s="1" t="s">
        <v>1185</v>
      </c>
      <c r="G1" s="1" t="s">
        <v>1449</v>
      </c>
      <c r="H1" s="1" t="s">
        <v>1187</v>
      </c>
      <c r="I1" s="1" t="s">
        <v>1218</v>
      </c>
      <c r="J1" s="1" t="s">
        <v>1450</v>
      </c>
      <c r="K1" s="1" t="s">
        <v>1341</v>
      </c>
      <c r="L1" s="1" t="s">
        <v>16</v>
      </c>
    </row>
    <row r="2" spans="1:12" x14ac:dyDescent="0.2">
      <c r="A2" s="5" t="s">
        <v>26</v>
      </c>
      <c r="B2" s="5" t="s">
        <v>27</v>
      </c>
      <c r="C2" s="5" t="s">
        <v>28</v>
      </c>
      <c r="D2" s="5" t="s">
        <v>913</v>
      </c>
    </row>
    <row r="3" spans="1:12" x14ac:dyDescent="0.2">
      <c r="A3" s="5" t="s">
        <v>26</v>
      </c>
      <c r="B3" s="5" t="s">
        <v>40</v>
      </c>
      <c r="C3" s="5" t="s">
        <v>41</v>
      </c>
      <c r="D3" s="5" t="s">
        <v>913</v>
      </c>
    </row>
    <row r="4" spans="1:12" x14ac:dyDescent="0.2">
      <c r="A4" s="5" t="s">
        <v>26</v>
      </c>
      <c r="B4" s="5" t="s">
        <v>40</v>
      </c>
      <c r="C4" s="5" t="s">
        <v>41</v>
      </c>
      <c r="D4" s="5" t="s">
        <v>913</v>
      </c>
    </row>
    <row r="5" spans="1:12" x14ac:dyDescent="0.2">
      <c r="A5" s="5" t="s">
        <v>26</v>
      </c>
      <c r="B5" s="5" t="s">
        <v>50</v>
      </c>
      <c r="C5" s="5" t="s">
        <v>51</v>
      </c>
      <c r="D5" s="5" t="s">
        <v>913</v>
      </c>
    </row>
    <row r="6" spans="1:12" x14ac:dyDescent="0.2">
      <c r="A6" s="5" t="s">
        <v>26</v>
      </c>
      <c r="B6" s="5" t="s">
        <v>61</v>
      </c>
      <c r="C6" s="5" t="s">
        <v>62</v>
      </c>
      <c r="D6" s="5" t="s">
        <v>913</v>
      </c>
    </row>
    <row r="7" spans="1:12" x14ac:dyDescent="0.2">
      <c r="A7" s="5" t="s">
        <v>70</v>
      </c>
      <c r="B7" s="5" t="s">
        <v>71</v>
      </c>
      <c r="C7" s="5" t="s">
        <v>72</v>
      </c>
      <c r="D7" s="5" t="s">
        <v>913</v>
      </c>
    </row>
    <row r="8" spans="1:12" x14ac:dyDescent="0.2">
      <c r="A8" s="5" t="s">
        <v>70</v>
      </c>
      <c r="B8" s="5" t="s">
        <v>82</v>
      </c>
      <c r="C8" s="5" t="s">
        <v>83</v>
      </c>
      <c r="D8" s="5" t="s">
        <v>612</v>
      </c>
      <c r="E8" s="5" t="s">
        <v>612</v>
      </c>
      <c r="F8" s="5" t="s">
        <v>1253</v>
      </c>
      <c r="G8" s="5" t="s">
        <v>1451</v>
      </c>
      <c r="H8" s="5" t="s">
        <v>612</v>
      </c>
      <c r="I8" s="5" t="s">
        <v>612</v>
      </c>
      <c r="J8" s="5" t="s">
        <v>1452</v>
      </c>
      <c r="K8" s="5" t="s">
        <v>624</v>
      </c>
      <c r="L8" s="5" t="s">
        <v>1453</v>
      </c>
    </row>
    <row r="9" spans="1:12" x14ac:dyDescent="0.2">
      <c r="A9" s="5" t="s">
        <v>70</v>
      </c>
      <c r="B9" s="5" t="s">
        <v>93</v>
      </c>
      <c r="C9" s="5" t="s">
        <v>94</v>
      </c>
      <c r="D9" s="5" t="s">
        <v>913</v>
      </c>
    </row>
    <row r="10" spans="1:12" x14ac:dyDescent="0.2">
      <c r="A10" s="5" t="s">
        <v>70</v>
      </c>
      <c r="B10" s="5" t="s">
        <v>102</v>
      </c>
      <c r="C10" s="5" t="s">
        <v>103</v>
      </c>
      <c r="D10" s="5" t="s">
        <v>913</v>
      </c>
    </row>
    <row r="11" spans="1:12" x14ac:dyDescent="0.2">
      <c r="A11" s="5" t="s">
        <v>70</v>
      </c>
      <c r="B11" s="5" t="s">
        <v>112</v>
      </c>
      <c r="C11" s="5" t="s">
        <v>113</v>
      </c>
      <c r="D11" s="5" t="s">
        <v>913</v>
      </c>
    </row>
    <row r="12" spans="1:12" x14ac:dyDescent="0.2">
      <c r="A12" s="5" t="s">
        <v>70</v>
      </c>
      <c r="B12" s="5" t="s">
        <v>123</v>
      </c>
      <c r="C12" s="5" t="s">
        <v>124</v>
      </c>
      <c r="D12" s="5" t="s">
        <v>913</v>
      </c>
    </row>
    <row r="13" spans="1:12" x14ac:dyDescent="0.2">
      <c r="A13" s="5" t="s">
        <v>70</v>
      </c>
      <c r="B13" s="5" t="s">
        <v>134</v>
      </c>
      <c r="C13" s="5" t="s">
        <v>135</v>
      </c>
      <c r="D13" s="5" t="s">
        <v>913</v>
      </c>
    </row>
    <row r="14" spans="1:12" x14ac:dyDescent="0.2">
      <c r="A14" s="5" t="s">
        <v>70</v>
      </c>
      <c r="B14" s="5" t="s">
        <v>144</v>
      </c>
      <c r="C14" s="5" t="s">
        <v>145</v>
      </c>
      <c r="D14" s="5" t="s">
        <v>913</v>
      </c>
    </row>
    <row r="15" spans="1:12" x14ac:dyDescent="0.2">
      <c r="A15" s="5" t="s">
        <v>70</v>
      </c>
      <c r="B15" s="5" t="s">
        <v>154</v>
      </c>
      <c r="C15" s="5" t="s">
        <v>155</v>
      </c>
      <c r="D15" s="5" t="s">
        <v>913</v>
      </c>
    </row>
    <row r="16" spans="1:12" x14ac:dyDescent="0.2">
      <c r="A16" s="5" t="s">
        <v>70</v>
      </c>
      <c r="B16" s="5" t="s">
        <v>165</v>
      </c>
      <c r="C16" s="5" t="s">
        <v>166</v>
      </c>
      <c r="D16" s="5" t="s">
        <v>913</v>
      </c>
    </row>
    <row r="17" spans="1:11" x14ac:dyDescent="0.2">
      <c r="A17" s="5" t="s">
        <v>70</v>
      </c>
      <c r="B17" s="5" t="s">
        <v>176</v>
      </c>
      <c r="C17" s="5" t="s">
        <v>177</v>
      </c>
      <c r="D17" s="5" t="s">
        <v>913</v>
      </c>
    </row>
    <row r="18" spans="1:11" x14ac:dyDescent="0.2">
      <c r="A18" s="5" t="s">
        <v>70</v>
      </c>
      <c r="B18" s="5" t="s">
        <v>184</v>
      </c>
      <c r="C18" s="5" t="s">
        <v>185</v>
      </c>
      <c r="D18" s="5" t="s">
        <v>913</v>
      </c>
    </row>
    <row r="19" spans="1:11" x14ac:dyDescent="0.2">
      <c r="A19" s="5" t="s">
        <v>70</v>
      </c>
      <c r="B19" s="5" t="s">
        <v>193</v>
      </c>
      <c r="C19" s="5" t="s">
        <v>194</v>
      </c>
      <c r="D19" s="5" t="s">
        <v>913</v>
      </c>
      <c r="E19" s="5" t="s">
        <v>612</v>
      </c>
    </row>
    <row r="20" spans="1:11" x14ac:dyDescent="0.2">
      <c r="A20" s="5" t="s">
        <v>70</v>
      </c>
      <c r="B20" s="5" t="s">
        <v>200</v>
      </c>
      <c r="C20" s="5" t="s">
        <v>201</v>
      </c>
      <c r="D20" s="5" t="s">
        <v>612</v>
      </c>
      <c r="E20" s="5" t="s">
        <v>612</v>
      </c>
      <c r="F20" s="5" t="s">
        <v>1454</v>
      </c>
      <c r="G20" s="5" t="s">
        <v>1455</v>
      </c>
      <c r="H20" s="5" t="s">
        <v>612</v>
      </c>
      <c r="I20" s="5" t="s">
        <v>612</v>
      </c>
      <c r="K20" s="5" t="s">
        <v>1456</v>
      </c>
    </row>
    <row r="21" spans="1:11" ht="15.75" customHeight="1" x14ac:dyDescent="0.2">
      <c r="A21" s="5" t="s">
        <v>70</v>
      </c>
      <c r="B21" s="5" t="s">
        <v>211</v>
      </c>
      <c r="C21" s="5" t="s">
        <v>212</v>
      </c>
      <c r="D21" s="5" t="s">
        <v>913</v>
      </c>
    </row>
    <row r="22" spans="1:11" ht="15.75" customHeight="1" x14ac:dyDescent="0.2">
      <c r="A22" s="5" t="s">
        <v>70</v>
      </c>
      <c r="B22" s="5" t="s">
        <v>221</v>
      </c>
      <c r="C22" s="5" t="s">
        <v>222</v>
      </c>
      <c r="D22" s="5" t="s">
        <v>913</v>
      </c>
    </row>
    <row r="23" spans="1:11" ht="15.75" customHeight="1" x14ac:dyDescent="0.2">
      <c r="A23" s="5" t="s">
        <v>70</v>
      </c>
      <c r="B23" s="5" t="s">
        <v>229</v>
      </c>
      <c r="C23" s="5" t="s">
        <v>230</v>
      </c>
      <c r="D23" s="5" t="s">
        <v>913</v>
      </c>
    </row>
    <row r="24" spans="1:11" ht="15.75" customHeight="1" x14ac:dyDescent="0.2">
      <c r="A24" s="5" t="s">
        <v>70</v>
      </c>
      <c r="B24" s="5" t="s">
        <v>238</v>
      </c>
      <c r="C24" s="5" t="s">
        <v>239</v>
      </c>
      <c r="D24" s="5" t="s">
        <v>913</v>
      </c>
    </row>
    <row r="25" spans="1:11" ht="15.75" customHeight="1" x14ac:dyDescent="0.2">
      <c r="A25" s="5" t="s">
        <v>70</v>
      </c>
      <c r="B25" s="5" t="s">
        <v>247</v>
      </c>
      <c r="C25" s="5" t="s">
        <v>248</v>
      </c>
      <c r="D25" s="5" t="s">
        <v>913</v>
      </c>
    </row>
    <row r="26" spans="1:11" ht="15.75" customHeight="1" x14ac:dyDescent="0.2">
      <c r="A26" s="5" t="s">
        <v>70</v>
      </c>
      <c r="B26" s="5" t="s">
        <v>257</v>
      </c>
      <c r="C26" s="5" t="s">
        <v>258</v>
      </c>
      <c r="D26" s="5" t="s">
        <v>913</v>
      </c>
    </row>
    <row r="27" spans="1:11" ht="15.75" customHeight="1" x14ac:dyDescent="0.2">
      <c r="A27" s="5" t="s">
        <v>70</v>
      </c>
      <c r="B27" s="5" t="s">
        <v>268</v>
      </c>
      <c r="C27" s="5" t="s">
        <v>269</v>
      </c>
      <c r="D27" s="5" t="s">
        <v>913</v>
      </c>
    </row>
    <row r="28" spans="1:11" ht="15.75" customHeight="1" x14ac:dyDescent="0.2">
      <c r="A28" s="5" t="s">
        <v>276</v>
      </c>
      <c r="B28" s="5" t="s">
        <v>277</v>
      </c>
      <c r="C28" s="5" t="s">
        <v>278</v>
      </c>
      <c r="D28" s="5" t="s">
        <v>913</v>
      </c>
    </row>
    <row r="29" spans="1:11" ht="15.75" customHeight="1" x14ac:dyDescent="0.2">
      <c r="A29" s="5" t="s">
        <v>276</v>
      </c>
      <c r="B29" s="5" t="s">
        <v>288</v>
      </c>
      <c r="C29" s="5" t="s">
        <v>289</v>
      </c>
      <c r="D29" s="5" t="s">
        <v>913</v>
      </c>
    </row>
    <row r="30" spans="1:11" ht="15.75" customHeight="1" x14ac:dyDescent="0.2">
      <c r="A30" s="5" t="s">
        <v>276</v>
      </c>
      <c r="B30" s="5" t="s">
        <v>296</v>
      </c>
      <c r="C30" s="5" t="s">
        <v>297</v>
      </c>
      <c r="D30" s="5" t="s">
        <v>913</v>
      </c>
    </row>
    <row r="31" spans="1:11" ht="15.75" customHeight="1" x14ac:dyDescent="0.2">
      <c r="A31" s="5" t="s">
        <v>276</v>
      </c>
      <c r="B31" s="5" t="s">
        <v>305</v>
      </c>
      <c r="C31" s="5" t="s">
        <v>306</v>
      </c>
      <c r="D31" s="5" t="s">
        <v>612</v>
      </c>
      <c r="E31" s="5" t="s">
        <v>612</v>
      </c>
      <c r="F31" s="5" t="s">
        <v>1457</v>
      </c>
      <c r="G31" s="5" t="s">
        <v>1458</v>
      </c>
      <c r="H31" s="5" t="s">
        <v>913</v>
      </c>
    </row>
    <row r="32" spans="1:11" ht="15.75" customHeight="1" x14ac:dyDescent="0.2">
      <c r="A32" s="5" t="s">
        <v>276</v>
      </c>
      <c r="B32" s="5" t="s">
        <v>316</v>
      </c>
      <c r="C32" s="5" t="s">
        <v>317</v>
      </c>
      <c r="D32" s="5" t="s">
        <v>913</v>
      </c>
    </row>
    <row r="33" spans="1:12" ht="15.75" customHeight="1" x14ac:dyDescent="0.2">
      <c r="A33" s="5" t="s">
        <v>276</v>
      </c>
      <c r="B33" s="5" t="s">
        <v>327</v>
      </c>
      <c r="C33" s="5" t="s">
        <v>328</v>
      </c>
      <c r="D33" s="5" t="s">
        <v>913</v>
      </c>
    </row>
    <row r="34" spans="1:12" ht="15.75" customHeight="1" x14ac:dyDescent="0.2">
      <c r="A34" s="5" t="s">
        <v>276</v>
      </c>
      <c r="B34" s="5" t="s">
        <v>337</v>
      </c>
      <c r="C34" s="5" t="s">
        <v>338</v>
      </c>
      <c r="D34" s="5" t="s">
        <v>913</v>
      </c>
    </row>
    <row r="35" spans="1:12" ht="15.75" customHeight="1" x14ac:dyDescent="0.2">
      <c r="A35" s="5" t="s">
        <v>276</v>
      </c>
      <c r="B35" s="5" t="s">
        <v>346</v>
      </c>
      <c r="C35" s="5" t="s">
        <v>347</v>
      </c>
      <c r="D35" s="5" t="s">
        <v>913</v>
      </c>
    </row>
    <row r="36" spans="1:12" ht="15.75" customHeight="1" x14ac:dyDescent="0.2">
      <c r="A36" s="5" t="s">
        <v>276</v>
      </c>
      <c r="B36" s="5" t="s">
        <v>355</v>
      </c>
      <c r="C36" s="5" t="s">
        <v>356</v>
      </c>
      <c r="D36" s="5" t="s">
        <v>913</v>
      </c>
    </row>
    <row r="37" spans="1:12" ht="15.75" customHeight="1" x14ac:dyDescent="0.2">
      <c r="A37" s="5" t="s">
        <v>276</v>
      </c>
      <c r="B37" s="5" t="s">
        <v>363</v>
      </c>
      <c r="C37" s="5" t="s">
        <v>364</v>
      </c>
      <c r="D37" s="5" t="s">
        <v>612</v>
      </c>
      <c r="E37" s="5" t="s">
        <v>612</v>
      </c>
      <c r="F37" s="5" t="s">
        <v>1459</v>
      </c>
      <c r="G37" s="5" t="s">
        <v>1460</v>
      </c>
      <c r="H37" s="5" t="s">
        <v>913</v>
      </c>
      <c r="L37" s="5" t="s">
        <v>1461</v>
      </c>
    </row>
    <row r="38" spans="1:12" ht="15.75" customHeight="1" x14ac:dyDescent="0.2">
      <c r="A38" s="5" t="s">
        <v>276</v>
      </c>
      <c r="B38" s="5" t="s">
        <v>372</v>
      </c>
      <c r="C38" s="5" t="s">
        <v>373</v>
      </c>
      <c r="D38" s="5" t="s">
        <v>913</v>
      </c>
    </row>
    <row r="39" spans="1:12" ht="15.75" customHeight="1" x14ac:dyDescent="0.2">
      <c r="A39" s="5" t="s">
        <v>380</v>
      </c>
      <c r="B39" s="5" t="s">
        <v>381</v>
      </c>
      <c r="C39" s="5" t="s">
        <v>382</v>
      </c>
      <c r="D39" s="5" t="s">
        <v>612</v>
      </c>
      <c r="E39" s="5" t="s">
        <v>612</v>
      </c>
      <c r="F39" s="5" t="s">
        <v>1462</v>
      </c>
      <c r="G39" s="5" t="s">
        <v>1463</v>
      </c>
      <c r="H39" s="5" t="s">
        <v>612</v>
      </c>
      <c r="I39" s="5" t="s">
        <v>913</v>
      </c>
    </row>
    <row r="40" spans="1:12" ht="15.75" customHeight="1" x14ac:dyDescent="0.2">
      <c r="A40" s="5" t="s">
        <v>380</v>
      </c>
      <c r="B40" s="5" t="s">
        <v>381</v>
      </c>
      <c r="C40" s="5" t="s">
        <v>382</v>
      </c>
      <c r="D40" s="5" t="s">
        <v>612</v>
      </c>
      <c r="E40" s="5" t="s">
        <v>612</v>
      </c>
      <c r="F40" s="5" t="s">
        <v>1464</v>
      </c>
      <c r="G40" s="5" t="s">
        <v>1465</v>
      </c>
      <c r="H40" s="5" t="s">
        <v>612</v>
      </c>
      <c r="I40" s="5" t="s">
        <v>913</v>
      </c>
    </row>
    <row r="41" spans="1:12" ht="15.75" customHeight="1" x14ac:dyDescent="0.2">
      <c r="A41" s="5" t="s">
        <v>380</v>
      </c>
      <c r="B41" s="5" t="s">
        <v>390</v>
      </c>
      <c r="C41" s="5" t="s">
        <v>391</v>
      </c>
      <c r="D41" s="5" t="s">
        <v>913</v>
      </c>
    </row>
    <row r="42" spans="1:12" ht="15.75" customHeight="1" x14ac:dyDescent="0.2">
      <c r="A42" s="5" t="s">
        <v>380</v>
      </c>
      <c r="B42" s="5" t="s">
        <v>390</v>
      </c>
      <c r="C42" s="5" t="s">
        <v>391</v>
      </c>
      <c r="D42" s="5" t="s">
        <v>913</v>
      </c>
    </row>
    <row r="43" spans="1:12" ht="15.75" customHeight="1" x14ac:dyDescent="0.2">
      <c r="A43" s="5" t="s">
        <v>380</v>
      </c>
      <c r="B43" s="5" t="s">
        <v>399</v>
      </c>
      <c r="C43" s="5" t="s">
        <v>400</v>
      </c>
      <c r="D43" s="5" t="s">
        <v>913</v>
      </c>
    </row>
    <row r="44" spans="1:12" ht="15.75" customHeight="1" x14ac:dyDescent="0.2">
      <c r="A44" s="5" t="s">
        <v>380</v>
      </c>
      <c r="B44" s="5" t="s">
        <v>407</v>
      </c>
      <c r="C44" s="5" t="s">
        <v>408</v>
      </c>
      <c r="D44" s="5" t="s">
        <v>913</v>
      </c>
    </row>
    <row r="45" spans="1:12" ht="15.75" customHeight="1" x14ac:dyDescent="0.2">
      <c r="A45" s="5" t="s">
        <v>380</v>
      </c>
      <c r="B45" s="5" t="s">
        <v>417</v>
      </c>
      <c r="C45" s="5" t="s">
        <v>418</v>
      </c>
      <c r="D45" s="5" t="s">
        <v>913</v>
      </c>
    </row>
    <row r="46" spans="1:12" ht="15.75" customHeight="1" x14ac:dyDescent="0.2">
      <c r="A46" s="5" t="s">
        <v>426</v>
      </c>
      <c r="B46" s="5" t="s">
        <v>427</v>
      </c>
      <c r="C46" s="5" t="s">
        <v>428</v>
      </c>
      <c r="D46" s="5" t="s">
        <v>612</v>
      </c>
      <c r="E46" s="5" t="s">
        <v>612</v>
      </c>
      <c r="F46" s="5" t="s">
        <v>1466</v>
      </c>
      <c r="G46" s="5" t="s">
        <v>1467</v>
      </c>
      <c r="H46" s="5" t="s">
        <v>612</v>
      </c>
      <c r="I46" s="5" t="s">
        <v>612</v>
      </c>
      <c r="J46" s="5" t="s">
        <v>1441</v>
      </c>
      <c r="K46" s="5" t="s">
        <v>1104</v>
      </c>
      <c r="L46" s="5" t="s">
        <v>1468</v>
      </c>
    </row>
    <row r="47" spans="1:12" ht="15.75" customHeight="1" x14ac:dyDescent="0.2">
      <c r="A47" s="5" t="s">
        <v>426</v>
      </c>
      <c r="B47" s="5" t="s">
        <v>435</v>
      </c>
      <c r="C47" s="5" t="s">
        <v>436</v>
      </c>
      <c r="D47" s="5" t="s">
        <v>913</v>
      </c>
    </row>
    <row r="48" spans="1:12" ht="15.75" customHeight="1" x14ac:dyDescent="0.2">
      <c r="A48" s="5" t="s">
        <v>426</v>
      </c>
      <c r="B48" s="5" t="s">
        <v>435</v>
      </c>
      <c r="C48" s="5" t="s">
        <v>436</v>
      </c>
      <c r="D48" s="5" t="s">
        <v>913</v>
      </c>
    </row>
    <row r="49" spans="1:12" ht="15.75" customHeight="1" x14ac:dyDescent="0.2">
      <c r="A49" s="5" t="s">
        <v>426</v>
      </c>
      <c r="B49" s="5" t="s">
        <v>444</v>
      </c>
      <c r="C49" s="5" t="s">
        <v>445</v>
      </c>
      <c r="D49" s="5" t="s">
        <v>913</v>
      </c>
    </row>
    <row r="50" spans="1:12" ht="15.75" customHeight="1" x14ac:dyDescent="0.2">
      <c r="A50" s="5" t="s">
        <v>426</v>
      </c>
      <c r="B50" s="5" t="s">
        <v>452</v>
      </c>
      <c r="C50" s="5" t="s">
        <v>453</v>
      </c>
      <c r="D50" s="5" t="s">
        <v>913</v>
      </c>
    </row>
    <row r="51" spans="1:12" ht="15.75" customHeight="1" x14ac:dyDescent="0.2">
      <c r="A51" s="5" t="s">
        <v>426</v>
      </c>
      <c r="B51" s="5" t="s">
        <v>460</v>
      </c>
      <c r="C51" s="5" t="s">
        <v>461</v>
      </c>
      <c r="D51" s="5" t="s">
        <v>913</v>
      </c>
    </row>
    <row r="52" spans="1:12" ht="15.75" customHeight="1" x14ac:dyDescent="0.2">
      <c r="A52" s="5" t="s">
        <v>426</v>
      </c>
      <c r="B52" s="5" t="s">
        <v>468</v>
      </c>
      <c r="C52" s="5" t="s">
        <v>469</v>
      </c>
      <c r="D52" s="5" t="s">
        <v>913</v>
      </c>
    </row>
    <row r="53" spans="1:12" ht="15.75" customHeight="1" x14ac:dyDescent="0.2">
      <c r="A53" s="5" t="s">
        <v>426</v>
      </c>
      <c r="B53" s="5" t="s">
        <v>476</v>
      </c>
      <c r="C53" s="5" t="s">
        <v>477</v>
      </c>
      <c r="D53" s="5" t="s">
        <v>612</v>
      </c>
      <c r="E53" s="5" t="s">
        <v>612</v>
      </c>
      <c r="F53" s="5" t="s">
        <v>1469</v>
      </c>
      <c r="G53" s="5" t="s">
        <v>1470</v>
      </c>
      <c r="H53" s="5" t="s">
        <v>612</v>
      </c>
      <c r="I53" s="5" t="s">
        <v>612</v>
      </c>
      <c r="J53" s="5" t="s">
        <v>1471</v>
      </c>
      <c r="K53" s="5" t="s">
        <v>624</v>
      </c>
    </row>
    <row r="54" spans="1:12" ht="15.75" customHeight="1" x14ac:dyDescent="0.2">
      <c r="A54" s="5" t="s">
        <v>426</v>
      </c>
      <c r="B54" s="5" t="s">
        <v>476</v>
      </c>
      <c r="C54" s="5" t="s">
        <v>477</v>
      </c>
      <c r="D54" s="5" t="s">
        <v>612</v>
      </c>
      <c r="E54" s="5" t="s">
        <v>612</v>
      </c>
      <c r="F54" s="5" t="s">
        <v>1469</v>
      </c>
      <c r="G54" s="5" t="s">
        <v>1470</v>
      </c>
      <c r="H54" s="5" t="s">
        <v>612</v>
      </c>
      <c r="I54" s="5" t="s">
        <v>612</v>
      </c>
      <c r="J54" s="5" t="s">
        <v>1471</v>
      </c>
      <c r="K54" s="5" t="s">
        <v>624</v>
      </c>
    </row>
    <row r="55" spans="1:12" ht="15.75" customHeight="1" x14ac:dyDescent="0.2">
      <c r="A55" s="5" t="s">
        <v>485</v>
      </c>
      <c r="B55" s="5" t="s">
        <v>486</v>
      </c>
      <c r="C55" s="5" t="s">
        <v>487</v>
      </c>
      <c r="D55" s="5" t="s">
        <v>913</v>
      </c>
    </row>
    <row r="56" spans="1:12" ht="15.75" customHeight="1" x14ac:dyDescent="0.2">
      <c r="A56" s="5" t="s">
        <v>485</v>
      </c>
      <c r="B56" s="5" t="s">
        <v>494</v>
      </c>
      <c r="C56" s="5" t="s">
        <v>495</v>
      </c>
      <c r="D56" s="5" t="s">
        <v>612</v>
      </c>
      <c r="E56" s="5" t="s">
        <v>612</v>
      </c>
      <c r="F56" s="5" t="s">
        <v>872</v>
      </c>
      <c r="G56" s="5" t="s">
        <v>1472</v>
      </c>
      <c r="H56" s="5" t="s">
        <v>612</v>
      </c>
      <c r="I56" s="5" t="s">
        <v>913</v>
      </c>
      <c r="L56" s="5" t="s">
        <v>1473</v>
      </c>
    </row>
    <row r="57" spans="1:12" ht="15.75" customHeight="1" x14ac:dyDescent="0.2">
      <c r="A57" s="5" t="s">
        <v>485</v>
      </c>
      <c r="B57" s="5" t="s">
        <v>503</v>
      </c>
      <c r="C57" s="5" t="s">
        <v>504</v>
      </c>
      <c r="D57" s="5" t="s">
        <v>913</v>
      </c>
    </row>
    <row r="58" spans="1:12" ht="15.75" customHeight="1" x14ac:dyDescent="0.2">
      <c r="A58" s="5" t="s">
        <v>485</v>
      </c>
      <c r="B58" s="5" t="s">
        <v>511</v>
      </c>
      <c r="C58" s="5" t="s">
        <v>512</v>
      </c>
      <c r="D58" s="5" t="s">
        <v>913</v>
      </c>
    </row>
    <row r="59" spans="1:12" ht="15.75" customHeight="1" x14ac:dyDescent="0.2">
      <c r="A59" s="5" t="s">
        <v>485</v>
      </c>
      <c r="B59" s="5" t="s">
        <v>519</v>
      </c>
      <c r="C59" s="5" t="s">
        <v>520</v>
      </c>
      <c r="D59" s="5" t="s">
        <v>913</v>
      </c>
    </row>
    <row r="60" spans="1:12" ht="15.75" customHeight="1" x14ac:dyDescent="0.2">
      <c r="A60" s="5" t="s">
        <v>485</v>
      </c>
      <c r="B60" s="5" t="s">
        <v>519</v>
      </c>
      <c r="C60" s="5" t="s">
        <v>520</v>
      </c>
      <c r="D60" s="5" t="s">
        <v>913</v>
      </c>
    </row>
    <row r="61" spans="1:12" ht="15.75" customHeight="1" x14ac:dyDescent="0.2">
      <c r="A61" s="5" t="s">
        <v>485</v>
      </c>
      <c r="B61" s="5" t="s">
        <v>527</v>
      </c>
      <c r="C61" s="5" t="s">
        <v>528</v>
      </c>
      <c r="D61" s="5" t="s">
        <v>913</v>
      </c>
    </row>
    <row r="62" spans="1:12" ht="15.75" customHeight="1" x14ac:dyDescent="0.2">
      <c r="A62" s="5" t="s">
        <v>485</v>
      </c>
      <c r="B62" s="5" t="s">
        <v>537</v>
      </c>
      <c r="C62" s="5" t="s">
        <v>538</v>
      </c>
      <c r="D62" s="5" t="s">
        <v>612</v>
      </c>
      <c r="E62" s="5" t="s">
        <v>612</v>
      </c>
      <c r="F62" s="5" t="s">
        <v>1474</v>
      </c>
      <c r="G62" s="5" t="s">
        <v>1475</v>
      </c>
      <c r="H62" s="5" t="s">
        <v>913</v>
      </c>
    </row>
    <row r="63" spans="1:12" ht="15.75" customHeight="1" x14ac:dyDescent="0.2">
      <c r="A63" s="5" t="s">
        <v>485</v>
      </c>
      <c r="B63" s="5" t="s">
        <v>546</v>
      </c>
      <c r="C63" s="5" t="s">
        <v>547</v>
      </c>
      <c r="D63" s="5" t="s">
        <v>913</v>
      </c>
    </row>
    <row r="64" spans="1:12" ht="15.75" customHeight="1" x14ac:dyDescent="0.2">
      <c r="A64" t="s">
        <v>70</v>
      </c>
      <c r="B64" t="s">
        <v>555</v>
      </c>
      <c r="C64" t="s">
        <v>556</v>
      </c>
      <c r="D64" t="s">
        <v>612</v>
      </c>
      <c r="E64" t="s">
        <v>612</v>
      </c>
      <c r="F64" t="s">
        <v>1476</v>
      </c>
      <c r="G64" t="s">
        <v>1477</v>
      </c>
      <c r="H64" t="s">
        <v>612</v>
      </c>
      <c r="I64" t="s">
        <v>612</v>
      </c>
      <c r="K64" t="s">
        <v>717</v>
      </c>
      <c r="L64" t="s">
        <v>1478</v>
      </c>
    </row>
    <row r="65" spans="1:12" ht="15.75" customHeight="1" x14ac:dyDescent="0.2">
      <c r="A65" t="s">
        <v>276</v>
      </c>
      <c r="B65" t="s">
        <v>562</v>
      </c>
      <c r="C65" t="s">
        <v>563</v>
      </c>
      <c r="D65" t="s">
        <v>913</v>
      </c>
    </row>
    <row r="66" spans="1:12" ht="15.75" customHeight="1" x14ac:dyDescent="0.2">
      <c r="A66" t="s">
        <v>276</v>
      </c>
      <c r="B66" t="s">
        <v>568</v>
      </c>
      <c r="C66" t="s">
        <v>569</v>
      </c>
      <c r="D66" t="s">
        <v>612</v>
      </c>
      <c r="E66" t="s">
        <v>612</v>
      </c>
      <c r="F66" t="s">
        <v>1479</v>
      </c>
      <c r="G66" t="s">
        <v>1480</v>
      </c>
      <c r="H66" t="s">
        <v>612</v>
      </c>
      <c r="I66" t="s">
        <v>612</v>
      </c>
      <c r="L66" t="s">
        <v>1446</v>
      </c>
    </row>
    <row r="67" spans="1:12" ht="15.75" customHeight="1" x14ac:dyDescent="0.2">
      <c r="A67" t="s">
        <v>276</v>
      </c>
      <c r="B67" t="s">
        <v>574</v>
      </c>
      <c r="C67" t="s">
        <v>575</v>
      </c>
      <c r="D67" t="s">
        <v>913</v>
      </c>
    </row>
    <row r="68" spans="1:12" ht="15.75" customHeight="1" x14ac:dyDescent="0.2"/>
    <row r="69" spans="1:12" ht="15.75" customHeight="1" x14ac:dyDescent="0.2"/>
    <row r="70" spans="1:12" ht="15.75" customHeight="1" x14ac:dyDescent="0.2"/>
    <row r="71" spans="1:12" ht="15.75" customHeight="1" x14ac:dyDescent="0.2"/>
    <row r="72" spans="1:12" ht="15.75" customHeight="1" x14ac:dyDescent="0.2"/>
    <row r="73" spans="1:12" ht="15.75" customHeight="1" x14ac:dyDescent="0.2"/>
    <row r="74" spans="1:12" ht="15.75" customHeight="1" x14ac:dyDescent="0.2"/>
    <row r="75" spans="1:12" ht="15.75" customHeight="1" x14ac:dyDescent="0.2"/>
    <row r="76" spans="1:12" ht="15.75" customHeight="1" x14ac:dyDescent="0.2"/>
    <row r="77" spans="1:12" ht="15.75" customHeight="1" x14ac:dyDescent="0.2"/>
    <row r="78" spans="1:12" ht="15.75" customHeight="1" x14ac:dyDescent="0.2"/>
    <row r="79" spans="1:12" ht="15.75" customHeight="1" x14ac:dyDescent="0.2"/>
    <row r="80" spans="1:1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0"/>
  <sheetViews>
    <sheetView workbookViewId="0"/>
  </sheetViews>
  <sheetFormatPr baseColWidth="10" defaultColWidth="14.5" defaultRowHeight="15" customHeight="1" x14ac:dyDescent="0.2"/>
  <cols>
    <col min="1" max="26" width="8.6640625" customWidth="1"/>
  </cols>
  <sheetData>
    <row r="1" spans="1:9" x14ac:dyDescent="0.2">
      <c r="A1" s="1" t="s">
        <v>0</v>
      </c>
      <c r="B1" s="1" t="s">
        <v>1</v>
      </c>
      <c r="C1" s="1" t="s">
        <v>2</v>
      </c>
      <c r="D1" s="1" t="s">
        <v>1481</v>
      </c>
      <c r="E1" s="1" t="s">
        <v>1482</v>
      </c>
      <c r="F1" s="1" t="s">
        <v>1483</v>
      </c>
      <c r="G1" s="1" t="s">
        <v>604</v>
      </c>
      <c r="H1" s="1" t="s">
        <v>605</v>
      </c>
      <c r="I1" s="1" t="s">
        <v>16</v>
      </c>
    </row>
    <row r="2" spans="1:9" x14ac:dyDescent="0.2">
      <c r="A2" s="5" t="s">
        <v>26</v>
      </c>
      <c r="B2" s="5" t="s">
        <v>27</v>
      </c>
      <c r="C2" s="5" t="s">
        <v>28</v>
      </c>
      <c r="D2" s="5" t="s">
        <v>913</v>
      </c>
    </row>
    <row r="3" spans="1:9" x14ac:dyDescent="0.2">
      <c r="A3" s="5" t="s">
        <v>26</v>
      </c>
      <c r="B3" s="5" t="s">
        <v>40</v>
      </c>
      <c r="C3" s="5" t="s">
        <v>41</v>
      </c>
      <c r="D3" s="5" t="s">
        <v>612</v>
      </c>
      <c r="E3" s="5" t="s">
        <v>26</v>
      </c>
      <c r="F3" s="5" t="s">
        <v>1484</v>
      </c>
      <c r="G3" s="5" t="s">
        <v>649</v>
      </c>
      <c r="H3" s="5" t="s">
        <v>1485</v>
      </c>
    </row>
    <row r="4" spans="1:9" x14ac:dyDescent="0.2">
      <c r="A4" s="5" t="s">
        <v>26</v>
      </c>
      <c r="B4" s="5" t="s">
        <v>40</v>
      </c>
      <c r="C4" s="5" t="s">
        <v>41</v>
      </c>
      <c r="D4" s="5" t="s">
        <v>612</v>
      </c>
      <c r="E4" s="5" t="s">
        <v>1486</v>
      </c>
      <c r="F4" s="5" t="s">
        <v>1487</v>
      </c>
      <c r="G4" s="5" t="s">
        <v>618</v>
      </c>
      <c r="H4" s="5" t="s">
        <v>618</v>
      </c>
    </row>
    <row r="5" spans="1:9" x14ac:dyDescent="0.2">
      <c r="A5" s="5" t="s">
        <v>26</v>
      </c>
      <c r="B5" s="5" t="s">
        <v>40</v>
      </c>
      <c r="C5" s="5" t="s">
        <v>41</v>
      </c>
      <c r="D5" s="5" t="s">
        <v>612</v>
      </c>
      <c r="E5" s="5" t="s">
        <v>26</v>
      </c>
      <c r="F5" s="5" t="s">
        <v>1484</v>
      </c>
      <c r="G5" s="5" t="s">
        <v>649</v>
      </c>
      <c r="H5" s="5" t="s">
        <v>1485</v>
      </c>
    </row>
    <row r="6" spans="1:9" x14ac:dyDescent="0.2">
      <c r="A6" s="5" t="s">
        <v>26</v>
      </c>
      <c r="B6" s="5" t="s">
        <v>40</v>
      </c>
      <c r="C6" s="5" t="s">
        <v>41</v>
      </c>
      <c r="D6" s="5" t="s">
        <v>612</v>
      </c>
      <c r="E6" s="5" t="s">
        <v>1486</v>
      </c>
      <c r="F6" s="5" t="s">
        <v>1487</v>
      </c>
      <c r="G6" s="5" t="s">
        <v>618</v>
      </c>
      <c r="H6" s="5" t="s">
        <v>618</v>
      </c>
    </row>
    <row r="7" spans="1:9" x14ac:dyDescent="0.2">
      <c r="A7" s="5" t="s">
        <v>26</v>
      </c>
      <c r="B7" s="5" t="s">
        <v>50</v>
      </c>
      <c r="C7" s="5" t="s">
        <v>51</v>
      </c>
      <c r="D7" s="5" t="s">
        <v>612</v>
      </c>
      <c r="E7" s="5" t="s">
        <v>1488</v>
      </c>
      <c r="F7" s="5" t="s">
        <v>1489</v>
      </c>
      <c r="G7" s="5" t="s">
        <v>627</v>
      </c>
      <c r="H7" s="5" t="s">
        <v>653</v>
      </c>
    </row>
    <row r="8" spans="1:9" x14ac:dyDescent="0.2">
      <c r="A8" s="5" t="s">
        <v>26</v>
      </c>
      <c r="B8" s="5" t="s">
        <v>50</v>
      </c>
      <c r="C8" s="5" t="s">
        <v>51</v>
      </c>
      <c r="D8" s="5" t="s">
        <v>612</v>
      </c>
      <c r="E8" s="5" t="s">
        <v>1488</v>
      </c>
      <c r="F8" s="5" t="s">
        <v>1484</v>
      </c>
      <c r="G8" s="5" t="s">
        <v>627</v>
      </c>
      <c r="H8" s="5" t="s">
        <v>653</v>
      </c>
    </row>
    <row r="9" spans="1:9" x14ac:dyDescent="0.2">
      <c r="A9" s="5" t="s">
        <v>26</v>
      </c>
      <c r="B9" s="5" t="s">
        <v>61</v>
      </c>
      <c r="C9" s="5" t="s">
        <v>62</v>
      </c>
      <c r="D9" s="5" t="s">
        <v>913</v>
      </c>
    </row>
    <row r="10" spans="1:9" x14ac:dyDescent="0.2">
      <c r="A10" s="5" t="s">
        <v>70</v>
      </c>
      <c r="B10" s="5" t="s">
        <v>71</v>
      </c>
      <c r="C10" s="5" t="s">
        <v>72</v>
      </c>
      <c r="D10" s="5" t="s">
        <v>612</v>
      </c>
      <c r="E10" s="5" t="s">
        <v>70</v>
      </c>
      <c r="F10" s="5" t="s">
        <v>1490</v>
      </c>
      <c r="G10" s="5" t="s">
        <v>623</v>
      </c>
      <c r="H10" s="5" t="s">
        <v>706</v>
      </c>
    </row>
    <row r="11" spans="1:9" x14ac:dyDescent="0.2">
      <c r="A11" s="5" t="s">
        <v>70</v>
      </c>
      <c r="B11" s="5" t="s">
        <v>71</v>
      </c>
      <c r="C11" s="5" t="s">
        <v>72</v>
      </c>
      <c r="D11" s="5" t="s">
        <v>612</v>
      </c>
      <c r="E11" s="5" t="s">
        <v>70</v>
      </c>
      <c r="F11" s="5" t="s">
        <v>1484</v>
      </c>
      <c r="G11" s="5" t="s">
        <v>941</v>
      </c>
      <c r="H11" s="5" t="s">
        <v>1485</v>
      </c>
      <c r="I11" s="5" t="s">
        <v>745</v>
      </c>
    </row>
    <row r="12" spans="1:9" x14ac:dyDescent="0.2">
      <c r="A12" s="5" t="s">
        <v>70</v>
      </c>
      <c r="B12" s="5" t="s">
        <v>82</v>
      </c>
      <c r="C12" s="5" t="s">
        <v>83</v>
      </c>
      <c r="D12" s="5" t="s">
        <v>612</v>
      </c>
      <c r="E12" s="5" t="s">
        <v>1491</v>
      </c>
      <c r="F12" s="5" t="s">
        <v>1487</v>
      </c>
      <c r="G12" s="5" t="s">
        <v>757</v>
      </c>
      <c r="H12" s="5" t="s">
        <v>706</v>
      </c>
      <c r="I12" s="5" t="s">
        <v>1492</v>
      </c>
    </row>
    <row r="13" spans="1:9" x14ac:dyDescent="0.2">
      <c r="A13" s="5" t="s">
        <v>70</v>
      </c>
      <c r="B13" s="5" t="s">
        <v>93</v>
      </c>
      <c r="C13" s="5" t="s">
        <v>94</v>
      </c>
      <c r="D13" s="5" t="s">
        <v>913</v>
      </c>
    </row>
    <row r="14" spans="1:9" x14ac:dyDescent="0.2">
      <c r="A14" s="5" t="s">
        <v>70</v>
      </c>
      <c r="B14" s="5" t="s">
        <v>102</v>
      </c>
      <c r="C14" s="5" t="s">
        <v>103</v>
      </c>
      <c r="D14" s="5" t="s">
        <v>913</v>
      </c>
    </row>
    <row r="15" spans="1:9" x14ac:dyDescent="0.2">
      <c r="A15" s="5" t="s">
        <v>70</v>
      </c>
      <c r="B15" s="5" t="s">
        <v>112</v>
      </c>
      <c r="C15" s="5" t="s">
        <v>113</v>
      </c>
      <c r="D15" s="5" t="s">
        <v>612</v>
      </c>
      <c r="E15" s="5" t="s">
        <v>70</v>
      </c>
      <c r="F15" s="5" t="s">
        <v>1493</v>
      </c>
      <c r="G15" s="5" t="s">
        <v>618</v>
      </c>
      <c r="H15" s="5" t="s">
        <v>618</v>
      </c>
    </row>
    <row r="16" spans="1:9" x14ac:dyDescent="0.2">
      <c r="A16" s="5" t="s">
        <v>70</v>
      </c>
      <c r="B16" s="5" t="s">
        <v>112</v>
      </c>
      <c r="C16" s="5" t="s">
        <v>113</v>
      </c>
      <c r="D16" s="5" t="s">
        <v>612</v>
      </c>
      <c r="E16" s="5" t="s">
        <v>70</v>
      </c>
      <c r="F16" s="5" t="s">
        <v>1494</v>
      </c>
      <c r="G16" s="5" t="s">
        <v>618</v>
      </c>
      <c r="H16" s="5" t="s">
        <v>1485</v>
      </c>
      <c r="I16" s="5" t="s">
        <v>1495</v>
      </c>
    </row>
    <row r="17" spans="1:9" x14ac:dyDescent="0.2">
      <c r="A17" s="5" t="s">
        <v>70</v>
      </c>
      <c r="B17" s="5" t="s">
        <v>123</v>
      </c>
      <c r="C17" s="5" t="s">
        <v>124</v>
      </c>
      <c r="D17" s="5" t="s">
        <v>612</v>
      </c>
      <c r="E17" s="5" t="s">
        <v>1496</v>
      </c>
      <c r="F17" s="5" t="s">
        <v>1497</v>
      </c>
      <c r="G17" s="5" t="s">
        <v>706</v>
      </c>
      <c r="H17" s="5" t="s">
        <v>706</v>
      </c>
      <c r="I17" s="5" t="s">
        <v>1498</v>
      </c>
    </row>
    <row r="18" spans="1:9" x14ac:dyDescent="0.2">
      <c r="A18" s="5" t="s">
        <v>70</v>
      </c>
      <c r="B18" s="5" t="s">
        <v>123</v>
      </c>
      <c r="C18" s="5" t="s">
        <v>124</v>
      </c>
      <c r="D18" s="5" t="s">
        <v>612</v>
      </c>
      <c r="E18" s="5" t="s">
        <v>1499</v>
      </c>
      <c r="F18" s="5" t="s">
        <v>1500</v>
      </c>
      <c r="G18" s="5" t="s">
        <v>706</v>
      </c>
      <c r="H18" s="5" t="s">
        <v>688</v>
      </c>
      <c r="I18" s="5" t="s">
        <v>1501</v>
      </c>
    </row>
    <row r="19" spans="1:9" x14ac:dyDescent="0.2">
      <c r="A19" s="5" t="s">
        <v>70</v>
      </c>
      <c r="B19" s="5" t="s">
        <v>134</v>
      </c>
      <c r="C19" s="5" t="s">
        <v>135</v>
      </c>
      <c r="D19" s="5" t="s">
        <v>913</v>
      </c>
    </row>
    <row r="20" spans="1:9" x14ac:dyDescent="0.2">
      <c r="A20" s="5" t="s">
        <v>70</v>
      </c>
      <c r="B20" s="5" t="s">
        <v>144</v>
      </c>
      <c r="C20" s="5" t="s">
        <v>145</v>
      </c>
      <c r="D20" s="5" t="s">
        <v>913</v>
      </c>
    </row>
    <row r="21" spans="1:9" ht="15.75" customHeight="1" x14ac:dyDescent="0.2">
      <c r="A21" s="5" t="s">
        <v>70</v>
      </c>
      <c r="B21" s="5" t="s">
        <v>154</v>
      </c>
      <c r="C21" s="5" t="s">
        <v>155</v>
      </c>
      <c r="D21" s="5" t="s">
        <v>612</v>
      </c>
      <c r="E21" s="5" t="s">
        <v>70</v>
      </c>
      <c r="F21" s="5" t="s">
        <v>1502</v>
      </c>
      <c r="G21" s="5" t="s">
        <v>653</v>
      </c>
      <c r="H21" s="5" t="s">
        <v>649</v>
      </c>
    </row>
    <row r="22" spans="1:9" ht="15.75" customHeight="1" x14ac:dyDescent="0.2">
      <c r="A22" s="5" t="s">
        <v>70</v>
      </c>
      <c r="B22" s="5" t="s">
        <v>154</v>
      </c>
      <c r="C22" s="5" t="s">
        <v>155</v>
      </c>
      <c r="D22" s="5" t="s">
        <v>612</v>
      </c>
      <c r="E22" s="5" t="s">
        <v>70</v>
      </c>
      <c r="F22" s="5" t="s">
        <v>1503</v>
      </c>
      <c r="G22" s="5" t="s">
        <v>617</v>
      </c>
      <c r="H22" s="5" t="s">
        <v>1485</v>
      </c>
      <c r="I22" s="5" t="s">
        <v>778</v>
      </c>
    </row>
    <row r="23" spans="1:9" ht="15.75" customHeight="1" x14ac:dyDescent="0.2">
      <c r="A23" s="5" t="s">
        <v>70</v>
      </c>
      <c r="B23" s="5" t="s">
        <v>165</v>
      </c>
      <c r="C23" s="5" t="s">
        <v>166</v>
      </c>
      <c r="D23" s="5" t="s">
        <v>612</v>
      </c>
      <c r="E23" s="5" t="s">
        <v>70</v>
      </c>
      <c r="F23" s="5" t="s">
        <v>1504</v>
      </c>
      <c r="G23" s="5" t="s">
        <v>693</v>
      </c>
      <c r="H23" s="5" t="s">
        <v>632</v>
      </c>
    </row>
    <row r="24" spans="1:9" ht="15.75" customHeight="1" x14ac:dyDescent="0.2">
      <c r="A24" s="5" t="s">
        <v>70</v>
      </c>
      <c r="B24" s="5" t="s">
        <v>165</v>
      </c>
      <c r="C24" s="5" t="s">
        <v>166</v>
      </c>
      <c r="D24" s="5" t="s">
        <v>612</v>
      </c>
      <c r="E24" s="5" t="s">
        <v>1505</v>
      </c>
      <c r="F24" s="5" t="s">
        <v>1504</v>
      </c>
      <c r="G24" s="5" t="s">
        <v>706</v>
      </c>
      <c r="H24" s="5" t="s">
        <v>631</v>
      </c>
    </row>
    <row r="25" spans="1:9" ht="15.75" customHeight="1" x14ac:dyDescent="0.2">
      <c r="A25" s="5" t="s">
        <v>70</v>
      </c>
      <c r="B25" s="5" t="s">
        <v>176</v>
      </c>
      <c r="C25" s="5" t="s">
        <v>177</v>
      </c>
      <c r="D25" s="5" t="s">
        <v>913</v>
      </c>
    </row>
    <row r="26" spans="1:9" ht="15.75" customHeight="1" x14ac:dyDescent="0.2">
      <c r="A26" s="5" t="s">
        <v>70</v>
      </c>
      <c r="B26" s="5" t="s">
        <v>184</v>
      </c>
      <c r="C26" s="5" t="s">
        <v>185</v>
      </c>
      <c r="D26" s="5" t="s">
        <v>612</v>
      </c>
      <c r="E26" s="5" t="s">
        <v>70</v>
      </c>
      <c r="F26" s="5" t="s">
        <v>1506</v>
      </c>
      <c r="G26" s="5" t="s">
        <v>693</v>
      </c>
      <c r="H26" s="5" t="s">
        <v>621</v>
      </c>
    </row>
    <row r="27" spans="1:9" ht="15.75" customHeight="1" x14ac:dyDescent="0.2">
      <c r="A27" s="5" t="s">
        <v>70</v>
      </c>
      <c r="B27" s="5" t="s">
        <v>193</v>
      </c>
      <c r="C27" s="5" t="s">
        <v>194</v>
      </c>
      <c r="D27" s="5" t="s">
        <v>612</v>
      </c>
      <c r="E27" s="5" t="s">
        <v>1507</v>
      </c>
      <c r="F27" s="5" t="s">
        <v>1484</v>
      </c>
      <c r="G27" s="5" t="s">
        <v>870</v>
      </c>
      <c r="H27" s="5" t="s">
        <v>757</v>
      </c>
    </row>
    <row r="28" spans="1:9" ht="15.75" customHeight="1" x14ac:dyDescent="0.2">
      <c r="A28" s="5" t="s">
        <v>70</v>
      </c>
      <c r="B28" s="5" t="s">
        <v>193</v>
      </c>
      <c r="C28" s="5" t="s">
        <v>194</v>
      </c>
      <c r="D28" s="5" t="s">
        <v>612</v>
      </c>
      <c r="E28" s="5" t="s">
        <v>1507</v>
      </c>
      <c r="F28" s="5" t="s">
        <v>1508</v>
      </c>
      <c r="G28" s="5" t="s">
        <v>870</v>
      </c>
      <c r="H28" s="5" t="s">
        <v>757</v>
      </c>
    </row>
    <row r="29" spans="1:9" ht="15.75" customHeight="1" x14ac:dyDescent="0.2">
      <c r="A29" s="5" t="s">
        <v>70</v>
      </c>
      <c r="B29" s="5" t="s">
        <v>200</v>
      </c>
      <c r="C29" s="5" t="s">
        <v>201</v>
      </c>
      <c r="D29" s="5" t="s">
        <v>913</v>
      </c>
    </row>
    <row r="30" spans="1:9" ht="15.75" customHeight="1" x14ac:dyDescent="0.2">
      <c r="A30" s="5" t="s">
        <v>70</v>
      </c>
      <c r="B30" s="5" t="s">
        <v>211</v>
      </c>
      <c r="C30" s="5" t="s">
        <v>212</v>
      </c>
      <c r="D30" s="5" t="s">
        <v>913</v>
      </c>
    </row>
    <row r="31" spans="1:9" ht="15.75" customHeight="1" x14ac:dyDescent="0.2">
      <c r="A31" s="5" t="s">
        <v>70</v>
      </c>
      <c r="B31" s="5" t="s">
        <v>221</v>
      </c>
      <c r="C31" s="5" t="s">
        <v>222</v>
      </c>
      <c r="D31" s="5" t="s">
        <v>913</v>
      </c>
    </row>
    <row r="32" spans="1:9" ht="15.75" customHeight="1" x14ac:dyDescent="0.2">
      <c r="A32" s="5" t="s">
        <v>70</v>
      </c>
      <c r="B32" s="5" t="s">
        <v>229</v>
      </c>
      <c r="C32" s="5" t="s">
        <v>230</v>
      </c>
      <c r="D32" s="5" t="s">
        <v>612</v>
      </c>
      <c r="E32" s="5" t="s">
        <v>70</v>
      </c>
      <c r="F32" s="5" t="s">
        <v>1509</v>
      </c>
      <c r="G32" s="5" t="s">
        <v>706</v>
      </c>
      <c r="H32" s="5" t="s">
        <v>631</v>
      </c>
    </row>
    <row r="33" spans="1:9" ht="15.75" customHeight="1" x14ac:dyDescent="0.2">
      <c r="A33" s="5" t="s">
        <v>70</v>
      </c>
      <c r="B33" s="5" t="s">
        <v>238</v>
      </c>
      <c r="C33" s="5" t="s">
        <v>239</v>
      </c>
      <c r="D33" s="5" t="s">
        <v>612</v>
      </c>
      <c r="E33" s="5" t="s">
        <v>1510</v>
      </c>
      <c r="F33" s="5" t="s">
        <v>1511</v>
      </c>
      <c r="G33" s="5" t="s">
        <v>870</v>
      </c>
      <c r="H33" s="5" t="s">
        <v>732</v>
      </c>
    </row>
    <row r="34" spans="1:9" ht="15.75" customHeight="1" x14ac:dyDescent="0.2">
      <c r="A34" s="5" t="s">
        <v>70</v>
      </c>
      <c r="B34" s="5" t="s">
        <v>247</v>
      </c>
      <c r="C34" s="5" t="s">
        <v>248</v>
      </c>
      <c r="D34" s="5" t="s">
        <v>612</v>
      </c>
      <c r="E34" s="5" t="s">
        <v>1512</v>
      </c>
      <c r="F34" s="5" t="s">
        <v>1513</v>
      </c>
      <c r="G34" s="5" t="s">
        <v>688</v>
      </c>
      <c r="H34" s="5" t="s">
        <v>649</v>
      </c>
    </row>
    <row r="35" spans="1:9" ht="15.75" customHeight="1" x14ac:dyDescent="0.2">
      <c r="A35" s="5" t="s">
        <v>70</v>
      </c>
      <c r="B35" s="5" t="s">
        <v>247</v>
      </c>
      <c r="C35" s="5" t="s">
        <v>248</v>
      </c>
      <c r="D35" s="5" t="s">
        <v>612</v>
      </c>
      <c r="E35" s="5" t="s">
        <v>1512</v>
      </c>
      <c r="F35" s="5" t="s">
        <v>1484</v>
      </c>
      <c r="G35" s="5" t="s">
        <v>688</v>
      </c>
      <c r="H35" s="5" t="s">
        <v>649</v>
      </c>
    </row>
    <row r="36" spans="1:9" ht="15.75" customHeight="1" x14ac:dyDescent="0.2">
      <c r="A36" s="5" t="s">
        <v>70</v>
      </c>
      <c r="B36" s="5" t="s">
        <v>257</v>
      </c>
      <c r="C36" s="5" t="s">
        <v>258</v>
      </c>
      <c r="D36" s="5" t="s">
        <v>612</v>
      </c>
      <c r="E36" s="5" t="s">
        <v>1514</v>
      </c>
      <c r="F36" s="5" t="s">
        <v>1484</v>
      </c>
      <c r="G36" s="5" t="s">
        <v>688</v>
      </c>
      <c r="H36" s="5" t="s">
        <v>632</v>
      </c>
    </row>
    <row r="37" spans="1:9" ht="15.75" customHeight="1" x14ac:dyDescent="0.2">
      <c r="A37" s="5" t="s">
        <v>70</v>
      </c>
      <c r="B37" s="5" t="s">
        <v>257</v>
      </c>
      <c r="C37" s="5" t="s">
        <v>258</v>
      </c>
      <c r="D37" s="5" t="s">
        <v>612</v>
      </c>
      <c r="E37" s="5" t="s">
        <v>1514</v>
      </c>
      <c r="F37" s="5" t="s">
        <v>1493</v>
      </c>
      <c r="G37" s="5" t="s">
        <v>688</v>
      </c>
      <c r="H37" s="5" t="s">
        <v>632</v>
      </c>
    </row>
    <row r="38" spans="1:9" ht="15.75" customHeight="1" x14ac:dyDescent="0.2">
      <c r="A38" s="5" t="s">
        <v>70</v>
      </c>
      <c r="B38" s="5" t="s">
        <v>268</v>
      </c>
      <c r="C38" s="5" t="s">
        <v>269</v>
      </c>
      <c r="D38" s="5" t="s">
        <v>612</v>
      </c>
      <c r="E38" s="5" t="s">
        <v>1515</v>
      </c>
      <c r="F38" s="5" t="s">
        <v>1516</v>
      </c>
      <c r="G38" s="5" t="s">
        <v>732</v>
      </c>
      <c r="H38" s="5" t="s">
        <v>623</v>
      </c>
    </row>
    <row r="39" spans="1:9" ht="15.75" customHeight="1" x14ac:dyDescent="0.2">
      <c r="A39" s="5" t="s">
        <v>70</v>
      </c>
      <c r="B39" s="5" t="s">
        <v>268</v>
      </c>
      <c r="C39" s="5" t="s">
        <v>269</v>
      </c>
      <c r="D39" s="5" t="s">
        <v>612</v>
      </c>
      <c r="E39" s="5" t="s">
        <v>1515</v>
      </c>
      <c r="F39" s="5" t="s">
        <v>1517</v>
      </c>
      <c r="G39" s="5" t="s">
        <v>623</v>
      </c>
      <c r="H39" s="5" t="s">
        <v>631</v>
      </c>
    </row>
    <row r="40" spans="1:9" ht="15.75" customHeight="1" x14ac:dyDescent="0.2">
      <c r="A40" s="5" t="s">
        <v>276</v>
      </c>
      <c r="B40" s="5" t="s">
        <v>277</v>
      </c>
      <c r="C40" s="5" t="s">
        <v>278</v>
      </c>
      <c r="D40" s="5" t="s">
        <v>913</v>
      </c>
    </row>
    <row r="41" spans="1:9" ht="15.75" customHeight="1" x14ac:dyDescent="0.2">
      <c r="A41" s="5" t="s">
        <v>276</v>
      </c>
      <c r="B41" s="5" t="s">
        <v>288</v>
      </c>
      <c r="C41" s="5" t="s">
        <v>289</v>
      </c>
      <c r="D41" s="5" t="s">
        <v>612</v>
      </c>
      <c r="E41" s="5" t="s">
        <v>276</v>
      </c>
      <c r="F41" s="5" t="s">
        <v>1518</v>
      </c>
      <c r="G41" s="5" t="s">
        <v>618</v>
      </c>
      <c r="H41" s="5" t="s">
        <v>1485</v>
      </c>
    </row>
    <row r="42" spans="1:9" ht="15.75" customHeight="1" x14ac:dyDescent="0.2">
      <c r="A42" s="5" t="s">
        <v>276</v>
      </c>
      <c r="B42" s="5" t="s">
        <v>288</v>
      </c>
      <c r="C42" s="5" t="s">
        <v>289</v>
      </c>
      <c r="D42" s="5" t="s">
        <v>612</v>
      </c>
      <c r="E42" s="5" t="s">
        <v>276</v>
      </c>
      <c r="F42" s="5" t="s">
        <v>1519</v>
      </c>
      <c r="G42" s="5" t="s">
        <v>649</v>
      </c>
      <c r="H42" s="5" t="s">
        <v>1485</v>
      </c>
    </row>
    <row r="43" spans="1:9" ht="15.75" customHeight="1" x14ac:dyDescent="0.2">
      <c r="A43" s="5" t="s">
        <v>276</v>
      </c>
      <c r="B43" s="5" t="s">
        <v>296</v>
      </c>
      <c r="C43" s="5" t="s">
        <v>297</v>
      </c>
      <c r="D43" s="5" t="s">
        <v>913</v>
      </c>
    </row>
    <row r="44" spans="1:9" ht="15.75" customHeight="1" x14ac:dyDescent="0.2">
      <c r="A44" s="5" t="s">
        <v>276</v>
      </c>
      <c r="B44" s="5" t="s">
        <v>305</v>
      </c>
      <c r="C44" s="5" t="s">
        <v>306</v>
      </c>
      <c r="D44" s="5" t="s">
        <v>612</v>
      </c>
      <c r="E44" s="5" t="s">
        <v>1520</v>
      </c>
      <c r="F44" s="5" t="s">
        <v>1484</v>
      </c>
      <c r="G44" s="5" t="s">
        <v>713</v>
      </c>
      <c r="H44" s="5" t="s">
        <v>623</v>
      </c>
    </row>
    <row r="45" spans="1:9" ht="15.75" customHeight="1" x14ac:dyDescent="0.2">
      <c r="A45" s="5" t="s">
        <v>276</v>
      </c>
      <c r="B45" s="5" t="s">
        <v>316</v>
      </c>
      <c r="C45" s="5" t="s">
        <v>317</v>
      </c>
      <c r="D45" s="5" t="s">
        <v>612</v>
      </c>
      <c r="E45" s="5" t="s">
        <v>1521</v>
      </c>
      <c r="F45" s="5" t="s">
        <v>1522</v>
      </c>
      <c r="G45" s="5" t="s">
        <v>757</v>
      </c>
      <c r="H45" s="5" t="s">
        <v>631</v>
      </c>
    </row>
    <row r="46" spans="1:9" ht="15.75" customHeight="1" x14ac:dyDescent="0.2">
      <c r="A46" s="5" t="s">
        <v>276</v>
      </c>
      <c r="B46" s="5" t="s">
        <v>327</v>
      </c>
      <c r="C46" s="5" t="s">
        <v>328</v>
      </c>
      <c r="D46" s="5" t="s">
        <v>913</v>
      </c>
    </row>
    <row r="47" spans="1:9" ht="15.75" customHeight="1" x14ac:dyDescent="0.2">
      <c r="A47" s="5" t="s">
        <v>276</v>
      </c>
      <c r="B47" s="5" t="s">
        <v>337</v>
      </c>
      <c r="C47" s="5" t="s">
        <v>338</v>
      </c>
      <c r="D47" s="5" t="s">
        <v>612</v>
      </c>
      <c r="E47" s="5" t="s">
        <v>1523</v>
      </c>
      <c r="F47" s="5" t="s">
        <v>1524</v>
      </c>
      <c r="G47" s="5" t="s">
        <v>631</v>
      </c>
      <c r="H47" s="5" t="s">
        <v>621</v>
      </c>
    </row>
    <row r="48" spans="1:9" ht="15.75" customHeight="1" x14ac:dyDescent="0.2">
      <c r="A48" s="5" t="s">
        <v>276</v>
      </c>
      <c r="B48" s="5" t="s">
        <v>346</v>
      </c>
      <c r="C48" s="5" t="s">
        <v>347</v>
      </c>
      <c r="D48" s="5" t="s">
        <v>612</v>
      </c>
      <c r="E48" s="5" t="s">
        <v>1525</v>
      </c>
      <c r="F48" s="5" t="s">
        <v>1526</v>
      </c>
      <c r="G48" s="5" t="s">
        <v>1111</v>
      </c>
      <c r="H48" s="5" t="s">
        <v>837</v>
      </c>
      <c r="I48" s="5" t="s">
        <v>1527</v>
      </c>
    </row>
    <row r="49" spans="1:8" ht="15.75" customHeight="1" x14ac:dyDescent="0.2">
      <c r="A49" s="5" t="s">
        <v>276</v>
      </c>
      <c r="B49" s="5" t="s">
        <v>355</v>
      </c>
      <c r="C49" s="5" t="s">
        <v>356</v>
      </c>
      <c r="D49" s="5" t="s">
        <v>612</v>
      </c>
      <c r="E49" s="5" t="s">
        <v>1528</v>
      </c>
      <c r="F49" s="5" t="s">
        <v>1484</v>
      </c>
      <c r="G49" s="5" t="s">
        <v>631</v>
      </c>
      <c r="H49" s="5" t="s">
        <v>693</v>
      </c>
    </row>
    <row r="50" spans="1:8" ht="15.75" customHeight="1" x14ac:dyDescent="0.2">
      <c r="A50" s="5" t="s">
        <v>276</v>
      </c>
      <c r="B50" s="5" t="s">
        <v>355</v>
      </c>
      <c r="C50" s="5" t="s">
        <v>356</v>
      </c>
      <c r="D50" s="5" t="s">
        <v>612</v>
      </c>
      <c r="E50" s="5" t="s">
        <v>1528</v>
      </c>
      <c r="F50" s="5" t="s">
        <v>1487</v>
      </c>
      <c r="G50" s="5" t="s">
        <v>631</v>
      </c>
      <c r="H50" s="5" t="s">
        <v>693</v>
      </c>
    </row>
    <row r="51" spans="1:8" ht="15.75" customHeight="1" x14ac:dyDescent="0.2">
      <c r="A51" s="5" t="s">
        <v>276</v>
      </c>
      <c r="B51" s="5" t="s">
        <v>363</v>
      </c>
      <c r="C51" s="5" t="s">
        <v>364</v>
      </c>
      <c r="D51" s="5" t="s">
        <v>913</v>
      </c>
    </row>
    <row r="52" spans="1:8" ht="15.75" customHeight="1" x14ac:dyDescent="0.2">
      <c r="A52" s="5" t="s">
        <v>276</v>
      </c>
      <c r="B52" s="5" t="s">
        <v>372</v>
      </c>
      <c r="C52" s="5" t="s">
        <v>373</v>
      </c>
      <c r="D52" s="5" t="s">
        <v>612</v>
      </c>
      <c r="E52" s="5" t="s">
        <v>276</v>
      </c>
      <c r="F52" s="5" t="s">
        <v>1529</v>
      </c>
      <c r="G52" s="5" t="s">
        <v>649</v>
      </c>
      <c r="H52" s="5" t="s">
        <v>1485</v>
      </c>
    </row>
    <row r="53" spans="1:8" ht="15.75" customHeight="1" x14ac:dyDescent="0.2">
      <c r="A53" s="5" t="s">
        <v>380</v>
      </c>
      <c r="B53" s="5" t="s">
        <v>381</v>
      </c>
      <c r="C53" s="5" t="s">
        <v>382</v>
      </c>
      <c r="D53" s="5" t="s">
        <v>913</v>
      </c>
    </row>
    <row r="54" spans="1:8" ht="15.75" customHeight="1" x14ac:dyDescent="0.2">
      <c r="A54" s="5" t="s">
        <v>380</v>
      </c>
      <c r="B54" s="5" t="s">
        <v>390</v>
      </c>
      <c r="C54" s="5" t="s">
        <v>391</v>
      </c>
      <c r="D54" s="5" t="s">
        <v>612</v>
      </c>
      <c r="E54" s="5" t="s">
        <v>380</v>
      </c>
      <c r="F54" s="5" t="s">
        <v>1500</v>
      </c>
      <c r="G54" s="5" t="s">
        <v>653</v>
      </c>
      <c r="H54" s="5" t="s">
        <v>1485</v>
      </c>
    </row>
    <row r="55" spans="1:8" ht="15.75" customHeight="1" x14ac:dyDescent="0.2">
      <c r="A55" s="5" t="s">
        <v>380</v>
      </c>
      <c r="B55" s="5" t="s">
        <v>390</v>
      </c>
      <c r="C55" s="5" t="s">
        <v>391</v>
      </c>
      <c r="D55" s="5" t="s">
        <v>612</v>
      </c>
      <c r="E55" s="5" t="s">
        <v>380</v>
      </c>
      <c r="F55" s="5" t="s">
        <v>1530</v>
      </c>
      <c r="G55" s="5" t="s">
        <v>653</v>
      </c>
      <c r="H55" s="5" t="s">
        <v>1485</v>
      </c>
    </row>
    <row r="56" spans="1:8" ht="15.75" customHeight="1" x14ac:dyDescent="0.2">
      <c r="A56" s="5" t="s">
        <v>380</v>
      </c>
      <c r="B56" s="5" t="s">
        <v>390</v>
      </c>
      <c r="C56" s="5" t="s">
        <v>391</v>
      </c>
      <c r="D56" s="5" t="s">
        <v>612</v>
      </c>
      <c r="E56" s="5" t="s">
        <v>380</v>
      </c>
      <c r="F56" s="5" t="s">
        <v>1500</v>
      </c>
      <c r="G56" s="5" t="s">
        <v>653</v>
      </c>
      <c r="H56" s="5" t="s">
        <v>1485</v>
      </c>
    </row>
    <row r="57" spans="1:8" ht="15.75" customHeight="1" x14ac:dyDescent="0.2">
      <c r="A57" s="5" t="s">
        <v>380</v>
      </c>
      <c r="B57" s="5" t="s">
        <v>390</v>
      </c>
      <c r="C57" s="5" t="s">
        <v>391</v>
      </c>
      <c r="D57" s="5" t="s">
        <v>612</v>
      </c>
      <c r="E57" s="5" t="s">
        <v>380</v>
      </c>
      <c r="F57" s="5" t="s">
        <v>1530</v>
      </c>
      <c r="G57" s="5" t="s">
        <v>653</v>
      </c>
      <c r="H57" s="5" t="s">
        <v>1485</v>
      </c>
    </row>
    <row r="58" spans="1:8" ht="15.75" customHeight="1" x14ac:dyDescent="0.2">
      <c r="A58" s="5" t="s">
        <v>380</v>
      </c>
      <c r="B58" s="5" t="s">
        <v>399</v>
      </c>
      <c r="C58" s="5" t="s">
        <v>400</v>
      </c>
      <c r="D58" s="5" t="s">
        <v>612</v>
      </c>
      <c r="E58" s="5" t="s">
        <v>380</v>
      </c>
      <c r="F58" s="5" t="s">
        <v>1484</v>
      </c>
      <c r="G58" s="5" t="s">
        <v>653</v>
      </c>
      <c r="H58" s="5" t="s">
        <v>1485</v>
      </c>
    </row>
    <row r="59" spans="1:8" ht="15.75" customHeight="1" x14ac:dyDescent="0.2">
      <c r="A59" s="5" t="s">
        <v>380</v>
      </c>
      <c r="B59" s="5" t="s">
        <v>407</v>
      </c>
      <c r="C59" s="5" t="s">
        <v>408</v>
      </c>
      <c r="D59" s="5" t="s">
        <v>913</v>
      </c>
    </row>
    <row r="60" spans="1:8" ht="15.75" customHeight="1" x14ac:dyDescent="0.2">
      <c r="A60" s="5" t="s">
        <v>380</v>
      </c>
      <c r="B60" s="5" t="s">
        <v>417</v>
      </c>
      <c r="C60" s="5" t="s">
        <v>418</v>
      </c>
      <c r="D60" s="5" t="s">
        <v>612</v>
      </c>
      <c r="E60" s="5" t="s">
        <v>1531</v>
      </c>
      <c r="F60" s="5" t="s">
        <v>1532</v>
      </c>
      <c r="G60" s="5" t="s">
        <v>649</v>
      </c>
      <c r="H60" s="5" t="s">
        <v>618</v>
      </c>
    </row>
    <row r="61" spans="1:8" ht="15.75" customHeight="1" x14ac:dyDescent="0.2">
      <c r="A61" s="5" t="s">
        <v>426</v>
      </c>
      <c r="B61" s="5" t="s">
        <v>427</v>
      </c>
      <c r="C61" s="5" t="s">
        <v>428</v>
      </c>
      <c r="D61" s="5" t="s">
        <v>612</v>
      </c>
      <c r="E61" s="5" t="s">
        <v>426</v>
      </c>
      <c r="F61" s="5" t="s">
        <v>1533</v>
      </c>
      <c r="G61" s="5" t="s">
        <v>617</v>
      </c>
      <c r="H61" s="5" t="s">
        <v>1485</v>
      </c>
    </row>
    <row r="62" spans="1:8" ht="15.75" customHeight="1" x14ac:dyDescent="0.2">
      <c r="A62" s="5" t="s">
        <v>426</v>
      </c>
      <c r="B62" s="5" t="s">
        <v>427</v>
      </c>
      <c r="C62" s="5" t="s">
        <v>428</v>
      </c>
      <c r="D62" s="5" t="s">
        <v>612</v>
      </c>
      <c r="E62" s="5" t="s">
        <v>426</v>
      </c>
      <c r="F62" s="5" t="s">
        <v>1484</v>
      </c>
      <c r="G62" s="5" t="s">
        <v>617</v>
      </c>
      <c r="H62" s="5" t="s">
        <v>1485</v>
      </c>
    </row>
    <row r="63" spans="1:8" ht="15.75" customHeight="1" x14ac:dyDescent="0.2">
      <c r="A63" s="5" t="s">
        <v>426</v>
      </c>
      <c r="B63" s="5" t="s">
        <v>435</v>
      </c>
      <c r="C63" s="5" t="s">
        <v>436</v>
      </c>
      <c r="D63" s="5" t="s">
        <v>612</v>
      </c>
      <c r="E63" s="5" t="s">
        <v>426</v>
      </c>
      <c r="F63" s="5" t="s">
        <v>1534</v>
      </c>
      <c r="G63" s="5" t="s">
        <v>617</v>
      </c>
      <c r="H63" s="5" t="s">
        <v>618</v>
      </c>
    </row>
    <row r="64" spans="1:8" ht="15.75" customHeight="1" x14ac:dyDescent="0.2">
      <c r="A64" s="5" t="s">
        <v>426</v>
      </c>
      <c r="B64" s="5" t="s">
        <v>435</v>
      </c>
      <c r="C64" s="5" t="s">
        <v>436</v>
      </c>
      <c r="D64" s="5" t="s">
        <v>612</v>
      </c>
      <c r="E64" s="5" t="s">
        <v>426</v>
      </c>
      <c r="F64" s="5" t="s">
        <v>1534</v>
      </c>
      <c r="G64" s="5" t="s">
        <v>617</v>
      </c>
      <c r="H64" s="5" t="s">
        <v>618</v>
      </c>
    </row>
    <row r="65" spans="1:8" ht="15.75" customHeight="1" x14ac:dyDescent="0.2">
      <c r="A65" s="5" t="s">
        <v>426</v>
      </c>
      <c r="B65" s="5" t="s">
        <v>444</v>
      </c>
      <c r="C65" s="5" t="s">
        <v>445</v>
      </c>
      <c r="D65" s="5" t="s">
        <v>612</v>
      </c>
      <c r="E65" s="5" t="s">
        <v>426</v>
      </c>
      <c r="F65" s="5" t="s">
        <v>1535</v>
      </c>
      <c r="G65" s="5" t="s">
        <v>617</v>
      </c>
      <c r="H65" s="5" t="s">
        <v>1485</v>
      </c>
    </row>
    <row r="66" spans="1:8" ht="15.75" customHeight="1" x14ac:dyDescent="0.2">
      <c r="A66" s="5" t="s">
        <v>426</v>
      </c>
      <c r="B66" s="5" t="s">
        <v>444</v>
      </c>
      <c r="C66" s="5" t="s">
        <v>445</v>
      </c>
      <c r="D66" s="5" t="s">
        <v>612</v>
      </c>
      <c r="E66" s="5" t="s">
        <v>426</v>
      </c>
      <c r="F66" s="5" t="s">
        <v>1484</v>
      </c>
      <c r="G66" s="5" t="s">
        <v>617</v>
      </c>
      <c r="H66" s="5" t="s">
        <v>1485</v>
      </c>
    </row>
    <row r="67" spans="1:8" ht="15.75" customHeight="1" x14ac:dyDescent="0.2">
      <c r="A67" s="5" t="s">
        <v>426</v>
      </c>
      <c r="B67" s="5" t="s">
        <v>452</v>
      </c>
      <c r="C67" s="5" t="s">
        <v>453</v>
      </c>
      <c r="D67" s="5" t="s">
        <v>913</v>
      </c>
    </row>
    <row r="68" spans="1:8" ht="15.75" customHeight="1" x14ac:dyDescent="0.2">
      <c r="A68" s="5" t="s">
        <v>426</v>
      </c>
      <c r="B68" s="5" t="s">
        <v>460</v>
      </c>
      <c r="C68" s="5" t="s">
        <v>461</v>
      </c>
      <c r="D68" s="5" t="s">
        <v>913</v>
      </c>
    </row>
    <row r="69" spans="1:8" ht="15.75" customHeight="1" x14ac:dyDescent="0.2">
      <c r="A69" s="5" t="s">
        <v>426</v>
      </c>
      <c r="B69" s="5" t="s">
        <v>468</v>
      </c>
      <c r="C69" s="5" t="s">
        <v>469</v>
      </c>
      <c r="D69" s="5" t="s">
        <v>913</v>
      </c>
    </row>
    <row r="70" spans="1:8" ht="15.75" customHeight="1" x14ac:dyDescent="0.2">
      <c r="A70" s="5" t="s">
        <v>426</v>
      </c>
      <c r="B70" s="5" t="s">
        <v>476</v>
      </c>
      <c r="C70" s="5" t="s">
        <v>477</v>
      </c>
      <c r="D70" s="5" t="s">
        <v>913</v>
      </c>
    </row>
    <row r="71" spans="1:8" ht="15.75" customHeight="1" x14ac:dyDescent="0.2">
      <c r="A71" s="5" t="s">
        <v>426</v>
      </c>
      <c r="B71" s="5" t="s">
        <v>476</v>
      </c>
      <c r="C71" s="5" t="s">
        <v>477</v>
      </c>
      <c r="D71" s="5" t="s">
        <v>913</v>
      </c>
    </row>
    <row r="72" spans="1:8" ht="15.75" customHeight="1" x14ac:dyDescent="0.2">
      <c r="A72" s="5" t="s">
        <v>485</v>
      </c>
      <c r="B72" s="5" t="s">
        <v>486</v>
      </c>
      <c r="C72" s="5" t="s">
        <v>487</v>
      </c>
      <c r="D72" s="5" t="s">
        <v>612</v>
      </c>
      <c r="E72" s="5" t="s">
        <v>1515</v>
      </c>
      <c r="F72" s="5" t="s">
        <v>1536</v>
      </c>
      <c r="G72" s="5" t="s">
        <v>750</v>
      </c>
      <c r="H72" s="5" t="s">
        <v>732</v>
      </c>
    </row>
    <row r="73" spans="1:8" ht="15.75" customHeight="1" x14ac:dyDescent="0.2">
      <c r="A73" s="5" t="s">
        <v>485</v>
      </c>
      <c r="B73" s="5" t="s">
        <v>494</v>
      </c>
      <c r="C73" s="5" t="s">
        <v>495</v>
      </c>
      <c r="D73" s="5" t="s">
        <v>913</v>
      </c>
    </row>
    <row r="74" spans="1:8" ht="15.75" customHeight="1" x14ac:dyDescent="0.2">
      <c r="A74" s="5" t="s">
        <v>485</v>
      </c>
      <c r="B74" s="5" t="s">
        <v>503</v>
      </c>
      <c r="C74" s="5" t="s">
        <v>504</v>
      </c>
      <c r="D74" s="5" t="s">
        <v>612</v>
      </c>
      <c r="E74" s="5" t="s">
        <v>1537</v>
      </c>
      <c r="F74" s="5" t="s">
        <v>1500</v>
      </c>
      <c r="G74" s="5" t="s">
        <v>627</v>
      </c>
      <c r="H74" s="5" t="s">
        <v>653</v>
      </c>
    </row>
    <row r="75" spans="1:8" ht="15.75" customHeight="1" x14ac:dyDescent="0.2">
      <c r="A75" s="5" t="s">
        <v>485</v>
      </c>
      <c r="B75" s="5" t="s">
        <v>503</v>
      </c>
      <c r="C75" s="5" t="s">
        <v>504</v>
      </c>
      <c r="D75" s="5" t="s">
        <v>612</v>
      </c>
      <c r="E75" s="5" t="s">
        <v>1537</v>
      </c>
      <c r="F75" s="5" t="s">
        <v>1484</v>
      </c>
      <c r="G75" s="5" t="s">
        <v>627</v>
      </c>
      <c r="H75" s="5" t="s">
        <v>649</v>
      </c>
    </row>
    <row r="76" spans="1:8" ht="15.75" customHeight="1" x14ac:dyDescent="0.2">
      <c r="A76" s="5" t="s">
        <v>485</v>
      </c>
      <c r="B76" s="5" t="s">
        <v>511</v>
      </c>
      <c r="C76" s="5" t="s">
        <v>512</v>
      </c>
      <c r="D76" s="5" t="s">
        <v>612</v>
      </c>
      <c r="E76" s="5" t="s">
        <v>1538</v>
      </c>
      <c r="F76" s="5" t="s">
        <v>666</v>
      </c>
      <c r="G76" s="5" t="s">
        <v>627</v>
      </c>
      <c r="H76" s="5" t="s">
        <v>618</v>
      </c>
    </row>
    <row r="77" spans="1:8" ht="15.75" customHeight="1" x14ac:dyDescent="0.2">
      <c r="A77" s="5" t="s">
        <v>485</v>
      </c>
      <c r="B77" s="5" t="s">
        <v>519</v>
      </c>
      <c r="C77" s="5" t="s">
        <v>520</v>
      </c>
      <c r="D77" s="5" t="s">
        <v>612</v>
      </c>
      <c r="E77" s="5" t="s">
        <v>485</v>
      </c>
      <c r="F77" s="5" t="s">
        <v>1487</v>
      </c>
      <c r="G77" s="5" t="s">
        <v>618</v>
      </c>
      <c r="H77" s="5" t="s">
        <v>1485</v>
      </c>
    </row>
    <row r="78" spans="1:8" ht="15.75" customHeight="1" x14ac:dyDescent="0.2">
      <c r="A78" s="5" t="s">
        <v>485</v>
      </c>
      <c r="B78" s="5" t="s">
        <v>519</v>
      </c>
      <c r="C78" s="5" t="s">
        <v>520</v>
      </c>
      <c r="D78" s="5" t="s">
        <v>612</v>
      </c>
      <c r="E78" s="5" t="s">
        <v>485</v>
      </c>
      <c r="F78" s="5" t="s">
        <v>1494</v>
      </c>
      <c r="G78" s="5" t="s">
        <v>632</v>
      </c>
      <c r="H78" s="5" t="s">
        <v>653</v>
      </c>
    </row>
    <row r="79" spans="1:8" ht="15.75" customHeight="1" x14ac:dyDescent="0.2">
      <c r="A79" s="5" t="s">
        <v>485</v>
      </c>
      <c r="B79" s="5" t="s">
        <v>519</v>
      </c>
      <c r="C79" s="5" t="s">
        <v>520</v>
      </c>
      <c r="D79" s="5" t="s">
        <v>612</v>
      </c>
      <c r="E79" s="5" t="s">
        <v>485</v>
      </c>
      <c r="F79" s="5" t="s">
        <v>1487</v>
      </c>
      <c r="G79" s="5" t="s">
        <v>618</v>
      </c>
      <c r="H79" s="5" t="s">
        <v>1485</v>
      </c>
    </row>
    <row r="80" spans="1:8" ht="15.75" customHeight="1" x14ac:dyDescent="0.2">
      <c r="A80" s="5" t="s">
        <v>485</v>
      </c>
      <c r="B80" s="5" t="s">
        <v>519</v>
      </c>
      <c r="C80" s="5" t="s">
        <v>520</v>
      </c>
      <c r="D80" s="5" t="s">
        <v>612</v>
      </c>
      <c r="E80" s="5" t="s">
        <v>485</v>
      </c>
      <c r="F80" s="5" t="s">
        <v>1494</v>
      </c>
      <c r="G80" s="5" t="s">
        <v>632</v>
      </c>
      <c r="H80" s="5" t="s">
        <v>653</v>
      </c>
    </row>
    <row r="81" spans="1:9" ht="15.75" customHeight="1" x14ac:dyDescent="0.2">
      <c r="A81" s="5" t="s">
        <v>485</v>
      </c>
      <c r="B81" s="5" t="s">
        <v>527</v>
      </c>
      <c r="C81" s="5" t="s">
        <v>528</v>
      </c>
      <c r="D81" s="5" t="s">
        <v>612</v>
      </c>
      <c r="E81" s="5" t="s">
        <v>1539</v>
      </c>
      <c r="F81" s="5" t="s">
        <v>1487</v>
      </c>
      <c r="G81" s="5" t="s">
        <v>713</v>
      </c>
      <c r="H81" s="5" t="s">
        <v>713</v>
      </c>
    </row>
    <row r="82" spans="1:9" ht="15.75" customHeight="1" x14ac:dyDescent="0.2">
      <c r="A82" s="5" t="s">
        <v>485</v>
      </c>
      <c r="B82" s="5" t="s">
        <v>527</v>
      </c>
      <c r="C82" s="5" t="s">
        <v>528</v>
      </c>
      <c r="D82" s="5" t="s">
        <v>612</v>
      </c>
      <c r="E82" s="5" t="s">
        <v>1539</v>
      </c>
      <c r="F82" s="5" t="s">
        <v>1484</v>
      </c>
      <c r="G82" s="5" t="s">
        <v>713</v>
      </c>
      <c r="H82" s="5" t="s">
        <v>713</v>
      </c>
    </row>
    <row r="83" spans="1:9" ht="15.75" customHeight="1" x14ac:dyDescent="0.2">
      <c r="A83" s="5" t="s">
        <v>485</v>
      </c>
      <c r="B83" s="5" t="s">
        <v>537</v>
      </c>
      <c r="C83" s="5" t="s">
        <v>538</v>
      </c>
      <c r="D83" s="5" t="s">
        <v>913</v>
      </c>
    </row>
    <row r="84" spans="1:9" ht="15.75" customHeight="1" x14ac:dyDescent="0.2">
      <c r="A84" s="5" t="s">
        <v>485</v>
      </c>
      <c r="B84" s="5" t="s">
        <v>546</v>
      </c>
      <c r="C84" s="5" t="s">
        <v>547</v>
      </c>
      <c r="D84" s="5" t="s">
        <v>913</v>
      </c>
    </row>
    <row r="85" spans="1:9" ht="15.75" customHeight="1" x14ac:dyDescent="0.2">
      <c r="A85" t="s">
        <v>70</v>
      </c>
      <c r="B85" t="s">
        <v>555</v>
      </c>
      <c r="C85" t="s">
        <v>556</v>
      </c>
      <c r="D85" t="s">
        <v>612</v>
      </c>
      <c r="E85" t="s">
        <v>70</v>
      </c>
      <c r="F85" t="s">
        <v>1500</v>
      </c>
      <c r="G85" t="s">
        <v>618</v>
      </c>
      <c r="H85" t="s">
        <v>1485</v>
      </c>
      <c r="I85" t="s">
        <v>1540</v>
      </c>
    </row>
    <row r="86" spans="1:9" ht="15.75" customHeight="1" x14ac:dyDescent="0.2">
      <c r="A86" t="s">
        <v>70</v>
      </c>
      <c r="B86" t="s">
        <v>555</v>
      </c>
      <c r="C86" t="s">
        <v>556</v>
      </c>
      <c r="D86" t="s">
        <v>612</v>
      </c>
      <c r="E86" t="s">
        <v>70</v>
      </c>
      <c r="F86" t="s">
        <v>1541</v>
      </c>
      <c r="G86" t="s">
        <v>693</v>
      </c>
      <c r="H86" t="s">
        <v>621</v>
      </c>
    </row>
    <row r="87" spans="1:9" ht="15.75" customHeight="1" x14ac:dyDescent="0.2">
      <c r="A87" t="s">
        <v>276</v>
      </c>
      <c r="B87" t="s">
        <v>562</v>
      </c>
      <c r="C87" t="s">
        <v>563</v>
      </c>
      <c r="D87" t="s">
        <v>913</v>
      </c>
    </row>
    <row r="88" spans="1:9" ht="15.75" customHeight="1" x14ac:dyDescent="0.2">
      <c r="A88" t="s">
        <v>276</v>
      </c>
      <c r="B88" t="s">
        <v>568</v>
      </c>
      <c r="C88" t="s">
        <v>569</v>
      </c>
      <c r="D88" t="s">
        <v>612</v>
      </c>
      <c r="E88" t="s">
        <v>1542</v>
      </c>
      <c r="F88" t="s">
        <v>1484</v>
      </c>
      <c r="G88" t="s">
        <v>713</v>
      </c>
      <c r="H88" t="s">
        <v>688</v>
      </c>
    </row>
    <row r="89" spans="1:9" ht="15.75" customHeight="1" x14ac:dyDescent="0.2">
      <c r="A89" t="s">
        <v>276</v>
      </c>
      <c r="B89" t="s">
        <v>568</v>
      </c>
      <c r="C89" t="s">
        <v>569</v>
      </c>
      <c r="D89" t="s">
        <v>612</v>
      </c>
      <c r="E89" t="s">
        <v>1542</v>
      </c>
      <c r="F89" t="s">
        <v>1543</v>
      </c>
      <c r="G89" t="s">
        <v>713</v>
      </c>
      <c r="H89" t="s">
        <v>688</v>
      </c>
    </row>
    <row r="90" spans="1:9" ht="15.75" customHeight="1" x14ac:dyDescent="0.2">
      <c r="A90" t="s">
        <v>276</v>
      </c>
      <c r="B90" t="s">
        <v>574</v>
      </c>
      <c r="C90" t="s">
        <v>575</v>
      </c>
      <c r="D90" t="s">
        <v>913</v>
      </c>
    </row>
    <row r="91" spans="1:9" ht="15.75" customHeight="1" x14ac:dyDescent="0.2"/>
    <row r="92" spans="1:9" ht="15.75" customHeight="1" x14ac:dyDescent="0.2"/>
    <row r="93" spans="1:9" ht="15.75" customHeight="1" x14ac:dyDescent="0.2"/>
    <row r="94" spans="1:9" ht="15.75" customHeight="1" x14ac:dyDescent="0.2"/>
    <row r="95" spans="1:9" ht="15.75" customHeight="1" x14ac:dyDescent="0.2"/>
    <row r="96" spans="1:9"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00"/>
  <sheetViews>
    <sheetView workbookViewId="0"/>
  </sheetViews>
  <sheetFormatPr baseColWidth="10" defaultColWidth="14.5" defaultRowHeight="15" customHeight="1" x14ac:dyDescent="0.2"/>
  <cols>
    <col min="1" max="26" width="8.6640625" customWidth="1"/>
  </cols>
  <sheetData>
    <row r="1" spans="1:9" x14ac:dyDescent="0.2">
      <c r="A1" s="1" t="s">
        <v>0</v>
      </c>
      <c r="B1" s="1" t="s">
        <v>1</v>
      </c>
      <c r="C1" s="1" t="s">
        <v>2</v>
      </c>
      <c r="D1" s="1" t="s">
        <v>1544</v>
      </c>
      <c r="E1" s="1" t="s">
        <v>1482</v>
      </c>
      <c r="F1" s="1" t="s">
        <v>604</v>
      </c>
      <c r="G1" s="1" t="s">
        <v>605</v>
      </c>
      <c r="H1" s="1" t="s">
        <v>1545</v>
      </c>
      <c r="I1" s="1" t="s">
        <v>1546</v>
      </c>
    </row>
    <row r="2" spans="1:9" x14ac:dyDescent="0.2">
      <c r="A2" s="5" t="s">
        <v>26</v>
      </c>
      <c r="B2" s="5" t="s">
        <v>27</v>
      </c>
      <c r="C2" s="5" t="s">
        <v>28</v>
      </c>
      <c r="D2" s="5" t="s">
        <v>612</v>
      </c>
      <c r="E2" s="5" t="s">
        <v>1547</v>
      </c>
      <c r="F2" s="5" t="s">
        <v>623</v>
      </c>
      <c r="G2" s="5" t="s">
        <v>624</v>
      </c>
      <c r="H2" s="5" t="s">
        <v>1548</v>
      </c>
    </row>
    <row r="3" spans="1:9" x14ac:dyDescent="0.2">
      <c r="A3" s="5" t="s">
        <v>26</v>
      </c>
      <c r="B3" s="5" t="s">
        <v>40</v>
      </c>
      <c r="C3" s="5" t="s">
        <v>41</v>
      </c>
      <c r="D3" s="5" t="s">
        <v>913</v>
      </c>
    </row>
    <row r="4" spans="1:9" x14ac:dyDescent="0.2">
      <c r="A4" s="5" t="s">
        <v>26</v>
      </c>
      <c r="B4" s="5" t="s">
        <v>40</v>
      </c>
      <c r="C4" s="5" t="s">
        <v>41</v>
      </c>
      <c r="D4" s="5" t="s">
        <v>913</v>
      </c>
    </row>
    <row r="5" spans="1:9" x14ac:dyDescent="0.2">
      <c r="A5" s="5" t="s">
        <v>26</v>
      </c>
      <c r="B5" s="5" t="s">
        <v>50</v>
      </c>
      <c r="C5" s="5" t="s">
        <v>51</v>
      </c>
      <c r="D5" s="5" t="s">
        <v>612</v>
      </c>
      <c r="E5" s="5" t="s">
        <v>276</v>
      </c>
      <c r="F5" s="5" t="s">
        <v>627</v>
      </c>
      <c r="G5" s="5" t="s">
        <v>618</v>
      </c>
      <c r="H5" s="5" t="s">
        <v>1548</v>
      </c>
    </row>
    <row r="6" spans="1:9" x14ac:dyDescent="0.2">
      <c r="A6" s="5" t="s">
        <v>26</v>
      </c>
      <c r="B6" s="5" t="s">
        <v>61</v>
      </c>
      <c r="C6" s="5" t="s">
        <v>62</v>
      </c>
      <c r="D6" s="5" t="s">
        <v>612</v>
      </c>
      <c r="E6" s="5" t="s">
        <v>1523</v>
      </c>
      <c r="F6" s="5" t="s">
        <v>621</v>
      </c>
      <c r="G6" s="5" t="s">
        <v>627</v>
      </c>
      <c r="H6" s="5" t="s">
        <v>1548</v>
      </c>
    </row>
    <row r="7" spans="1:9" x14ac:dyDescent="0.2">
      <c r="A7" s="5" t="s">
        <v>70</v>
      </c>
      <c r="B7" s="5" t="s">
        <v>71</v>
      </c>
      <c r="C7" s="5" t="s">
        <v>72</v>
      </c>
      <c r="D7" s="5" t="s">
        <v>612</v>
      </c>
      <c r="E7" s="5" t="s">
        <v>1549</v>
      </c>
      <c r="F7" s="5" t="s">
        <v>623</v>
      </c>
      <c r="G7" s="5" t="s">
        <v>624</v>
      </c>
      <c r="H7" s="5" t="s">
        <v>1548</v>
      </c>
    </row>
    <row r="8" spans="1:9" x14ac:dyDescent="0.2">
      <c r="A8" s="5" t="s">
        <v>70</v>
      </c>
      <c r="B8" s="5" t="s">
        <v>71</v>
      </c>
      <c r="C8" s="5" t="s">
        <v>72</v>
      </c>
      <c r="D8" s="5" t="s">
        <v>612</v>
      </c>
      <c r="E8" s="5" t="s">
        <v>1550</v>
      </c>
      <c r="F8" s="5" t="s">
        <v>713</v>
      </c>
      <c r="G8" s="5" t="s">
        <v>623</v>
      </c>
      <c r="H8" s="5" t="s">
        <v>1548</v>
      </c>
    </row>
    <row r="9" spans="1:9" x14ac:dyDescent="0.2">
      <c r="A9" s="5" t="s">
        <v>70</v>
      </c>
      <c r="B9" s="5" t="s">
        <v>82</v>
      </c>
      <c r="C9" s="5" t="s">
        <v>83</v>
      </c>
      <c r="D9" s="5" t="s">
        <v>612</v>
      </c>
      <c r="E9" s="5" t="s">
        <v>1491</v>
      </c>
      <c r="F9" s="5" t="s">
        <v>623</v>
      </c>
      <c r="G9" s="5" t="s">
        <v>706</v>
      </c>
      <c r="H9" s="5" t="s">
        <v>1551</v>
      </c>
    </row>
    <row r="10" spans="1:9" x14ac:dyDescent="0.2">
      <c r="A10" s="5" t="s">
        <v>70</v>
      </c>
      <c r="B10" s="5" t="s">
        <v>93</v>
      </c>
      <c r="C10" s="5" t="s">
        <v>94</v>
      </c>
      <c r="D10" s="5" t="s">
        <v>913</v>
      </c>
    </row>
    <row r="11" spans="1:9" x14ac:dyDescent="0.2">
      <c r="A11" s="5" t="s">
        <v>70</v>
      </c>
      <c r="B11" s="5" t="s">
        <v>102</v>
      </c>
      <c r="C11" s="5" t="s">
        <v>103</v>
      </c>
      <c r="D11" s="5" t="s">
        <v>612</v>
      </c>
      <c r="E11" s="5" t="s">
        <v>70</v>
      </c>
      <c r="F11" s="5" t="s">
        <v>627</v>
      </c>
      <c r="G11" s="5" t="s">
        <v>618</v>
      </c>
      <c r="H11" s="5" t="s">
        <v>1548</v>
      </c>
      <c r="I11" s="5" t="s">
        <v>1552</v>
      </c>
    </row>
    <row r="12" spans="1:9" x14ac:dyDescent="0.2">
      <c r="A12" s="5" t="s">
        <v>70</v>
      </c>
      <c r="B12" s="5" t="s">
        <v>112</v>
      </c>
      <c r="C12" s="5" t="s">
        <v>113</v>
      </c>
      <c r="D12" s="5" t="s">
        <v>612</v>
      </c>
      <c r="E12" s="5" t="s">
        <v>70</v>
      </c>
      <c r="F12" s="5" t="s">
        <v>621</v>
      </c>
      <c r="G12" s="5" t="s">
        <v>627</v>
      </c>
      <c r="H12" s="5" t="s">
        <v>1548</v>
      </c>
      <c r="I12" s="5" t="s">
        <v>1553</v>
      </c>
    </row>
    <row r="13" spans="1:9" x14ac:dyDescent="0.2">
      <c r="A13" s="5" t="s">
        <v>70</v>
      </c>
      <c r="B13" s="5" t="s">
        <v>112</v>
      </c>
      <c r="C13" s="5" t="s">
        <v>113</v>
      </c>
      <c r="D13" s="5" t="s">
        <v>612</v>
      </c>
      <c r="E13" s="5" t="s">
        <v>1554</v>
      </c>
      <c r="G13" s="5" t="s">
        <v>1485</v>
      </c>
      <c r="H13" s="5" t="s">
        <v>1555</v>
      </c>
      <c r="I13" s="5" t="s">
        <v>1556</v>
      </c>
    </row>
    <row r="14" spans="1:9" x14ac:dyDescent="0.2">
      <c r="A14" s="5" t="s">
        <v>70</v>
      </c>
      <c r="B14" s="5" t="s">
        <v>123</v>
      </c>
      <c r="C14" s="5" t="s">
        <v>124</v>
      </c>
      <c r="D14" s="5" t="s">
        <v>612</v>
      </c>
      <c r="E14" s="5" t="s">
        <v>1557</v>
      </c>
      <c r="F14" s="5" t="s">
        <v>750</v>
      </c>
      <c r="G14" s="5" t="s">
        <v>713</v>
      </c>
      <c r="H14" s="5" t="s">
        <v>1558</v>
      </c>
    </row>
    <row r="15" spans="1:9" x14ac:dyDescent="0.2">
      <c r="A15" s="5" t="s">
        <v>70</v>
      </c>
      <c r="B15" s="5" t="s">
        <v>123</v>
      </c>
      <c r="C15" s="5" t="s">
        <v>124</v>
      </c>
      <c r="D15" s="5" t="s">
        <v>612</v>
      </c>
      <c r="E15" s="5" t="s">
        <v>70</v>
      </c>
      <c r="F15" s="5" t="s">
        <v>624</v>
      </c>
      <c r="G15" s="5" t="s">
        <v>627</v>
      </c>
      <c r="H15" s="5" t="s">
        <v>1548</v>
      </c>
      <c r="I15" s="5" t="s">
        <v>1559</v>
      </c>
    </row>
    <row r="16" spans="1:9" x14ac:dyDescent="0.2">
      <c r="A16" s="5" t="s">
        <v>70</v>
      </c>
      <c r="B16" s="5" t="s">
        <v>134</v>
      </c>
      <c r="C16" s="5" t="s">
        <v>135</v>
      </c>
      <c r="D16" s="5" t="s">
        <v>612</v>
      </c>
      <c r="E16" s="5" t="s">
        <v>70</v>
      </c>
      <c r="F16" s="5" t="s">
        <v>627</v>
      </c>
      <c r="G16" s="5" t="s">
        <v>618</v>
      </c>
      <c r="H16" s="5" t="s">
        <v>1548</v>
      </c>
      <c r="I16" s="5" t="s">
        <v>1560</v>
      </c>
    </row>
    <row r="17" spans="1:9" x14ac:dyDescent="0.2">
      <c r="A17" s="5" t="s">
        <v>70</v>
      </c>
      <c r="B17" s="5" t="s">
        <v>144</v>
      </c>
      <c r="C17" s="5" t="s">
        <v>145</v>
      </c>
      <c r="D17" s="5" t="s">
        <v>612</v>
      </c>
      <c r="E17" s="5" t="s">
        <v>70</v>
      </c>
      <c r="F17" s="5" t="s">
        <v>627</v>
      </c>
      <c r="G17" s="5" t="s">
        <v>618</v>
      </c>
      <c r="H17" s="5" t="s">
        <v>1548</v>
      </c>
    </row>
    <row r="18" spans="1:9" x14ac:dyDescent="0.2">
      <c r="A18" s="5" t="s">
        <v>70</v>
      </c>
      <c r="B18" s="5" t="s">
        <v>154</v>
      </c>
      <c r="C18" s="5" t="s">
        <v>155</v>
      </c>
      <c r="D18" s="5" t="s">
        <v>612</v>
      </c>
      <c r="E18" s="5" t="s">
        <v>1561</v>
      </c>
      <c r="F18" s="5" t="s">
        <v>688</v>
      </c>
      <c r="G18" s="5" t="s">
        <v>693</v>
      </c>
      <c r="H18" s="5" t="s">
        <v>1562</v>
      </c>
    </row>
    <row r="19" spans="1:9" x14ac:dyDescent="0.2">
      <c r="A19" s="5" t="s">
        <v>70</v>
      </c>
      <c r="B19" s="5" t="s">
        <v>154</v>
      </c>
      <c r="C19" s="5" t="s">
        <v>155</v>
      </c>
      <c r="D19" s="5" t="s">
        <v>612</v>
      </c>
      <c r="E19" s="5" t="s">
        <v>70</v>
      </c>
      <c r="F19" s="5" t="s">
        <v>627</v>
      </c>
      <c r="G19" s="5" t="s">
        <v>618</v>
      </c>
      <c r="H19" s="5" t="s">
        <v>1548</v>
      </c>
      <c r="I19" s="5" t="s">
        <v>761</v>
      </c>
    </row>
    <row r="20" spans="1:9" x14ac:dyDescent="0.2">
      <c r="A20" s="5" t="s">
        <v>70</v>
      </c>
      <c r="B20" s="5" t="s">
        <v>165</v>
      </c>
      <c r="C20" s="5" t="s">
        <v>166</v>
      </c>
      <c r="D20" s="5" t="s">
        <v>612</v>
      </c>
      <c r="E20" s="5" t="s">
        <v>1549</v>
      </c>
      <c r="F20" s="5" t="s">
        <v>623</v>
      </c>
      <c r="G20" s="5" t="s">
        <v>624</v>
      </c>
      <c r="H20" s="5" t="s">
        <v>1548</v>
      </c>
    </row>
    <row r="21" spans="1:9" ht="15.75" customHeight="1" x14ac:dyDescent="0.2">
      <c r="A21" s="5" t="s">
        <v>70</v>
      </c>
      <c r="B21" s="5" t="s">
        <v>165</v>
      </c>
      <c r="C21" s="5" t="s">
        <v>166</v>
      </c>
      <c r="D21" s="5" t="s">
        <v>612</v>
      </c>
      <c r="E21" s="5" t="s">
        <v>70</v>
      </c>
      <c r="F21" s="5" t="s">
        <v>624</v>
      </c>
      <c r="G21" s="5" t="s">
        <v>627</v>
      </c>
      <c r="H21" s="5" t="s">
        <v>1548</v>
      </c>
      <c r="I21" s="5" t="s">
        <v>1563</v>
      </c>
    </row>
    <row r="22" spans="1:9" ht="15.75" customHeight="1" x14ac:dyDescent="0.2">
      <c r="A22" s="5" t="s">
        <v>70</v>
      </c>
      <c r="B22" s="5" t="s">
        <v>176</v>
      </c>
      <c r="C22" s="5" t="s">
        <v>177</v>
      </c>
      <c r="D22" s="5" t="s">
        <v>612</v>
      </c>
      <c r="E22" s="5" t="s">
        <v>70</v>
      </c>
      <c r="F22" s="5" t="s">
        <v>621</v>
      </c>
      <c r="G22" s="5" t="s">
        <v>627</v>
      </c>
      <c r="H22" s="5" t="s">
        <v>1548</v>
      </c>
    </row>
    <row r="23" spans="1:9" ht="15.75" customHeight="1" x14ac:dyDescent="0.2">
      <c r="A23" s="5" t="s">
        <v>70</v>
      </c>
      <c r="B23" s="5" t="s">
        <v>184</v>
      </c>
      <c r="C23" s="5" t="s">
        <v>185</v>
      </c>
      <c r="D23" s="5" t="s">
        <v>612</v>
      </c>
      <c r="E23" s="5" t="s">
        <v>70</v>
      </c>
      <c r="F23" s="5" t="s">
        <v>688</v>
      </c>
      <c r="G23" s="5" t="s">
        <v>693</v>
      </c>
      <c r="H23" s="5" t="s">
        <v>1562</v>
      </c>
      <c r="I23" s="5" t="s">
        <v>1564</v>
      </c>
    </row>
    <row r="24" spans="1:9" ht="15.75" customHeight="1" x14ac:dyDescent="0.2">
      <c r="A24" s="5" t="s">
        <v>70</v>
      </c>
      <c r="B24" s="5" t="s">
        <v>184</v>
      </c>
      <c r="C24" s="5" t="s">
        <v>185</v>
      </c>
      <c r="D24" s="5" t="s">
        <v>612</v>
      </c>
      <c r="E24" s="5" t="s">
        <v>70</v>
      </c>
      <c r="F24" s="5" t="s">
        <v>624</v>
      </c>
      <c r="G24" s="5" t="s">
        <v>627</v>
      </c>
      <c r="H24" s="5" t="s">
        <v>1548</v>
      </c>
      <c r="I24" s="5" t="s">
        <v>1565</v>
      </c>
    </row>
    <row r="25" spans="1:9" ht="15.75" customHeight="1" x14ac:dyDescent="0.2">
      <c r="A25" s="5" t="s">
        <v>70</v>
      </c>
      <c r="B25" s="5" t="s">
        <v>193</v>
      </c>
      <c r="C25" s="5" t="s">
        <v>194</v>
      </c>
      <c r="D25" s="5" t="s">
        <v>612</v>
      </c>
      <c r="E25" s="5" t="s">
        <v>1550</v>
      </c>
      <c r="F25" s="5" t="s">
        <v>713</v>
      </c>
      <c r="G25" s="5" t="s">
        <v>623</v>
      </c>
      <c r="H25" s="5" t="s">
        <v>1548</v>
      </c>
    </row>
    <row r="26" spans="1:9" ht="15.75" customHeight="1" x14ac:dyDescent="0.2">
      <c r="A26" s="5" t="s">
        <v>70</v>
      </c>
      <c r="B26" s="5" t="s">
        <v>193</v>
      </c>
      <c r="C26" s="5" t="s">
        <v>194</v>
      </c>
      <c r="D26" s="5" t="s">
        <v>612</v>
      </c>
      <c r="E26" s="5" t="s">
        <v>1566</v>
      </c>
      <c r="F26" s="5" t="s">
        <v>1040</v>
      </c>
      <c r="G26" s="5" t="s">
        <v>1567</v>
      </c>
      <c r="H26" s="5" t="s">
        <v>1548</v>
      </c>
    </row>
    <row r="27" spans="1:9" ht="15.75" customHeight="1" x14ac:dyDescent="0.2">
      <c r="A27" s="5" t="s">
        <v>70</v>
      </c>
      <c r="B27" s="5" t="s">
        <v>200</v>
      </c>
      <c r="C27" s="5" t="s">
        <v>201</v>
      </c>
      <c r="D27" s="5" t="s">
        <v>612</v>
      </c>
      <c r="E27" s="5" t="s">
        <v>70</v>
      </c>
      <c r="F27" s="5" t="s">
        <v>688</v>
      </c>
      <c r="G27" s="5" t="s">
        <v>693</v>
      </c>
      <c r="H27" s="5" t="s">
        <v>1551</v>
      </c>
    </row>
    <row r="28" spans="1:9" ht="15.75" customHeight="1" x14ac:dyDescent="0.2">
      <c r="A28" s="5" t="s">
        <v>70</v>
      </c>
      <c r="B28" s="5" t="s">
        <v>211</v>
      </c>
      <c r="C28" s="5" t="s">
        <v>212</v>
      </c>
      <c r="D28" s="5" t="s">
        <v>612</v>
      </c>
      <c r="E28" s="5" t="s">
        <v>1568</v>
      </c>
      <c r="F28" s="5" t="s">
        <v>1567</v>
      </c>
      <c r="G28" s="5" t="s">
        <v>713</v>
      </c>
      <c r="H28" s="5" t="s">
        <v>1548</v>
      </c>
    </row>
    <row r="29" spans="1:9" ht="15.75" customHeight="1" x14ac:dyDescent="0.2">
      <c r="A29" s="5" t="s">
        <v>70</v>
      </c>
      <c r="B29" s="5" t="s">
        <v>221</v>
      </c>
      <c r="C29" s="5" t="s">
        <v>222</v>
      </c>
      <c r="D29" s="5" t="s">
        <v>612</v>
      </c>
      <c r="E29" s="5" t="s">
        <v>1505</v>
      </c>
      <c r="F29" s="5" t="s">
        <v>649</v>
      </c>
      <c r="G29" s="5" t="s">
        <v>618</v>
      </c>
      <c r="H29" s="5" t="s">
        <v>1548</v>
      </c>
      <c r="I29" s="5" t="s">
        <v>1569</v>
      </c>
    </row>
    <row r="30" spans="1:9" ht="15.75" customHeight="1" x14ac:dyDescent="0.2">
      <c r="A30" s="5" t="s">
        <v>70</v>
      </c>
      <c r="B30" s="5" t="s">
        <v>229</v>
      </c>
      <c r="C30" s="5" t="s">
        <v>230</v>
      </c>
      <c r="D30" s="5" t="s">
        <v>612</v>
      </c>
      <c r="E30" s="5" t="s">
        <v>70</v>
      </c>
      <c r="F30" s="5" t="s">
        <v>624</v>
      </c>
      <c r="G30" s="5" t="s">
        <v>627</v>
      </c>
      <c r="H30" s="5" t="s">
        <v>1548</v>
      </c>
      <c r="I30" s="5" t="s">
        <v>1570</v>
      </c>
    </row>
    <row r="31" spans="1:9" ht="15.75" customHeight="1" x14ac:dyDescent="0.2">
      <c r="A31" s="5" t="s">
        <v>70</v>
      </c>
      <c r="B31" s="5" t="s">
        <v>229</v>
      </c>
      <c r="C31" s="5" t="s">
        <v>230</v>
      </c>
      <c r="D31" s="5" t="s">
        <v>612</v>
      </c>
      <c r="E31" s="5" t="s">
        <v>1549</v>
      </c>
      <c r="F31" s="5" t="s">
        <v>623</v>
      </c>
      <c r="G31" s="5" t="s">
        <v>624</v>
      </c>
      <c r="H31" s="5" t="s">
        <v>1548</v>
      </c>
    </row>
    <row r="32" spans="1:9" ht="15.75" customHeight="1" x14ac:dyDescent="0.2">
      <c r="A32" s="5" t="s">
        <v>70</v>
      </c>
      <c r="B32" s="5" t="s">
        <v>238</v>
      </c>
      <c r="C32" s="5" t="s">
        <v>239</v>
      </c>
      <c r="D32" s="5" t="s">
        <v>612</v>
      </c>
      <c r="E32" s="5" t="s">
        <v>1549</v>
      </c>
      <c r="F32" s="5" t="s">
        <v>623</v>
      </c>
      <c r="G32" s="5" t="s">
        <v>624</v>
      </c>
      <c r="H32" s="5" t="s">
        <v>1548</v>
      </c>
    </row>
    <row r="33" spans="1:9" ht="15.75" customHeight="1" x14ac:dyDescent="0.2">
      <c r="A33" s="5" t="s">
        <v>70</v>
      </c>
      <c r="B33" s="5" t="s">
        <v>238</v>
      </c>
      <c r="C33" s="5" t="s">
        <v>239</v>
      </c>
      <c r="D33" s="5" t="s">
        <v>612</v>
      </c>
      <c r="E33" s="5" t="s">
        <v>70</v>
      </c>
      <c r="F33" s="5" t="s">
        <v>624</v>
      </c>
      <c r="G33" s="5" t="s">
        <v>627</v>
      </c>
      <c r="H33" s="5" t="s">
        <v>1548</v>
      </c>
      <c r="I33" s="5" t="s">
        <v>1571</v>
      </c>
    </row>
    <row r="34" spans="1:9" ht="15.75" customHeight="1" x14ac:dyDescent="0.2">
      <c r="A34" s="5" t="s">
        <v>70</v>
      </c>
      <c r="B34" s="5" t="s">
        <v>247</v>
      </c>
      <c r="C34" s="5" t="s">
        <v>248</v>
      </c>
      <c r="D34" s="5" t="s">
        <v>612</v>
      </c>
      <c r="E34" s="5" t="s">
        <v>1512</v>
      </c>
      <c r="F34" s="5" t="s">
        <v>623</v>
      </c>
      <c r="G34" s="5" t="s">
        <v>706</v>
      </c>
      <c r="H34" s="5" t="s">
        <v>1551</v>
      </c>
    </row>
    <row r="35" spans="1:9" ht="15.75" customHeight="1" x14ac:dyDescent="0.2">
      <c r="A35" s="5" t="s">
        <v>70</v>
      </c>
      <c r="B35" s="5" t="s">
        <v>247</v>
      </c>
      <c r="C35" s="5" t="s">
        <v>248</v>
      </c>
      <c r="D35" s="5" t="s">
        <v>612</v>
      </c>
      <c r="E35" s="5" t="s">
        <v>1512</v>
      </c>
      <c r="F35" s="5" t="s">
        <v>732</v>
      </c>
      <c r="G35" s="5" t="s">
        <v>757</v>
      </c>
      <c r="H35" s="5" t="s">
        <v>1551</v>
      </c>
    </row>
    <row r="36" spans="1:9" ht="15.75" customHeight="1" x14ac:dyDescent="0.2">
      <c r="A36" s="5" t="s">
        <v>70</v>
      </c>
      <c r="B36" s="5" t="s">
        <v>257</v>
      </c>
      <c r="C36" s="5" t="s">
        <v>258</v>
      </c>
      <c r="D36" s="5" t="s">
        <v>612</v>
      </c>
      <c r="E36" s="5" t="s">
        <v>70</v>
      </c>
      <c r="F36" s="5" t="s">
        <v>627</v>
      </c>
      <c r="G36" s="5" t="s">
        <v>618</v>
      </c>
      <c r="H36" s="5" t="s">
        <v>1548</v>
      </c>
      <c r="I36" s="5" t="s">
        <v>1572</v>
      </c>
    </row>
    <row r="37" spans="1:9" ht="15.75" customHeight="1" x14ac:dyDescent="0.2">
      <c r="A37" s="5" t="s">
        <v>70</v>
      </c>
      <c r="B37" s="5" t="s">
        <v>268</v>
      </c>
      <c r="C37" s="5" t="s">
        <v>269</v>
      </c>
      <c r="D37" s="5" t="s">
        <v>612</v>
      </c>
      <c r="E37" s="5" t="s">
        <v>1515</v>
      </c>
      <c r="F37" s="5" t="s">
        <v>688</v>
      </c>
      <c r="G37" s="5" t="s">
        <v>693</v>
      </c>
      <c r="H37" s="5" t="s">
        <v>1562</v>
      </c>
    </row>
    <row r="38" spans="1:9" ht="15.75" customHeight="1" x14ac:dyDescent="0.2">
      <c r="A38" s="5" t="s">
        <v>70</v>
      </c>
      <c r="B38" s="5" t="s">
        <v>268</v>
      </c>
      <c r="C38" s="5" t="s">
        <v>269</v>
      </c>
      <c r="D38" s="5" t="s">
        <v>612</v>
      </c>
      <c r="E38" s="5" t="s">
        <v>1573</v>
      </c>
      <c r="F38" s="5" t="s">
        <v>713</v>
      </c>
      <c r="G38" s="5" t="s">
        <v>623</v>
      </c>
      <c r="H38" s="5" t="s">
        <v>1548</v>
      </c>
    </row>
    <row r="39" spans="1:9" ht="15.75" customHeight="1" x14ac:dyDescent="0.2">
      <c r="A39" s="5" t="s">
        <v>276</v>
      </c>
      <c r="B39" s="5" t="s">
        <v>277</v>
      </c>
      <c r="C39" s="5" t="s">
        <v>278</v>
      </c>
      <c r="D39" s="5" t="s">
        <v>913</v>
      </c>
    </row>
    <row r="40" spans="1:9" ht="15.75" customHeight="1" x14ac:dyDescent="0.2">
      <c r="A40" s="5" t="s">
        <v>276</v>
      </c>
      <c r="B40" s="5" t="s">
        <v>288</v>
      </c>
      <c r="C40" s="5" t="s">
        <v>289</v>
      </c>
      <c r="D40" s="5" t="s">
        <v>913</v>
      </c>
    </row>
    <row r="41" spans="1:9" ht="15.75" customHeight="1" x14ac:dyDescent="0.2">
      <c r="A41" s="5" t="s">
        <v>276</v>
      </c>
      <c r="B41" s="5" t="s">
        <v>296</v>
      </c>
      <c r="C41" s="5" t="s">
        <v>297</v>
      </c>
      <c r="D41" s="5" t="s">
        <v>913</v>
      </c>
    </row>
    <row r="42" spans="1:9" ht="15.75" customHeight="1" x14ac:dyDescent="0.2">
      <c r="A42" s="5" t="s">
        <v>276</v>
      </c>
      <c r="B42" s="5" t="s">
        <v>305</v>
      </c>
      <c r="C42" s="5" t="s">
        <v>306</v>
      </c>
      <c r="D42" s="5" t="s">
        <v>913</v>
      </c>
    </row>
    <row r="43" spans="1:9" ht="15.75" customHeight="1" x14ac:dyDescent="0.2">
      <c r="A43" s="5" t="s">
        <v>276</v>
      </c>
      <c r="B43" s="5" t="s">
        <v>316</v>
      </c>
      <c r="C43" s="5" t="s">
        <v>317</v>
      </c>
      <c r="D43" s="5" t="s">
        <v>612</v>
      </c>
      <c r="E43" s="5" t="s">
        <v>1521</v>
      </c>
      <c r="F43" s="5" t="s">
        <v>623</v>
      </c>
      <c r="G43" s="5" t="s">
        <v>706</v>
      </c>
      <c r="H43" s="5" t="s">
        <v>1562</v>
      </c>
    </row>
    <row r="44" spans="1:9" ht="15.75" customHeight="1" x14ac:dyDescent="0.2">
      <c r="A44" s="5" t="s">
        <v>276</v>
      </c>
      <c r="B44" s="5" t="s">
        <v>316</v>
      </c>
      <c r="C44" s="5" t="s">
        <v>317</v>
      </c>
      <c r="D44" s="5" t="s">
        <v>612</v>
      </c>
      <c r="E44" s="5" t="s">
        <v>1574</v>
      </c>
      <c r="F44" s="5" t="s">
        <v>627</v>
      </c>
      <c r="G44" s="5" t="s">
        <v>618</v>
      </c>
      <c r="H44" s="5" t="s">
        <v>1548</v>
      </c>
    </row>
    <row r="45" spans="1:9" ht="15.75" customHeight="1" x14ac:dyDescent="0.2">
      <c r="A45" s="5" t="s">
        <v>276</v>
      </c>
      <c r="B45" s="5" t="s">
        <v>327</v>
      </c>
      <c r="C45" s="5" t="s">
        <v>328</v>
      </c>
      <c r="D45" s="5" t="s">
        <v>612</v>
      </c>
      <c r="E45" s="5" t="s">
        <v>1575</v>
      </c>
      <c r="F45" s="5" t="s">
        <v>688</v>
      </c>
      <c r="G45" s="5" t="s">
        <v>693</v>
      </c>
      <c r="H45" s="5" t="s">
        <v>1562</v>
      </c>
    </row>
    <row r="46" spans="1:9" ht="15.75" customHeight="1" x14ac:dyDescent="0.2">
      <c r="A46" s="5" t="s">
        <v>276</v>
      </c>
      <c r="B46" s="5" t="s">
        <v>337</v>
      </c>
      <c r="C46" s="5" t="s">
        <v>338</v>
      </c>
      <c r="D46" s="5" t="s">
        <v>612</v>
      </c>
      <c r="E46" s="5" t="s">
        <v>1523</v>
      </c>
      <c r="F46" s="5" t="s">
        <v>624</v>
      </c>
      <c r="G46" s="5" t="s">
        <v>627</v>
      </c>
      <c r="H46" s="5" t="s">
        <v>1548</v>
      </c>
    </row>
    <row r="47" spans="1:9" ht="15.75" customHeight="1" x14ac:dyDescent="0.2">
      <c r="A47" s="5" t="s">
        <v>276</v>
      </c>
      <c r="B47" s="5" t="s">
        <v>346</v>
      </c>
      <c r="C47" s="5" t="s">
        <v>347</v>
      </c>
      <c r="D47" s="5" t="s">
        <v>913</v>
      </c>
    </row>
    <row r="48" spans="1:9" ht="15.75" customHeight="1" x14ac:dyDescent="0.2">
      <c r="A48" s="5" t="s">
        <v>276</v>
      </c>
      <c r="B48" s="5" t="s">
        <v>355</v>
      </c>
      <c r="C48" s="5" t="s">
        <v>356</v>
      </c>
      <c r="D48" s="5" t="s">
        <v>612</v>
      </c>
      <c r="E48" s="5" t="s">
        <v>1574</v>
      </c>
      <c r="F48" s="5" t="s">
        <v>627</v>
      </c>
      <c r="G48" s="5" t="s">
        <v>618</v>
      </c>
      <c r="H48" s="5" t="s">
        <v>1548</v>
      </c>
    </row>
    <row r="49" spans="1:8" ht="15.75" customHeight="1" x14ac:dyDescent="0.2">
      <c r="A49" s="5" t="s">
        <v>276</v>
      </c>
      <c r="B49" s="5" t="s">
        <v>363</v>
      </c>
      <c r="C49" s="5" t="s">
        <v>364</v>
      </c>
      <c r="D49" s="5" t="s">
        <v>612</v>
      </c>
      <c r="E49" s="5" t="s">
        <v>1574</v>
      </c>
      <c r="F49" s="5" t="s">
        <v>627</v>
      </c>
      <c r="G49" s="5" t="s">
        <v>618</v>
      </c>
      <c r="H49" s="5" t="s">
        <v>1548</v>
      </c>
    </row>
    <row r="50" spans="1:8" ht="15.75" customHeight="1" x14ac:dyDescent="0.2">
      <c r="A50" s="5" t="s">
        <v>276</v>
      </c>
      <c r="B50" s="5" t="s">
        <v>372</v>
      </c>
      <c r="C50" s="5" t="s">
        <v>373</v>
      </c>
      <c r="D50" s="5" t="s">
        <v>913</v>
      </c>
    </row>
    <row r="51" spans="1:8" ht="15.75" customHeight="1" x14ac:dyDescent="0.2">
      <c r="A51" s="5" t="s">
        <v>380</v>
      </c>
      <c r="B51" s="5" t="s">
        <v>381</v>
      </c>
      <c r="C51" s="5" t="s">
        <v>382</v>
      </c>
      <c r="D51" s="5" t="s">
        <v>612</v>
      </c>
      <c r="E51" s="5" t="s">
        <v>276</v>
      </c>
      <c r="F51" s="5" t="s">
        <v>653</v>
      </c>
      <c r="G51" s="5" t="s">
        <v>1485</v>
      </c>
      <c r="H51" s="5" t="s">
        <v>1576</v>
      </c>
    </row>
    <row r="52" spans="1:8" ht="15.75" customHeight="1" x14ac:dyDescent="0.2">
      <c r="A52" s="5" t="s">
        <v>380</v>
      </c>
      <c r="B52" s="5" t="s">
        <v>381</v>
      </c>
      <c r="C52" s="5" t="s">
        <v>382</v>
      </c>
      <c r="D52" s="5" t="s">
        <v>612</v>
      </c>
      <c r="E52" s="5" t="s">
        <v>1577</v>
      </c>
      <c r="F52" s="5" t="s">
        <v>732</v>
      </c>
      <c r="G52" s="5" t="s">
        <v>757</v>
      </c>
      <c r="H52" s="5" t="s">
        <v>1576</v>
      </c>
    </row>
    <row r="53" spans="1:8" ht="15.75" customHeight="1" x14ac:dyDescent="0.2">
      <c r="A53" s="5" t="s">
        <v>380</v>
      </c>
      <c r="B53" s="5" t="s">
        <v>390</v>
      </c>
      <c r="C53" s="5" t="s">
        <v>391</v>
      </c>
      <c r="D53" s="5" t="s">
        <v>612</v>
      </c>
      <c r="E53" s="5" t="s">
        <v>1578</v>
      </c>
      <c r="F53" s="5" t="s">
        <v>627</v>
      </c>
      <c r="G53" s="5" t="s">
        <v>627</v>
      </c>
      <c r="H53" s="5" t="s">
        <v>441</v>
      </c>
    </row>
    <row r="54" spans="1:8" ht="15.75" customHeight="1" x14ac:dyDescent="0.2">
      <c r="A54" s="5" t="s">
        <v>380</v>
      </c>
      <c r="B54" s="5" t="s">
        <v>390</v>
      </c>
      <c r="C54" s="5" t="s">
        <v>391</v>
      </c>
      <c r="D54" s="5" t="s">
        <v>612</v>
      </c>
      <c r="E54" s="5" t="s">
        <v>1578</v>
      </c>
      <c r="F54" s="5" t="s">
        <v>627</v>
      </c>
      <c r="G54" s="5" t="s">
        <v>627</v>
      </c>
      <c r="H54" s="5" t="s">
        <v>441</v>
      </c>
    </row>
    <row r="55" spans="1:8" ht="15.75" customHeight="1" x14ac:dyDescent="0.2">
      <c r="A55" s="5" t="s">
        <v>380</v>
      </c>
      <c r="B55" s="5" t="s">
        <v>399</v>
      </c>
      <c r="C55" s="5" t="s">
        <v>400</v>
      </c>
      <c r="D55" s="5" t="s">
        <v>913</v>
      </c>
    </row>
    <row r="56" spans="1:8" ht="15.75" customHeight="1" x14ac:dyDescent="0.2">
      <c r="A56" s="5" t="s">
        <v>380</v>
      </c>
      <c r="B56" s="5" t="s">
        <v>407</v>
      </c>
      <c r="C56" s="5" t="s">
        <v>408</v>
      </c>
      <c r="D56" s="5" t="s">
        <v>913</v>
      </c>
    </row>
    <row r="57" spans="1:8" ht="15.75" customHeight="1" x14ac:dyDescent="0.2">
      <c r="A57" s="5" t="s">
        <v>380</v>
      </c>
      <c r="B57" s="5" t="s">
        <v>417</v>
      </c>
      <c r="C57" s="5" t="s">
        <v>418</v>
      </c>
      <c r="D57" s="5" t="s">
        <v>913</v>
      </c>
    </row>
    <row r="58" spans="1:8" ht="15.75" customHeight="1" x14ac:dyDescent="0.2">
      <c r="A58" s="5" t="s">
        <v>426</v>
      </c>
      <c r="B58" s="5" t="s">
        <v>427</v>
      </c>
      <c r="C58" s="5" t="s">
        <v>428</v>
      </c>
      <c r="D58" s="5" t="s">
        <v>612</v>
      </c>
      <c r="E58" s="5" t="s">
        <v>1579</v>
      </c>
      <c r="F58" s="5" t="s">
        <v>1123</v>
      </c>
      <c r="G58" s="5" t="s">
        <v>1345</v>
      </c>
      <c r="H58" s="5" t="s">
        <v>1576</v>
      </c>
    </row>
    <row r="59" spans="1:8" ht="15.75" customHeight="1" x14ac:dyDescent="0.2">
      <c r="A59" s="5" t="s">
        <v>426</v>
      </c>
      <c r="B59" s="5" t="s">
        <v>427</v>
      </c>
      <c r="C59" s="5" t="s">
        <v>428</v>
      </c>
      <c r="D59" s="5" t="s">
        <v>612</v>
      </c>
      <c r="E59" s="5" t="s">
        <v>1580</v>
      </c>
      <c r="F59" s="5" t="s">
        <v>1581</v>
      </c>
      <c r="G59" s="5" t="s">
        <v>1582</v>
      </c>
      <c r="H59" s="5" t="s">
        <v>1576</v>
      </c>
    </row>
    <row r="60" spans="1:8" ht="15.75" customHeight="1" x14ac:dyDescent="0.2">
      <c r="A60" s="5" t="s">
        <v>426</v>
      </c>
      <c r="B60" s="5" t="s">
        <v>435</v>
      </c>
      <c r="C60" s="5" t="s">
        <v>436</v>
      </c>
      <c r="D60" s="5" t="s">
        <v>913</v>
      </c>
    </row>
    <row r="61" spans="1:8" ht="15.75" customHeight="1" x14ac:dyDescent="0.2">
      <c r="A61" s="5" t="s">
        <v>426</v>
      </c>
      <c r="B61" s="5" t="s">
        <v>435</v>
      </c>
      <c r="C61" s="5" t="s">
        <v>436</v>
      </c>
      <c r="D61" s="5" t="s">
        <v>913</v>
      </c>
    </row>
    <row r="62" spans="1:8" ht="15.75" customHeight="1" x14ac:dyDescent="0.2">
      <c r="A62" s="5" t="s">
        <v>426</v>
      </c>
      <c r="B62" s="5" t="s">
        <v>444</v>
      </c>
      <c r="C62" s="5" t="s">
        <v>445</v>
      </c>
      <c r="D62" s="5" t="s">
        <v>913</v>
      </c>
    </row>
    <row r="63" spans="1:8" ht="15.75" customHeight="1" x14ac:dyDescent="0.2">
      <c r="A63" s="5" t="s">
        <v>426</v>
      </c>
      <c r="B63" s="5" t="s">
        <v>452</v>
      </c>
      <c r="C63" s="5" t="s">
        <v>453</v>
      </c>
      <c r="D63" s="5" t="s">
        <v>612</v>
      </c>
      <c r="E63" s="5" t="s">
        <v>1547</v>
      </c>
      <c r="F63" s="5" t="s">
        <v>623</v>
      </c>
      <c r="G63" s="5" t="s">
        <v>624</v>
      </c>
    </row>
    <row r="64" spans="1:8" ht="15.75" customHeight="1" x14ac:dyDescent="0.2">
      <c r="A64" s="5" t="s">
        <v>426</v>
      </c>
      <c r="B64" s="5" t="s">
        <v>460</v>
      </c>
      <c r="C64" s="5" t="s">
        <v>461</v>
      </c>
      <c r="D64" s="5" t="s">
        <v>913</v>
      </c>
    </row>
    <row r="65" spans="1:9" ht="15.75" customHeight="1" x14ac:dyDescent="0.2">
      <c r="A65" s="5" t="s">
        <v>426</v>
      </c>
      <c r="B65" s="5" t="s">
        <v>468</v>
      </c>
      <c r="C65" s="5" t="s">
        <v>469</v>
      </c>
      <c r="D65" s="5" t="s">
        <v>913</v>
      </c>
    </row>
    <row r="66" spans="1:9" ht="15.75" customHeight="1" x14ac:dyDescent="0.2">
      <c r="A66" s="5" t="s">
        <v>426</v>
      </c>
      <c r="B66" s="5" t="s">
        <v>476</v>
      </c>
      <c r="C66" s="5" t="s">
        <v>477</v>
      </c>
      <c r="D66" s="5" t="s">
        <v>913</v>
      </c>
    </row>
    <row r="67" spans="1:9" ht="15.75" customHeight="1" x14ac:dyDescent="0.2">
      <c r="A67" s="5" t="s">
        <v>426</v>
      </c>
      <c r="B67" s="5" t="s">
        <v>476</v>
      </c>
      <c r="C67" s="5" t="s">
        <v>477</v>
      </c>
      <c r="D67" s="5" t="s">
        <v>913</v>
      </c>
    </row>
    <row r="68" spans="1:9" ht="15.75" customHeight="1" x14ac:dyDescent="0.2">
      <c r="A68" s="5" t="s">
        <v>485</v>
      </c>
      <c r="B68" s="5" t="s">
        <v>486</v>
      </c>
      <c r="C68" s="5" t="s">
        <v>487</v>
      </c>
      <c r="D68" s="5" t="s">
        <v>612</v>
      </c>
      <c r="E68" s="5" t="s">
        <v>1573</v>
      </c>
      <c r="F68" s="5" t="s">
        <v>713</v>
      </c>
      <c r="G68" s="5" t="s">
        <v>623</v>
      </c>
      <c r="H68" s="5" t="s">
        <v>1548</v>
      </c>
    </row>
    <row r="69" spans="1:9" ht="15.75" customHeight="1" x14ac:dyDescent="0.2">
      <c r="A69" s="5" t="s">
        <v>485</v>
      </c>
      <c r="B69" s="5" t="s">
        <v>486</v>
      </c>
      <c r="C69" s="5" t="s">
        <v>487</v>
      </c>
      <c r="D69" s="5" t="s">
        <v>612</v>
      </c>
      <c r="E69" s="5" t="s">
        <v>70</v>
      </c>
      <c r="F69" s="5" t="s">
        <v>624</v>
      </c>
      <c r="G69" s="5" t="s">
        <v>627</v>
      </c>
      <c r="H69" s="5" t="s">
        <v>1548</v>
      </c>
    </row>
    <row r="70" spans="1:9" ht="15.75" customHeight="1" x14ac:dyDescent="0.2">
      <c r="A70" s="5" t="s">
        <v>485</v>
      </c>
      <c r="B70" s="5" t="s">
        <v>494</v>
      </c>
      <c r="C70" s="5" t="s">
        <v>495</v>
      </c>
      <c r="D70" s="5" t="s">
        <v>913</v>
      </c>
    </row>
    <row r="71" spans="1:9" ht="15.75" customHeight="1" x14ac:dyDescent="0.2">
      <c r="A71" s="5" t="s">
        <v>485</v>
      </c>
      <c r="B71" s="5" t="s">
        <v>503</v>
      </c>
      <c r="C71" s="5" t="s">
        <v>504</v>
      </c>
      <c r="D71" s="5" t="s">
        <v>913</v>
      </c>
    </row>
    <row r="72" spans="1:9" ht="15.75" customHeight="1" x14ac:dyDescent="0.2">
      <c r="A72" s="5" t="s">
        <v>485</v>
      </c>
      <c r="B72" s="5" t="s">
        <v>511</v>
      </c>
      <c r="C72" s="5" t="s">
        <v>512</v>
      </c>
      <c r="D72" s="5" t="s">
        <v>612</v>
      </c>
      <c r="E72" s="5" t="s">
        <v>485</v>
      </c>
      <c r="F72" s="5" t="s">
        <v>627</v>
      </c>
      <c r="G72" s="5" t="s">
        <v>618</v>
      </c>
      <c r="H72" s="5" t="s">
        <v>1548</v>
      </c>
    </row>
    <row r="73" spans="1:9" ht="15.75" customHeight="1" x14ac:dyDescent="0.2">
      <c r="A73" s="5" t="s">
        <v>485</v>
      </c>
      <c r="B73" s="5" t="s">
        <v>519</v>
      </c>
      <c r="C73" s="5" t="s">
        <v>520</v>
      </c>
      <c r="D73" s="5" t="s">
        <v>612</v>
      </c>
      <c r="E73" s="5" t="s">
        <v>1583</v>
      </c>
      <c r="F73" s="5" t="s">
        <v>732</v>
      </c>
      <c r="G73" s="5" t="s">
        <v>757</v>
      </c>
      <c r="H73" s="5" t="s">
        <v>1562</v>
      </c>
    </row>
    <row r="74" spans="1:9" ht="15.75" customHeight="1" x14ac:dyDescent="0.2">
      <c r="A74" s="5" t="s">
        <v>485</v>
      </c>
      <c r="B74" s="5" t="s">
        <v>519</v>
      </c>
      <c r="C74" s="5" t="s">
        <v>520</v>
      </c>
      <c r="D74" s="5" t="s">
        <v>612</v>
      </c>
      <c r="E74" s="5" t="s">
        <v>1583</v>
      </c>
      <c r="F74" s="5" t="s">
        <v>732</v>
      </c>
      <c r="G74" s="5" t="s">
        <v>757</v>
      </c>
      <c r="H74" s="5" t="s">
        <v>1562</v>
      </c>
    </row>
    <row r="75" spans="1:9" ht="15.75" customHeight="1" x14ac:dyDescent="0.2">
      <c r="A75" s="5" t="s">
        <v>485</v>
      </c>
      <c r="B75" s="5" t="s">
        <v>519</v>
      </c>
      <c r="C75" s="5" t="s">
        <v>520</v>
      </c>
      <c r="D75" s="5" t="s">
        <v>612</v>
      </c>
      <c r="E75" s="5" t="s">
        <v>485</v>
      </c>
      <c r="F75" s="5" t="s">
        <v>653</v>
      </c>
      <c r="G75" s="5" t="s">
        <v>1485</v>
      </c>
      <c r="H75" s="5" t="s">
        <v>1558</v>
      </c>
      <c r="I75" s="5" t="s">
        <v>1584</v>
      </c>
    </row>
    <row r="76" spans="1:9" ht="15.75" customHeight="1" x14ac:dyDescent="0.2">
      <c r="A76" s="5" t="s">
        <v>485</v>
      </c>
      <c r="B76" s="5" t="s">
        <v>519</v>
      </c>
      <c r="C76" s="5" t="s">
        <v>520</v>
      </c>
      <c r="D76" s="5" t="s">
        <v>612</v>
      </c>
      <c r="E76" s="5" t="s">
        <v>485</v>
      </c>
      <c r="F76" s="5" t="s">
        <v>653</v>
      </c>
      <c r="G76" s="5" t="s">
        <v>1485</v>
      </c>
      <c r="H76" s="5" t="s">
        <v>1558</v>
      </c>
      <c r="I76" s="5" t="s">
        <v>1584</v>
      </c>
    </row>
    <row r="77" spans="1:9" ht="15.75" customHeight="1" x14ac:dyDescent="0.2">
      <c r="A77" s="5" t="s">
        <v>485</v>
      </c>
      <c r="B77" s="5" t="s">
        <v>527</v>
      </c>
      <c r="C77" s="5" t="s">
        <v>528</v>
      </c>
      <c r="D77" s="5" t="s">
        <v>913</v>
      </c>
    </row>
    <row r="78" spans="1:9" ht="15.75" customHeight="1" x14ac:dyDescent="0.2">
      <c r="A78" s="5" t="s">
        <v>485</v>
      </c>
      <c r="B78" s="5" t="s">
        <v>537</v>
      </c>
      <c r="C78" s="5" t="s">
        <v>538</v>
      </c>
      <c r="D78" s="5" t="s">
        <v>612</v>
      </c>
      <c r="E78" s="5" t="s">
        <v>485</v>
      </c>
      <c r="F78" s="5" t="s">
        <v>627</v>
      </c>
      <c r="G78" s="5" t="s">
        <v>618</v>
      </c>
      <c r="H78" s="5" t="s">
        <v>1548</v>
      </c>
    </row>
    <row r="79" spans="1:9" ht="15.75" customHeight="1" x14ac:dyDescent="0.2">
      <c r="A79" s="5" t="s">
        <v>485</v>
      </c>
      <c r="B79" s="5" t="s">
        <v>546</v>
      </c>
      <c r="C79" s="5" t="s">
        <v>547</v>
      </c>
      <c r="D79" s="5" t="s">
        <v>913</v>
      </c>
    </row>
    <row r="80" spans="1:9" ht="15.75" customHeight="1" x14ac:dyDescent="0.2">
      <c r="A80" t="s">
        <v>70</v>
      </c>
      <c r="B80" t="s">
        <v>555</v>
      </c>
      <c r="C80" t="s">
        <v>556</v>
      </c>
      <c r="D80" t="s">
        <v>612</v>
      </c>
      <c r="E80" t="s">
        <v>70</v>
      </c>
      <c r="F80" t="s">
        <v>624</v>
      </c>
      <c r="G80" t="s">
        <v>627</v>
      </c>
      <c r="H80" t="s">
        <v>1548</v>
      </c>
      <c r="I80" t="s">
        <v>1585</v>
      </c>
    </row>
    <row r="81" spans="1:4" ht="15.75" customHeight="1" x14ac:dyDescent="0.2">
      <c r="A81" t="s">
        <v>276</v>
      </c>
      <c r="B81" t="s">
        <v>562</v>
      </c>
      <c r="C81" t="s">
        <v>563</v>
      </c>
      <c r="D81" t="s">
        <v>913</v>
      </c>
    </row>
    <row r="82" spans="1:4" ht="15.75" customHeight="1" x14ac:dyDescent="0.2">
      <c r="A82" t="s">
        <v>276</v>
      </c>
      <c r="B82" t="s">
        <v>568</v>
      </c>
      <c r="C82" t="s">
        <v>569</v>
      </c>
      <c r="D82" t="s">
        <v>913</v>
      </c>
    </row>
    <row r="83" spans="1:4" ht="15.75" customHeight="1" x14ac:dyDescent="0.2">
      <c r="A83" t="s">
        <v>276</v>
      </c>
      <c r="B83" t="s">
        <v>574</v>
      </c>
      <c r="C83" t="s">
        <v>575</v>
      </c>
      <c r="D83" t="s">
        <v>913</v>
      </c>
    </row>
    <row r="84" spans="1:4" ht="15.75" customHeight="1" x14ac:dyDescent="0.2"/>
    <row r="85" spans="1:4" ht="15.75" customHeight="1" x14ac:dyDescent="0.2"/>
    <row r="86" spans="1:4" ht="15.75" customHeight="1" x14ac:dyDescent="0.2"/>
    <row r="87" spans="1:4" ht="15.75" customHeight="1" x14ac:dyDescent="0.2"/>
    <row r="88" spans="1:4" ht="15.75" customHeight="1" x14ac:dyDescent="0.2"/>
    <row r="89" spans="1:4" ht="15.75" customHeight="1" x14ac:dyDescent="0.2"/>
    <row r="90" spans="1:4" ht="15.75" customHeight="1" x14ac:dyDescent="0.2"/>
    <row r="91" spans="1:4" ht="15.75" customHeight="1" x14ac:dyDescent="0.2"/>
    <row r="92" spans="1:4" ht="15.75" customHeight="1" x14ac:dyDescent="0.2"/>
    <row r="93" spans="1:4" ht="15.75" customHeight="1" x14ac:dyDescent="0.2"/>
    <row r="94" spans="1:4" ht="15.75" customHeight="1" x14ac:dyDescent="0.2"/>
    <row r="95" spans="1:4" ht="15.75" customHeight="1" x14ac:dyDescent="0.2"/>
    <row r="96" spans="1:4"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000"/>
  <sheetViews>
    <sheetView workbookViewId="0"/>
  </sheetViews>
  <sheetFormatPr baseColWidth="10" defaultColWidth="14.5" defaultRowHeight="15" customHeight="1" x14ac:dyDescent="0.2"/>
  <cols>
    <col min="1" max="2" width="8.6640625" customWidth="1"/>
    <col min="3" max="3" width="28.5" customWidth="1"/>
    <col min="4" max="10" width="8.6640625" customWidth="1"/>
    <col min="11" max="11" width="31.6640625" customWidth="1"/>
    <col min="12" max="26" width="8.6640625" customWidth="1"/>
  </cols>
  <sheetData>
    <row r="1" spans="1:13" x14ac:dyDescent="0.2">
      <c r="A1" s="1" t="s">
        <v>0</v>
      </c>
      <c r="B1" s="1" t="s">
        <v>1</v>
      </c>
      <c r="C1" s="1" t="s">
        <v>2</v>
      </c>
      <c r="D1" s="1" t="s">
        <v>1586</v>
      </c>
      <c r="E1" s="1" t="s">
        <v>1587</v>
      </c>
      <c r="F1" s="1" t="s">
        <v>1588</v>
      </c>
      <c r="G1" s="1" t="s">
        <v>1589</v>
      </c>
      <c r="H1" s="1" t="s">
        <v>1590</v>
      </c>
      <c r="I1" s="1" t="s">
        <v>1591</v>
      </c>
      <c r="J1" s="1" t="s">
        <v>1592</v>
      </c>
      <c r="K1" s="1" t="s">
        <v>1593</v>
      </c>
      <c r="L1" s="1" t="s">
        <v>1594</v>
      </c>
      <c r="M1" s="1" t="s">
        <v>16</v>
      </c>
    </row>
    <row r="2" spans="1:13" x14ac:dyDescent="0.2">
      <c r="A2" s="5" t="s">
        <v>26</v>
      </c>
      <c r="B2" s="5" t="s">
        <v>27</v>
      </c>
      <c r="C2" s="5" t="s">
        <v>28</v>
      </c>
      <c r="D2" s="5" t="s">
        <v>913</v>
      </c>
    </row>
    <row r="3" spans="1:13" x14ac:dyDescent="0.2">
      <c r="A3" s="5" t="s">
        <v>26</v>
      </c>
      <c r="B3" s="5" t="s">
        <v>40</v>
      </c>
      <c r="C3" s="5" t="s">
        <v>41</v>
      </c>
      <c r="D3" s="5" t="s">
        <v>913</v>
      </c>
    </row>
    <row r="4" spans="1:13" x14ac:dyDescent="0.2">
      <c r="A4" s="5" t="s">
        <v>26</v>
      </c>
      <c r="B4" s="5" t="s">
        <v>40</v>
      </c>
      <c r="C4" s="5" t="s">
        <v>41</v>
      </c>
      <c r="D4" s="5" t="s">
        <v>913</v>
      </c>
    </row>
    <row r="5" spans="1:13" x14ac:dyDescent="0.2">
      <c r="A5" s="5" t="s">
        <v>26</v>
      </c>
      <c r="B5" s="5" t="s">
        <v>50</v>
      </c>
      <c r="C5" s="5" t="s">
        <v>51</v>
      </c>
      <c r="D5" s="5" t="s">
        <v>913</v>
      </c>
    </row>
    <row r="6" spans="1:13" x14ac:dyDescent="0.2">
      <c r="A6" s="5" t="s">
        <v>26</v>
      </c>
      <c r="B6" s="5" t="s">
        <v>61</v>
      </c>
      <c r="C6" s="5" t="s">
        <v>62</v>
      </c>
      <c r="D6" s="5" t="s">
        <v>913</v>
      </c>
    </row>
    <row r="7" spans="1:13" x14ac:dyDescent="0.2">
      <c r="A7" s="5" t="s">
        <v>70</v>
      </c>
      <c r="B7" s="5" t="s">
        <v>71</v>
      </c>
      <c r="C7" s="5" t="s">
        <v>72</v>
      </c>
      <c r="D7" s="5" t="s">
        <v>913</v>
      </c>
    </row>
    <row r="8" spans="1:13" x14ac:dyDescent="0.2">
      <c r="A8" s="5" t="s">
        <v>70</v>
      </c>
      <c r="B8" s="5" t="s">
        <v>82</v>
      </c>
      <c r="C8" s="5" t="s">
        <v>83</v>
      </c>
      <c r="D8" s="5" t="s">
        <v>913</v>
      </c>
    </row>
    <row r="9" spans="1:13" x14ac:dyDescent="0.2">
      <c r="A9" s="5" t="s">
        <v>70</v>
      </c>
      <c r="B9" s="5" t="s">
        <v>93</v>
      </c>
      <c r="C9" s="5" t="s">
        <v>94</v>
      </c>
      <c r="D9" s="5" t="s">
        <v>913</v>
      </c>
    </row>
    <row r="10" spans="1:13" x14ac:dyDescent="0.2">
      <c r="A10" s="5" t="s">
        <v>70</v>
      </c>
      <c r="B10" s="5" t="s">
        <v>102</v>
      </c>
      <c r="C10" s="5" t="s">
        <v>103</v>
      </c>
      <c r="D10" s="5" t="s">
        <v>913</v>
      </c>
    </row>
    <row r="11" spans="1:13" x14ac:dyDescent="0.2">
      <c r="A11" s="5" t="s">
        <v>70</v>
      </c>
      <c r="B11" s="5" t="s">
        <v>112</v>
      </c>
      <c r="C11" s="5" t="s">
        <v>113</v>
      </c>
      <c r="D11" s="5" t="s">
        <v>913</v>
      </c>
    </row>
    <row r="12" spans="1:13" x14ac:dyDescent="0.2">
      <c r="A12" s="5" t="s">
        <v>70</v>
      </c>
      <c r="B12" s="5" t="s">
        <v>123</v>
      </c>
      <c r="C12" s="5" t="s">
        <v>124</v>
      </c>
      <c r="D12" s="5" t="s">
        <v>913</v>
      </c>
    </row>
    <row r="13" spans="1:13" x14ac:dyDescent="0.2">
      <c r="A13" s="5" t="s">
        <v>70</v>
      </c>
      <c r="B13" s="5" t="s">
        <v>134</v>
      </c>
      <c r="C13" s="5" t="s">
        <v>135</v>
      </c>
      <c r="D13" s="5" t="s">
        <v>913</v>
      </c>
    </row>
    <row r="14" spans="1:13" x14ac:dyDescent="0.2">
      <c r="A14" s="5" t="s">
        <v>70</v>
      </c>
      <c r="B14" s="5" t="s">
        <v>144</v>
      </c>
      <c r="C14" s="5" t="s">
        <v>145</v>
      </c>
      <c r="D14" s="5" t="s">
        <v>913</v>
      </c>
    </row>
    <row r="15" spans="1:13" x14ac:dyDescent="0.2">
      <c r="A15" s="5" t="s">
        <v>70</v>
      </c>
      <c r="B15" s="5" t="s">
        <v>154</v>
      </c>
      <c r="C15" s="5" t="s">
        <v>155</v>
      </c>
      <c r="D15" s="5" t="s">
        <v>913</v>
      </c>
    </row>
    <row r="16" spans="1:13" x14ac:dyDescent="0.2">
      <c r="A16" s="5" t="s">
        <v>70</v>
      </c>
      <c r="B16" s="5" t="s">
        <v>165</v>
      </c>
      <c r="C16" s="5" t="s">
        <v>166</v>
      </c>
      <c r="D16" s="5" t="s">
        <v>913</v>
      </c>
    </row>
    <row r="17" spans="1:13" x14ac:dyDescent="0.2">
      <c r="A17" s="5" t="s">
        <v>70</v>
      </c>
      <c r="B17" s="5" t="s">
        <v>176</v>
      </c>
      <c r="C17" s="5" t="s">
        <v>177</v>
      </c>
      <c r="D17" s="5" t="s">
        <v>913</v>
      </c>
    </row>
    <row r="18" spans="1:13" x14ac:dyDescent="0.2">
      <c r="A18" s="5" t="s">
        <v>70</v>
      </c>
      <c r="B18" s="5" t="s">
        <v>184</v>
      </c>
      <c r="C18" s="5" t="s">
        <v>185</v>
      </c>
      <c r="D18" s="5" t="s">
        <v>913</v>
      </c>
    </row>
    <row r="19" spans="1:13" x14ac:dyDescent="0.2">
      <c r="A19" s="5" t="s">
        <v>70</v>
      </c>
      <c r="B19" s="5" t="s">
        <v>193</v>
      </c>
      <c r="C19" s="5" t="s">
        <v>194</v>
      </c>
      <c r="D19" s="5" t="s">
        <v>913</v>
      </c>
    </row>
    <row r="20" spans="1:13" x14ac:dyDescent="0.2">
      <c r="A20" s="5" t="s">
        <v>70</v>
      </c>
      <c r="B20" s="5" t="s">
        <v>200</v>
      </c>
      <c r="C20" s="5" t="s">
        <v>201</v>
      </c>
      <c r="D20" s="5" t="s">
        <v>913</v>
      </c>
    </row>
    <row r="21" spans="1:13" ht="15.75" customHeight="1" x14ac:dyDescent="0.2">
      <c r="A21" s="5" t="s">
        <v>70</v>
      </c>
      <c r="B21" s="5" t="s">
        <v>211</v>
      </c>
      <c r="C21" s="5" t="s">
        <v>212</v>
      </c>
      <c r="D21" s="5" t="s">
        <v>913</v>
      </c>
    </row>
    <row r="22" spans="1:13" ht="15.75" customHeight="1" x14ac:dyDescent="0.2">
      <c r="A22" s="5" t="s">
        <v>70</v>
      </c>
      <c r="B22" s="5" t="s">
        <v>221</v>
      </c>
      <c r="C22" s="5" t="s">
        <v>222</v>
      </c>
      <c r="D22" s="5" t="s">
        <v>913</v>
      </c>
    </row>
    <row r="23" spans="1:13" ht="15.75" customHeight="1" x14ac:dyDescent="0.2">
      <c r="A23" s="5" t="s">
        <v>70</v>
      </c>
      <c r="B23" s="5" t="s">
        <v>229</v>
      </c>
      <c r="C23" s="5" t="s">
        <v>230</v>
      </c>
      <c r="D23" s="5" t="s">
        <v>913</v>
      </c>
    </row>
    <row r="24" spans="1:13" ht="15.75" customHeight="1" x14ac:dyDescent="0.2">
      <c r="A24" s="5" t="s">
        <v>70</v>
      </c>
      <c r="B24" s="5" t="s">
        <v>238</v>
      </c>
      <c r="C24" s="5" t="s">
        <v>239</v>
      </c>
      <c r="D24" s="5" t="s">
        <v>913</v>
      </c>
    </row>
    <row r="25" spans="1:13" ht="15.75" customHeight="1" x14ac:dyDescent="0.2">
      <c r="A25" s="5" t="s">
        <v>70</v>
      </c>
      <c r="B25" s="5" t="s">
        <v>247</v>
      </c>
      <c r="C25" s="5" t="s">
        <v>248</v>
      </c>
      <c r="D25" s="5" t="s">
        <v>612</v>
      </c>
      <c r="E25" s="5" t="s">
        <v>1595</v>
      </c>
      <c r="F25" s="5" t="s">
        <v>1596</v>
      </c>
      <c r="G25" s="5" t="s">
        <v>1597</v>
      </c>
      <c r="H25" s="5" t="s">
        <v>1598</v>
      </c>
      <c r="I25" s="5" t="s">
        <v>1599</v>
      </c>
      <c r="J25" s="5" t="s">
        <v>1600</v>
      </c>
      <c r="L25" s="5" t="s">
        <v>1601</v>
      </c>
      <c r="M25" s="5" t="s">
        <v>1602</v>
      </c>
    </row>
    <row r="26" spans="1:13" ht="15.75" customHeight="1" x14ac:dyDescent="0.2">
      <c r="A26" s="5" t="s">
        <v>70</v>
      </c>
      <c r="B26" s="5" t="s">
        <v>257</v>
      </c>
      <c r="C26" s="5" t="s">
        <v>258</v>
      </c>
      <c r="D26" s="5" t="s">
        <v>913</v>
      </c>
    </row>
    <row r="27" spans="1:13" ht="15.75" customHeight="1" x14ac:dyDescent="0.2">
      <c r="A27" s="5" t="s">
        <v>70</v>
      </c>
      <c r="B27" s="5" t="s">
        <v>268</v>
      </c>
      <c r="C27" s="5" t="s">
        <v>269</v>
      </c>
      <c r="D27" s="5" t="s">
        <v>913</v>
      </c>
    </row>
    <row r="28" spans="1:13" ht="15.75" customHeight="1" x14ac:dyDescent="0.2">
      <c r="A28" s="5" t="s">
        <v>276</v>
      </c>
      <c r="B28" s="5" t="s">
        <v>277</v>
      </c>
      <c r="C28" s="5" t="s">
        <v>278</v>
      </c>
      <c r="D28" s="5" t="s">
        <v>913</v>
      </c>
    </row>
    <row r="29" spans="1:13" ht="15.75" customHeight="1" x14ac:dyDescent="0.2">
      <c r="A29" s="5" t="s">
        <v>276</v>
      </c>
      <c r="B29" s="5" t="s">
        <v>288</v>
      </c>
      <c r="C29" s="5" t="s">
        <v>289</v>
      </c>
      <c r="D29" s="5" t="s">
        <v>913</v>
      </c>
    </row>
    <row r="30" spans="1:13" ht="15.75" customHeight="1" x14ac:dyDescent="0.2">
      <c r="A30" s="5" t="s">
        <v>276</v>
      </c>
      <c r="B30" s="5" t="s">
        <v>296</v>
      </c>
      <c r="C30" s="5" t="s">
        <v>297</v>
      </c>
      <c r="D30" s="5" t="s">
        <v>913</v>
      </c>
    </row>
    <row r="31" spans="1:13" ht="15.75" customHeight="1" x14ac:dyDescent="0.2">
      <c r="A31" s="5" t="s">
        <v>276</v>
      </c>
      <c r="B31" s="5" t="s">
        <v>305</v>
      </c>
      <c r="C31" s="5" t="s">
        <v>306</v>
      </c>
      <c r="D31" s="5" t="s">
        <v>913</v>
      </c>
    </row>
    <row r="32" spans="1:13" ht="15.75" customHeight="1" x14ac:dyDescent="0.2">
      <c r="A32" s="5" t="s">
        <v>276</v>
      </c>
      <c r="B32" s="5" t="s">
        <v>316</v>
      </c>
      <c r="C32" s="5" t="s">
        <v>317</v>
      </c>
      <c r="D32" s="5" t="s">
        <v>913</v>
      </c>
    </row>
    <row r="33" spans="1:12" ht="15.75" customHeight="1" x14ac:dyDescent="0.2">
      <c r="A33" s="5" t="s">
        <v>276</v>
      </c>
      <c r="B33" s="5" t="s">
        <v>327</v>
      </c>
      <c r="C33" s="5" t="s">
        <v>328</v>
      </c>
      <c r="D33" s="5" t="s">
        <v>913</v>
      </c>
    </row>
    <row r="34" spans="1:12" ht="15.75" customHeight="1" x14ac:dyDescent="0.2">
      <c r="A34" s="5" t="s">
        <v>276</v>
      </c>
      <c r="B34" s="5" t="s">
        <v>337</v>
      </c>
      <c r="C34" s="5" t="s">
        <v>338</v>
      </c>
      <c r="D34" s="5" t="s">
        <v>913</v>
      </c>
    </row>
    <row r="35" spans="1:12" ht="15.75" customHeight="1" x14ac:dyDescent="0.2">
      <c r="A35" s="5" t="s">
        <v>276</v>
      </c>
      <c r="B35" s="5" t="s">
        <v>346</v>
      </c>
      <c r="C35" s="5" t="s">
        <v>347</v>
      </c>
      <c r="D35" s="5" t="s">
        <v>612</v>
      </c>
      <c r="E35" s="5" t="s">
        <v>1603</v>
      </c>
      <c r="F35" s="5" t="s">
        <v>1604</v>
      </c>
      <c r="G35" s="5" t="s">
        <v>1605</v>
      </c>
      <c r="H35" s="5" t="s">
        <v>1606</v>
      </c>
      <c r="I35" s="5" t="s">
        <v>1607</v>
      </c>
      <c r="J35" s="5" t="s">
        <v>1608</v>
      </c>
      <c r="L35" s="5" t="s">
        <v>1601</v>
      </c>
    </row>
    <row r="36" spans="1:12" ht="15.75" customHeight="1" x14ac:dyDescent="0.2">
      <c r="A36" s="5" t="s">
        <v>276</v>
      </c>
      <c r="B36" s="5" t="s">
        <v>355</v>
      </c>
      <c r="C36" s="5" t="s">
        <v>356</v>
      </c>
      <c r="D36" s="5" t="s">
        <v>913</v>
      </c>
    </row>
    <row r="37" spans="1:12" ht="15.75" customHeight="1" x14ac:dyDescent="0.2">
      <c r="A37" s="5" t="s">
        <v>276</v>
      </c>
      <c r="B37" s="5" t="s">
        <v>363</v>
      </c>
      <c r="C37" s="5" t="s">
        <v>364</v>
      </c>
      <c r="D37" s="5" t="s">
        <v>913</v>
      </c>
    </row>
    <row r="38" spans="1:12" ht="15.75" customHeight="1" x14ac:dyDescent="0.2">
      <c r="A38" s="5" t="s">
        <v>276</v>
      </c>
      <c r="B38" s="5" t="s">
        <v>372</v>
      </c>
      <c r="C38" s="5" t="s">
        <v>373</v>
      </c>
      <c r="D38" s="5" t="s">
        <v>913</v>
      </c>
    </row>
    <row r="39" spans="1:12" ht="15.75" customHeight="1" x14ac:dyDescent="0.2">
      <c r="A39" s="5" t="s">
        <v>380</v>
      </c>
      <c r="B39" s="5" t="s">
        <v>381</v>
      </c>
      <c r="C39" s="5" t="s">
        <v>382</v>
      </c>
      <c r="D39" s="5" t="s">
        <v>913</v>
      </c>
    </row>
    <row r="40" spans="1:12" ht="15.75" customHeight="1" x14ac:dyDescent="0.2">
      <c r="A40" s="5" t="s">
        <v>380</v>
      </c>
      <c r="B40" s="5" t="s">
        <v>390</v>
      </c>
      <c r="C40" s="5" t="s">
        <v>391</v>
      </c>
      <c r="D40" s="5" t="s">
        <v>913</v>
      </c>
    </row>
    <row r="41" spans="1:12" ht="15.75" customHeight="1" x14ac:dyDescent="0.2">
      <c r="A41" s="5" t="s">
        <v>380</v>
      </c>
      <c r="B41" s="5" t="s">
        <v>390</v>
      </c>
      <c r="C41" s="5" t="s">
        <v>391</v>
      </c>
      <c r="D41" s="5" t="s">
        <v>913</v>
      </c>
    </row>
    <row r="42" spans="1:12" ht="15.75" customHeight="1" x14ac:dyDescent="0.2">
      <c r="A42" s="5" t="s">
        <v>380</v>
      </c>
      <c r="B42" s="5" t="s">
        <v>399</v>
      </c>
      <c r="C42" s="5" t="s">
        <v>400</v>
      </c>
      <c r="D42" s="5" t="s">
        <v>913</v>
      </c>
    </row>
    <row r="43" spans="1:12" ht="15.75" customHeight="1" x14ac:dyDescent="0.2">
      <c r="A43" s="5" t="s">
        <v>380</v>
      </c>
      <c r="B43" s="5" t="s">
        <v>407</v>
      </c>
      <c r="C43" s="5" t="s">
        <v>408</v>
      </c>
      <c r="D43" s="5" t="s">
        <v>612</v>
      </c>
      <c r="E43" s="5" t="s">
        <v>1609</v>
      </c>
      <c r="F43" s="5" t="s">
        <v>1610</v>
      </c>
      <c r="G43" s="5" t="s">
        <v>1611</v>
      </c>
      <c r="H43" s="5" t="s">
        <v>1612</v>
      </c>
      <c r="I43" s="5" t="s">
        <v>1613</v>
      </c>
      <c r="J43" s="5" t="s">
        <v>1614</v>
      </c>
      <c r="K43" s="5" t="s">
        <v>1615</v>
      </c>
      <c r="L43" s="5" t="s">
        <v>1601</v>
      </c>
    </row>
    <row r="44" spans="1:12" ht="15.75" customHeight="1" x14ac:dyDescent="0.2">
      <c r="A44" s="5" t="s">
        <v>380</v>
      </c>
      <c r="B44" s="5" t="s">
        <v>407</v>
      </c>
      <c r="C44" s="5" t="s">
        <v>408</v>
      </c>
      <c r="D44" s="5" t="s">
        <v>612</v>
      </c>
      <c r="E44" s="5" t="s">
        <v>1616</v>
      </c>
      <c r="F44" s="5" t="s">
        <v>1617</v>
      </c>
      <c r="G44" s="5" t="s">
        <v>1618</v>
      </c>
      <c r="H44" s="5" t="s">
        <v>1619</v>
      </c>
      <c r="I44" s="5" t="s">
        <v>1620</v>
      </c>
      <c r="J44" s="5" t="s">
        <v>1608</v>
      </c>
      <c r="L44" s="5" t="s">
        <v>1601</v>
      </c>
    </row>
    <row r="45" spans="1:12" ht="15.75" customHeight="1" x14ac:dyDescent="0.2">
      <c r="A45" s="5" t="s">
        <v>380</v>
      </c>
      <c r="B45" s="5" t="s">
        <v>417</v>
      </c>
      <c r="C45" s="5" t="s">
        <v>418</v>
      </c>
      <c r="D45" s="5" t="s">
        <v>913</v>
      </c>
    </row>
    <row r="46" spans="1:12" ht="15.75" customHeight="1" x14ac:dyDescent="0.2">
      <c r="A46" s="5" t="s">
        <v>426</v>
      </c>
      <c r="B46" s="5" t="s">
        <v>427</v>
      </c>
      <c r="C46" s="5" t="s">
        <v>428</v>
      </c>
      <c r="D46" s="5" t="s">
        <v>913</v>
      </c>
    </row>
    <row r="47" spans="1:12" ht="15.75" customHeight="1" x14ac:dyDescent="0.2">
      <c r="A47" s="5" t="s">
        <v>426</v>
      </c>
      <c r="B47" s="5" t="s">
        <v>435</v>
      </c>
      <c r="C47" s="5" t="s">
        <v>436</v>
      </c>
      <c r="D47" s="5" t="s">
        <v>913</v>
      </c>
    </row>
    <row r="48" spans="1:12" ht="15.75" customHeight="1" x14ac:dyDescent="0.2">
      <c r="A48" s="5" t="s">
        <v>426</v>
      </c>
      <c r="B48" s="5" t="s">
        <v>435</v>
      </c>
      <c r="C48" s="5" t="s">
        <v>436</v>
      </c>
      <c r="D48" s="5" t="s">
        <v>913</v>
      </c>
    </row>
    <row r="49" spans="1:13" ht="15.75" customHeight="1" x14ac:dyDescent="0.2">
      <c r="A49" s="5" t="s">
        <v>426</v>
      </c>
      <c r="B49" s="5" t="s">
        <v>444</v>
      </c>
      <c r="C49" s="5" t="s">
        <v>445</v>
      </c>
      <c r="D49" s="5" t="s">
        <v>913</v>
      </c>
    </row>
    <row r="50" spans="1:13" ht="15.75" customHeight="1" x14ac:dyDescent="0.2">
      <c r="A50" s="5" t="s">
        <v>426</v>
      </c>
      <c r="B50" s="5" t="s">
        <v>452</v>
      </c>
      <c r="C50" s="5" t="s">
        <v>453</v>
      </c>
      <c r="D50" s="5" t="s">
        <v>913</v>
      </c>
    </row>
    <row r="51" spans="1:13" ht="15.75" customHeight="1" x14ac:dyDescent="0.2">
      <c r="A51" s="5" t="s">
        <v>426</v>
      </c>
      <c r="B51" s="5" t="s">
        <v>460</v>
      </c>
      <c r="C51" s="5" t="s">
        <v>461</v>
      </c>
      <c r="D51" s="5" t="s">
        <v>612</v>
      </c>
      <c r="E51" s="5" t="s">
        <v>1621</v>
      </c>
      <c r="F51" s="5" t="s">
        <v>1622</v>
      </c>
      <c r="G51" s="5" t="s">
        <v>1621</v>
      </c>
      <c r="H51" s="5" t="s">
        <v>1621</v>
      </c>
      <c r="I51" s="5" t="s">
        <v>1621</v>
      </c>
      <c r="J51" s="5" t="s">
        <v>1608</v>
      </c>
      <c r="L51" s="5" t="s">
        <v>1601</v>
      </c>
      <c r="M51" s="5" t="s">
        <v>1623</v>
      </c>
    </row>
    <row r="52" spans="1:13" ht="15.75" customHeight="1" x14ac:dyDescent="0.2">
      <c r="A52" s="5" t="s">
        <v>426</v>
      </c>
      <c r="B52" s="5" t="s">
        <v>468</v>
      </c>
      <c r="C52" s="5" t="s">
        <v>469</v>
      </c>
      <c r="D52" s="5" t="s">
        <v>913</v>
      </c>
    </row>
    <row r="53" spans="1:13" ht="15.75" customHeight="1" x14ac:dyDescent="0.2">
      <c r="A53" s="5" t="s">
        <v>426</v>
      </c>
      <c r="B53" s="5" t="s">
        <v>476</v>
      </c>
      <c r="C53" s="5" t="s">
        <v>477</v>
      </c>
      <c r="D53" s="5" t="s">
        <v>913</v>
      </c>
    </row>
    <row r="54" spans="1:13" ht="15.75" customHeight="1" x14ac:dyDescent="0.2">
      <c r="A54" s="5" t="s">
        <v>426</v>
      </c>
      <c r="B54" s="5" t="s">
        <v>476</v>
      </c>
      <c r="C54" s="5" t="s">
        <v>477</v>
      </c>
      <c r="D54" s="5" t="s">
        <v>913</v>
      </c>
    </row>
    <row r="55" spans="1:13" ht="15.75" customHeight="1" x14ac:dyDescent="0.2">
      <c r="A55" s="5" t="s">
        <v>485</v>
      </c>
      <c r="B55" s="5" t="s">
        <v>486</v>
      </c>
      <c r="C55" s="5" t="s">
        <v>487</v>
      </c>
      <c r="D55" s="5" t="s">
        <v>913</v>
      </c>
    </row>
    <row r="56" spans="1:13" ht="15.75" customHeight="1" x14ac:dyDescent="0.2">
      <c r="A56" s="5" t="s">
        <v>485</v>
      </c>
      <c r="B56" s="5" t="s">
        <v>494</v>
      </c>
      <c r="C56" s="5" t="s">
        <v>495</v>
      </c>
      <c r="D56" s="5" t="s">
        <v>913</v>
      </c>
    </row>
    <row r="57" spans="1:13" ht="15.75" customHeight="1" x14ac:dyDescent="0.2">
      <c r="A57" s="5" t="s">
        <v>485</v>
      </c>
      <c r="B57" s="5" t="s">
        <v>503</v>
      </c>
      <c r="C57" s="5" t="s">
        <v>504</v>
      </c>
      <c r="D57" s="5" t="s">
        <v>913</v>
      </c>
    </row>
    <row r="58" spans="1:13" ht="15.75" customHeight="1" x14ac:dyDescent="0.2">
      <c r="A58" s="5" t="s">
        <v>485</v>
      </c>
      <c r="B58" s="5" t="s">
        <v>511</v>
      </c>
      <c r="C58" s="5" t="s">
        <v>512</v>
      </c>
      <c r="D58" s="5" t="s">
        <v>913</v>
      </c>
    </row>
    <row r="59" spans="1:13" ht="15.75" customHeight="1" x14ac:dyDescent="0.2">
      <c r="A59" s="5" t="s">
        <v>485</v>
      </c>
      <c r="B59" s="5" t="s">
        <v>519</v>
      </c>
      <c r="C59" s="5" t="s">
        <v>520</v>
      </c>
      <c r="D59" s="5" t="s">
        <v>913</v>
      </c>
    </row>
    <row r="60" spans="1:13" ht="15.75" customHeight="1" x14ac:dyDescent="0.2">
      <c r="A60" s="5" t="s">
        <v>485</v>
      </c>
      <c r="B60" s="5" t="s">
        <v>519</v>
      </c>
      <c r="C60" s="5" t="s">
        <v>520</v>
      </c>
      <c r="D60" s="5" t="s">
        <v>913</v>
      </c>
    </row>
    <row r="61" spans="1:13" ht="15.75" customHeight="1" x14ac:dyDescent="0.2">
      <c r="A61" s="5" t="s">
        <v>485</v>
      </c>
      <c r="B61" s="5" t="s">
        <v>527</v>
      </c>
      <c r="C61" s="5" t="s">
        <v>528</v>
      </c>
      <c r="D61" s="5" t="s">
        <v>913</v>
      </c>
    </row>
    <row r="62" spans="1:13" ht="15.75" customHeight="1" x14ac:dyDescent="0.2">
      <c r="A62" s="5" t="s">
        <v>485</v>
      </c>
      <c r="B62" s="5" t="s">
        <v>537</v>
      </c>
      <c r="C62" s="5" t="s">
        <v>538</v>
      </c>
      <c r="D62" s="5" t="s">
        <v>913</v>
      </c>
    </row>
    <row r="63" spans="1:13" ht="15.75" customHeight="1" x14ac:dyDescent="0.2">
      <c r="A63" s="5" t="s">
        <v>485</v>
      </c>
      <c r="B63" s="5" t="s">
        <v>546</v>
      </c>
      <c r="C63" s="5" t="s">
        <v>547</v>
      </c>
      <c r="D63" s="5" t="s">
        <v>913</v>
      </c>
    </row>
    <row r="64" spans="1:13" ht="15.75" customHeight="1" x14ac:dyDescent="0.2">
      <c r="A64" t="s">
        <v>70</v>
      </c>
      <c r="B64" t="s">
        <v>555</v>
      </c>
      <c r="C64" t="s">
        <v>556</v>
      </c>
      <c r="D64" t="s">
        <v>913</v>
      </c>
    </row>
    <row r="65" spans="1:4" ht="15.75" customHeight="1" x14ac:dyDescent="0.2">
      <c r="A65" t="s">
        <v>276</v>
      </c>
      <c r="B65" t="s">
        <v>562</v>
      </c>
      <c r="C65" t="s">
        <v>563</v>
      </c>
      <c r="D65" t="s">
        <v>913</v>
      </c>
    </row>
    <row r="66" spans="1:4" ht="15.75" customHeight="1" x14ac:dyDescent="0.2">
      <c r="A66" t="s">
        <v>276</v>
      </c>
      <c r="B66" t="s">
        <v>568</v>
      </c>
      <c r="C66" t="s">
        <v>569</v>
      </c>
      <c r="D66" t="s">
        <v>913</v>
      </c>
    </row>
    <row r="67" spans="1:4" ht="15.75" customHeight="1" x14ac:dyDescent="0.2">
      <c r="A67" t="s">
        <v>276</v>
      </c>
      <c r="B67" t="s">
        <v>574</v>
      </c>
      <c r="C67" t="s">
        <v>575</v>
      </c>
      <c r="D67" t="s">
        <v>913</v>
      </c>
    </row>
    <row r="68" spans="1:4" ht="15.75" customHeight="1" x14ac:dyDescent="0.2"/>
    <row r="69" spans="1:4" ht="15.75" customHeight="1" x14ac:dyDescent="0.2"/>
    <row r="70" spans="1:4" ht="15.75" customHeight="1" x14ac:dyDescent="0.2"/>
    <row r="71" spans="1:4" ht="15.75" customHeight="1" x14ac:dyDescent="0.2"/>
    <row r="72" spans="1:4" ht="15.75" customHeight="1" x14ac:dyDescent="0.2"/>
    <row r="73" spans="1:4" ht="15.75" customHeight="1" x14ac:dyDescent="0.2"/>
    <row r="74" spans="1:4" ht="15.75" customHeight="1" x14ac:dyDescent="0.2"/>
    <row r="75" spans="1:4" ht="15.75" customHeight="1" x14ac:dyDescent="0.2"/>
    <row r="76" spans="1:4" ht="15.75" customHeight="1" x14ac:dyDescent="0.2"/>
    <row r="77" spans="1:4" ht="15.75" customHeight="1" x14ac:dyDescent="0.2"/>
    <row r="78" spans="1:4" ht="15.75" customHeight="1" x14ac:dyDescent="0.2"/>
    <row r="79" spans="1:4" ht="15.75" customHeight="1" x14ac:dyDescent="0.2"/>
    <row r="80" spans="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00"/>
  <sheetViews>
    <sheetView workbookViewId="0"/>
  </sheetViews>
  <sheetFormatPr baseColWidth="10" defaultColWidth="14.5" defaultRowHeight="15" customHeight="1" x14ac:dyDescent="0.2"/>
  <cols>
    <col min="1" max="2" width="8.6640625" customWidth="1"/>
    <col min="3" max="3" width="33" customWidth="1"/>
    <col min="4" max="26" width="8.6640625" customWidth="1"/>
  </cols>
  <sheetData>
    <row r="1" spans="1:9" x14ac:dyDescent="0.2">
      <c r="A1" s="1" t="s">
        <v>0</v>
      </c>
      <c r="B1" s="1" t="s">
        <v>1</v>
      </c>
      <c r="C1" s="1" t="s">
        <v>2</v>
      </c>
      <c r="D1" s="1" t="s">
        <v>1624</v>
      </c>
      <c r="E1" s="1" t="s">
        <v>1625</v>
      </c>
      <c r="F1" s="1" t="s">
        <v>1587</v>
      </c>
      <c r="G1" s="1" t="s">
        <v>1626</v>
      </c>
      <c r="H1" s="1" t="s">
        <v>1591</v>
      </c>
      <c r="I1" s="1" t="s">
        <v>16</v>
      </c>
    </row>
    <row r="2" spans="1:9" x14ac:dyDescent="0.2">
      <c r="A2" s="5" t="s">
        <v>26</v>
      </c>
      <c r="B2" s="5" t="s">
        <v>27</v>
      </c>
      <c r="C2" s="5" t="s">
        <v>28</v>
      </c>
      <c r="D2" s="5" t="s">
        <v>913</v>
      </c>
    </row>
    <row r="3" spans="1:9" x14ac:dyDescent="0.2">
      <c r="A3" s="5" t="s">
        <v>26</v>
      </c>
      <c r="B3" s="5" t="s">
        <v>40</v>
      </c>
      <c r="C3" s="5" t="s">
        <v>41</v>
      </c>
      <c r="D3" s="5" t="s">
        <v>913</v>
      </c>
    </row>
    <row r="4" spans="1:9" x14ac:dyDescent="0.2">
      <c r="A4" s="5" t="s">
        <v>26</v>
      </c>
      <c r="B4" s="5" t="s">
        <v>40</v>
      </c>
      <c r="C4" s="5" t="s">
        <v>41</v>
      </c>
      <c r="D4" s="5" t="s">
        <v>913</v>
      </c>
    </row>
    <row r="5" spans="1:9" x14ac:dyDescent="0.2">
      <c r="A5" s="5" t="s">
        <v>26</v>
      </c>
      <c r="B5" s="5" t="s">
        <v>50</v>
      </c>
      <c r="C5" s="5" t="s">
        <v>51</v>
      </c>
      <c r="D5" s="5" t="s">
        <v>913</v>
      </c>
    </row>
    <row r="6" spans="1:9" x14ac:dyDescent="0.2">
      <c r="A6" s="5" t="s">
        <v>26</v>
      </c>
      <c r="B6" s="5" t="s">
        <v>61</v>
      </c>
      <c r="C6" s="5" t="s">
        <v>62</v>
      </c>
      <c r="D6" s="5" t="s">
        <v>913</v>
      </c>
    </row>
    <row r="7" spans="1:9" x14ac:dyDescent="0.2">
      <c r="A7" s="5" t="s">
        <v>70</v>
      </c>
      <c r="B7" s="5" t="s">
        <v>71</v>
      </c>
      <c r="C7" s="5" t="s">
        <v>72</v>
      </c>
      <c r="D7" s="5" t="s">
        <v>913</v>
      </c>
    </row>
    <row r="8" spans="1:9" x14ac:dyDescent="0.2">
      <c r="A8" s="5" t="s">
        <v>70</v>
      </c>
      <c r="B8" s="5" t="s">
        <v>82</v>
      </c>
      <c r="C8" s="5" t="s">
        <v>83</v>
      </c>
      <c r="D8" s="5" t="s">
        <v>913</v>
      </c>
    </row>
    <row r="9" spans="1:9" x14ac:dyDescent="0.2">
      <c r="A9" s="5" t="s">
        <v>70</v>
      </c>
      <c r="B9" s="5" t="s">
        <v>93</v>
      </c>
      <c r="C9" s="5" t="s">
        <v>94</v>
      </c>
      <c r="D9" s="5" t="s">
        <v>913</v>
      </c>
    </row>
    <row r="10" spans="1:9" x14ac:dyDescent="0.2">
      <c r="A10" s="5" t="s">
        <v>70</v>
      </c>
      <c r="B10" s="5" t="s">
        <v>102</v>
      </c>
      <c r="C10" s="5" t="s">
        <v>103</v>
      </c>
      <c r="D10" s="5" t="s">
        <v>913</v>
      </c>
    </row>
    <row r="11" spans="1:9" x14ac:dyDescent="0.2">
      <c r="A11" s="5" t="s">
        <v>70</v>
      </c>
      <c r="B11" s="5" t="s">
        <v>112</v>
      </c>
      <c r="C11" s="5" t="s">
        <v>113</v>
      </c>
      <c r="D11" s="5" t="s">
        <v>913</v>
      </c>
    </row>
    <row r="12" spans="1:9" x14ac:dyDescent="0.2">
      <c r="A12" s="5" t="s">
        <v>70</v>
      </c>
      <c r="B12" s="5" t="s">
        <v>123</v>
      </c>
      <c r="C12" s="5" t="s">
        <v>124</v>
      </c>
      <c r="D12" s="5" t="s">
        <v>913</v>
      </c>
    </row>
    <row r="13" spans="1:9" x14ac:dyDescent="0.2">
      <c r="A13" s="5" t="s">
        <v>70</v>
      </c>
      <c r="B13" s="5" t="s">
        <v>134</v>
      </c>
      <c r="C13" s="5" t="s">
        <v>135</v>
      </c>
      <c r="D13" s="5" t="s">
        <v>913</v>
      </c>
    </row>
    <row r="14" spans="1:9" x14ac:dyDescent="0.2">
      <c r="A14" s="5" t="s">
        <v>70</v>
      </c>
      <c r="B14" s="5" t="s">
        <v>144</v>
      </c>
      <c r="C14" s="5" t="s">
        <v>145</v>
      </c>
      <c r="D14" s="5" t="s">
        <v>913</v>
      </c>
    </row>
    <row r="15" spans="1:9" x14ac:dyDescent="0.2">
      <c r="A15" s="5" t="s">
        <v>70</v>
      </c>
      <c r="B15" s="5" t="s">
        <v>154</v>
      </c>
      <c r="C15" s="5" t="s">
        <v>155</v>
      </c>
      <c r="D15" s="5" t="s">
        <v>913</v>
      </c>
    </row>
    <row r="16" spans="1:9" x14ac:dyDescent="0.2">
      <c r="A16" s="5" t="s">
        <v>70</v>
      </c>
      <c r="B16" s="5" t="s">
        <v>165</v>
      </c>
      <c r="C16" s="5" t="s">
        <v>166</v>
      </c>
      <c r="D16" s="5" t="s">
        <v>913</v>
      </c>
    </row>
    <row r="17" spans="1:9" x14ac:dyDescent="0.2">
      <c r="A17" s="5" t="s">
        <v>70</v>
      </c>
      <c r="B17" s="5" t="s">
        <v>176</v>
      </c>
      <c r="C17" s="5" t="s">
        <v>177</v>
      </c>
      <c r="D17" s="5" t="s">
        <v>612</v>
      </c>
      <c r="E17" s="5" t="s">
        <v>1627</v>
      </c>
      <c r="F17" s="5" t="s">
        <v>1628</v>
      </c>
      <c r="G17" s="5" t="s">
        <v>1629</v>
      </c>
      <c r="H17" s="5" t="s">
        <v>1630</v>
      </c>
    </row>
    <row r="18" spans="1:9" x14ac:dyDescent="0.2">
      <c r="A18" s="5" t="s">
        <v>70</v>
      </c>
      <c r="B18" s="5" t="s">
        <v>184</v>
      </c>
      <c r="C18" s="5" t="s">
        <v>185</v>
      </c>
      <c r="D18" s="5" t="s">
        <v>913</v>
      </c>
    </row>
    <row r="19" spans="1:9" x14ac:dyDescent="0.2">
      <c r="A19" s="5" t="s">
        <v>70</v>
      </c>
      <c r="B19" s="5" t="s">
        <v>193</v>
      </c>
      <c r="C19" s="5" t="s">
        <v>194</v>
      </c>
      <c r="D19" s="5" t="s">
        <v>913</v>
      </c>
    </row>
    <row r="20" spans="1:9" x14ac:dyDescent="0.2">
      <c r="A20" s="5" t="s">
        <v>70</v>
      </c>
      <c r="B20" s="5" t="s">
        <v>200</v>
      </c>
      <c r="C20" s="5" t="s">
        <v>201</v>
      </c>
      <c r="D20" s="5" t="s">
        <v>913</v>
      </c>
    </row>
    <row r="21" spans="1:9" ht="15.75" customHeight="1" x14ac:dyDescent="0.2">
      <c r="A21" s="5" t="s">
        <v>70</v>
      </c>
      <c r="B21" s="5" t="s">
        <v>211</v>
      </c>
      <c r="C21" s="5" t="s">
        <v>212</v>
      </c>
      <c r="D21" s="5" t="s">
        <v>913</v>
      </c>
    </row>
    <row r="22" spans="1:9" ht="15.75" customHeight="1" x14ac:dyDescent="0.2">
      <c r="A22" s="5" t="s">
        <v>70</v>
      </c>
      <c r="B22" s="5" t="s">
        <v>221</v>
      </c>
      <c r="C22" s="5" t="s">
        <v>222</v>
      </c>
      <c r="D22" s="5" t="s">
        <v>913</v>
      </c>
    </row>
    <row r="23" spans="1:9" ht="15.75" customHeight="1" x14ac:dyDescent="0.2">
      <c r="A23" s="5" t="s">
        <v>70</v>
      </c>
      <c r="B23" s="5" t="s">
        <v>229</v>
      </c>
      <c r="C23" s="5" t="s">
        <v>230</v>
      </c>
      <c r="D23" s="5" t="s">
        <v>913</v>
      </c>
    </row>
    <row r="24" spans="1:9" ht="15.75" customHeight="1" x14ac:dyDescent="0.2">
      <c r="A24" s="5" t="s">
        <v>70</v>
      </c>
      <c r="B24" s="5" t="s">
        <v>238</v>
      </c>
      <c r="C24" s="5" t="s">
        <v>239</v>
      </c>
      <c r="D24" s="5" t="s">
        <v>913</v>
      </c>
    </row>
    <row r="25" spans="1:9" ht="15.75" customHeight="1" x14ac:dyDescent="0.2">
      <c r="A25" s="5" t="s">
        <v>70</v>
      </c>
      <c r="B25" s="5" t="s">
        <v>247</v>
      </c>
      <c r="C25" s="5" t="s">
        <v>248</v>
      </c>
      <c r="D25" s="5" t="s">
        <v>612</v>
      </c>
      <c r="E25" s="5" t="s">
        <v>1627</v>
      </c>
      <c r="F25" s="5" t="s">
        <v>1631</v>
      </c>
      <c r="G25" s="5" t="s">
        <v>1632</v>
      </c>
      <c r="H25" s="5" t="s">
        <v>1633</v>
      </c>
      <c r="I25" s="5" t="s">
        <v>1634</v>
      </c>
    </row>
    <row r="26" spans="1:9" ht="15.75" customHeight="1" x14ac:dyDescent="0.2">
      <c r="A26" s="5" t="s">
        <v>70</v>
      </c>
      <c r="B26" s="5" t="s">
        <v>257</v>
      </c>
      <c r="C26" s="5" t="s">
        <v>258</v>
      </c>
      <c r="D26" s="5" t="s">
        <v>913</v>
      </c>
    </row>
    <row r="27" spans="1:9" ht="15.75" customHeight="1" x14ac:dyDescent="0.2">
      <c r="A27" s="5" t="s">
        <v>70</v>
      </c>
      <c r="B27" s="5" t="s">
        <v>268</v>
      </c>
      <c r="C27" s="5" t="s">
        <v>269</v>
      </c>
      <c r="D27" s="5" t="s">
        <v>913</v>
      </c>
    </row>
    <row r="28" spans="1:9" ht="15.75" customHeight="1" x14ac:dyDescent="0.2">
      <c r="A28" s="5" t="s">
        <v>276</v>
      </c>
      <c r="B28" s="5" t="s">
        <v>277</v>
      </c>
      <c r="C28" s="5" t="s">
        <v>278</v>
      </c>
      <c r="D28" s="5" t="s">
        <v>913</v>
      </c>
    </row>
    <row r="29" spans="1:9" ht="15.75" customHeight="1" x14ac:dyDescent="0.2">
      <c r="A29" s="5" t="s">
        <v>276</v>
      </c>
      <c r="B29" s="5" t="s">
        <v>288</v>
      </c>
      <c r="C29" s="5" t="s">
        <v>289</v>
      </c>
      <c r="D29" s="5" t="s">
        <v>913</v>
      </c>
    </row>
    <row r="30" spans="1:9" ht="15.75" customHeight="1" x14ac:dyDescent="0.2">
      <c r="A30" s="5" t="s">
        <v>276</v>
      </c>
      <c r="B30" s="5" t="s">
        <v>296</v>
      </c>
      <c r="C30" s="5" t="s">
        <v>297</v>
      </c>
      <c r="D30" s="5" t="s">
        <v>913</v>
      </c>
    </row>
    <row r="31" spans="1:9" ht="15.75" customHeight="1" x14ac:dyDescent="0.2">
      <c r="A31" s="5" t="s">
        <v>276</v>
      </c>
      <c r="B31" s="5" t="s">
        <v>305</v>
      </c>
      <c r="C31" s="5" t="s">
        <v>306</v>
      </c>
      <c r="D31" s="5" t="s">
        <v>612</v>
      </c>
      <c r="E31" s="5" t="s">
        <v>1627</v>
      </c>
      <c r="F31" s="5" t="s">
        <v>1635</v>
      </c>
      <c r="G31" s="5" t="s">
        <v>1636</v>
      </c>
      <c r="H31" s="5" t="s">
        <v>1637</v>
      </c>
      <c r="I31" s="5" t="s">
        <v>1638</v>
      </c>
    </row>
    <row r="32" spans="1:9" ht="15.75" customHeight="1" x14ac:dyDescent="0.2">
      <c r="A32" s="5" t="s">
        <v>276</v>
      </c>
      <c r="B32" s="5" t="s">
        <v>316</v>
      </c>
      <c r="C32" s="5" t="s">
        <v>317</v>
      </c>
      <c r="D32" s="5" t="s">
        <v>913</v>
      </c>
    </row>
    <row r="33" spans="1:8" ht="15.75" customHeight="1" x14ac:dyDescent="0.2">
      <c r="A33" s="5" t="s">
        <v>276</v>
      </c>
      <c r="B33" s="5" t="s">
        <v>327</v>
      </c>
      <c r="C33" s="5" t="s">
        <v>328</v>
      </c>
      <c r="D33" s="5" t="s">
        <v>913</v>
      </c>
    </row>
    <row r="34" spans="1:8" ht="15.75" customHeight="1" x14ac:dyDescent="0.2">
      <c r="A34" s="5" t="s">
        <v>276</v>
      </c>
      <c r="B34" s="5" t="s">
        <v>337</v>
      </c>
      <c r="C34" s="5" t="s">
        <v>338</v>
      </c>
      <c r="D34" s="5" t="s">
        <v>913</v>
      </c>
    </row>
    <row r="35" spans="1:8" ht="15.75" customHeight="1" x14ac:dyDescent="0.2">
      <c r="A35" s="5" t="s">
        <v>276</v>
      </c>
      <c r="B35" s="5" t="s">
        <v>346</v>
      </c>
      <c r="C35" s="5" t="s">
        <v>347</v>
      </c>
      <c r="D35" s="5" t="s">
        <v>612</v>
      </c>
      <c r="E35" s="5" t="s">
        <v>1627</v>
      </c>
      <c r="F35" s="5" t="s">
        <v>1639</v>
      </c>
      <c r="G35" s="5" t="s">
        <v>1640</v>
      </c>
      <c r="H35" s="5" t="s">
        <v>1641</v>
      </c>
    </row>
    <row r="36" spans="1:8" ht="15.75" customHeight="1" x14ac:dyDescent="0.2">
      <c r="A36" s="5" t="s">
        <v>276</v>
      </c>
      <c r="B36" s="5" t="s">
        <v>346</v>
      </c>
      <c r="C36" s="5" t="s">
        <v>347</v>
      </c>
      <c r="D36" s="5" t="s">
        <v>612</v>
      </c>
      <c r="E36" s="5" t="s">
        <v>1627</v>
      </c>
      <c r="F36" s="5" t="s">
        <v>1642</v>
      </c>
      <c r="G36" s="5" t="s">
        <v>1640</v>
      </c>
      <c r="H36" s="5" t="s">
        <v>1641</v>
      </c>
    </row>
    <row r="37" spans="1:8" ht="15.75" customHeight="1" x14ac:dyDescent="0.2">
      <c r="A37" s="5" t="s">
        <v>276</v>
      </c>
      <c r="B37" s="5" t="s">
        <v>355</v>
      </c>
      <c r="C37" s="5" t="s">
        <v>356</v>
      </c>
      <c r="D37" s="5" t="s">
        <v>913</v>
      </c>
    </row>
    <row r="38" spans="1:8" ht="15.75" customHeight="1" x14ac:dyDescent="0.2">
      <c r="A38" s="5" t="s">
        <v>276</v>
      </c>
      <c r="B38" s="5" t="s">
        <v>363</v>
      </c>
      <c r="C38" s="5" t="s">
        <v>364</v>
      </c>
      <c r="D38" s="5" t="s">
        <v>913</v>
      </c>
    </row>
    <row r="39" spans="1:8" ht="15.75" customHeight="1" x14ac:dyDescent="0.2">
      <c r="A39" s="5" t="s">
        <v>276</v>
      </c>
      <c r="B39" s="5" t="s">
        <v>372</v>
      </c>
      <c r="C39" s="5" t="s">
        <v>373</v>
      </c>
      <c r="D39" s="5" t="s">
        <v>913</v>
      </c>
    </row>
    <row r="40" spans="1:8" ht="15.75" customHeight="1" x14ac:dyDescent="0.2">
      <c r="A40" s="5" t="s">
        <v>380</v>
      </c>
      <c r="B40" s="5" t="s">
        <v>381</v>
      </c>
      <c r="C40" s="5" t="s">
        <v>382</v>
      </c>
      <c r="D40" s="5" t="s">
        <v>913</v>
      </c>
    </row>
    <row r="41" spans="1:8" ht="15.75" customHeight="1" x14ac:dyDescent="0.2">
      <c r="A41" s="5" t="s">
        <v>380</v>
      </c>
      <c r="B41" s="5" t="s">
        <v>390</v>
      </c>
      <c r="C41" s="5" t="s">
        <v>391</v>
      </c>
      <c r="D41" s="5" t="s">
        <v>913</v>
      </c>
    </row>
    <row r="42" spans="1:8" ht="15.75" customHeight="1" x14ac:dyDescent="0.2">
      <c r="A42" s="5" t="s">
        <v>380</v>
      </c>
      <c r="B42" s="5" t="s">
        <v>390</v>
      </c>
      <c r="C42" s="5" t="s">
        <v>391</v>
      </c>
      <c r="D42" s="5" t="s">
        <v>913</v>
      </c>
    </row>
    <row r="43" spans="1:8" ht="15.75" customHeight="1" x14ac:dyDescent="0.2">
      <c r="A43" s="5" t="s">
        <v>380</v>
      </c>
      <c r="B43" s="5" t="s">
        <v>399</v>
      </c>
      <c r="C43" s="5" t="s">
        <v>400</v>
      </c>
      <c r="D43" s="5" t="s">
        <v>913</v>
      </c>
    </row>
    <row r="44" spans="1:8" ht="15.75" customHeight="1" x14ac:dyDescent="0.2">
      <c r="A44" s="5" t="s">
        <v>380</v>
      </c>
      <c r="B44" s="5" t="s">
        <v>407</v>
      </c>
      <c r="C44" s="5" t="s">
        <v>408</v>
      </c>
      <c r="D44" s="5" t="s">
        <v>913</v>
      </c>
    </row>
    <row r="45" spans="1:8" ht="15.75" customHeight="1" x14ac:dyDescent="0.2">
      <c r="A45" s="5" t="s">
        <v>380</v>
      </c>
      <c r="B45" s="5" t="s">
        <v>417</v>
      </c>
      <c r="C45" s="5" t="s">
        <v>418</v>
      </c>
      <c r="D45" s="5" t="s">
        <v>913</v>
      </c>
    </row>
    <row r="46" spans="1:8" ht="15.75" customHeight="1" x14ac:dyDescent="0.2">
      <c r="A46" s="5" t="s">
        <v>426</v>
      </c>
      <c r="B46" s="5" t="s">
        <v>427</v>
      </c>
      <c r="C46" s="5" t="s">
        <v>428</v>
      </c>
      <c r="D46" s="5" t="s">
        <v>913</v>
      </c>
    </row>
    <row r="47" spans="1:8" ht="15.75" customHeight="1" x14ac:dyDescent="0.2">
      <c r="A47" s="5" t="s">
        <v>426</v>
      </c>
      <c r="B47" s="5" t="s">
        <v>435</v>
      </c>
      <c r="C47" s="5" t="s">
        <v>436</v>
      </c>
      <c r="D47" s="5" t="s">
        <v>913</v>
      </c>
    </row>
    <row r="48" spans="1:8" ht="15.75" customHeight="1" x14ac:dyDescent="0.2">
      <c r="A48" s="5" t="s">
        <v>426</v>
      </c>
      <c r="B48" s="5" t="s">
        <v>435</v>
      </c>
      <c r="C48" s="5" t="s">
        <v>436</v>
      </c>
      <c r="D48" s="5" t="s">
        <v>913</v>
      </c>
    </row>
    <row r="49" spans="1:9" ht="15.75" customHeight="1" x14ac:dyDescent="0.2">
      <c r="A49" s="5" t="s">
        <v>426</v>
      </c>
      <c r="B49" s="5" t="s">
        <v>444</v>
      </c>
      <c r="C49" s="5" t="s">
        <v>445</v>
      </c>
      <c r="D49" s="5" t="s">
        <v>913</v>
      </c>
    </row>
    <row r="50" spans="1:9" ht="15.75" customHeight="1" x14ac:dyDescent="0.2">
      <c r="A50" s="5" t="s">
        <v>426</v>
      </c>
      <c r="B50" s="5" t="s">
        <v>452</v>
      </c>
      <c r="C50" s="5" t="s">
        <v>453</v>
      </c>
      <c r="D50" s="5" t="s">
        <v>913</v>
      </c>
    </row>
    <row r="51" spans="1:9" ht="15.75" customHeight="1" x14ac:dyDescent="0.2">
      <c r="A51" s="5" t="s">
        <v>426</v>
      </c>
      <c r="B51" s="5" t="s">
        <v>460</v>
      </c>
      <c r="C51" s="5" t="s">
        <v>461</v>
      </c>
      <c r="D51" s="5" t="s">
        <v>612</v>
      </c>
      <c r="E51" s="5" t="s">
        <v>1627</v>
      </c>
      <c r="F51" s="5" t="s">
        <v>1621</v>
      </c>
      <c r="G51" s="5" t="s">
        <v>1621</v>
      </c>
      <c r="H51" s="5" t="s">
        <v>1621</v>
      </c>
      <c r="I51" s="5" t="s">
        <v>1643</v>
      </c>
    </row>
    <row r="52" spans="1:9" ht="15.75" customHeight="1" x14ac:dyDescent="0.2">
      <c r="A52" s="5" t="s">
        <v>426</v>
      </c>
      <c r="B52" s="5" t="s">
        <v>468</v>
      </c>
      <c r="C52" s="5" t="s">
        <v>469</v>
      </c>
      <c r="D52" s="5" t="s">
        <v>913</v>
      </c>
    </row>
    <row r="53" spans="1:9" ht="15.75" customHeight="1" x14ac:dyDescent="0.2">
      <c r="A53" s="5" t="s">
        <v>426</v>
      </c>
      <c r="B53" s="5" t="s">
        <v>476</v>
      </c>
      <c r="C53" s="5" t="s">
        <v>477</v>
      </c>
      <c r="D53" s="5" t="s">
        <v>913</v>
      </c>
    </row>
    <row r="54" spans="1:9" ht="15.75" customHeight="1" x14ac:dyDescent="0.2">
      <c r="A54" s="5" t="s">
        <v>426</v>
      </c>
      <c r="B54" s="5" t="s">
        <v>476</v>
      </c>
      <c r="C54" s="5" t="s">
        <v>477</v>
      </c>
      <c r="D54" s="5" t="s">
        <v>913</v>
      </c>
    </row>
    <row r="55" spans="1:9" ht="15.75" customHeight="1" x14ac:dyDescent="0.2">
      <c r="A55" s="5" t="s">
        <v>485</v>
      </c>
      <c r="B55" s="5" t="s">
        <v>486</v>
      </c>
      <c r="C55" s="5" t="s">
        <v>487</v>
      </c>
      <c r="D55" s="5" t="s">
        <v>913</v>
      </c>
    </row>
    <row r="56" spans="1:9" ht="15.75" customHeight="1" x14ac:dyDescent="0.2">
      <c r="A56" s="5" t="s">
        <v>485</v>
      </c>
      <c r="B56" s="5" t="s">
        <v>494</v>
      </c>
      <c r="C56" s="5" t="s">
        <v>495</v>
      </c>
      <c r="D56" s="5" t="s">
        <v>913</v>
      </c>
    </row>
    <row r="57" spans="1:9" ht="15.75" customHeight="1" x14ac:dyDescent="0.2">
      <c r="A57" s="5" t="s">
        <v>485</v>
      </c>
      <c r="B57" s="5" t="s">
        <v>503</v>
      </c>
      <c r="C57" s="5" t="s">
        <v>504</v>
      </c>
      <c r="D57" s="5" t="s">
        <v>913</v>
      </c>
    </row>
    <row r="58" spans="1:9" ht="15.75" customHeight="1" x14ac:dyDescent="0.2">
      <c r="A58" s="5" t="s">
        <v>485</v>
      </c>
      <c r="B58" s="5" t="s">
        <v>511</v>
      </c>
      <c r="C58" s="5" t="s">
        <v>512</v>
      </c>
      <c r="D58" s="5" t="s">
        <v>913</v>
      </c>
    </row>
    <row r="59" spans="1:9" ht="15.75" customHeight="1" x14ac:dyDescent="0.2">
      <c r="A59" s="5" t="s">
        <v>485</v>
      </c>
      <c r="B59" s="5" t="s">
        <v>519</v>
      </c>
      <c r="C59" s="5" t="s">
        <v>520</v>
      </c>
      <c r="D59" s="5" t="s">
        <v>913</v>
      </c>
    </row>
    <row r="60" spans="1:9" ht="15.75" customHeight="1" x14ac:dyDescent="0.2">
      <c r="A60" s="5" t="s">
        <v>485</v>
      </c>
      <c r="B60" s="5" t="s">
        <v>519</v>
      </c>
      <c r="C60" s="5" t="s">
        <v>520</v>
      </c>
      <c r="D60" s="5" t="s">
        <v>913</v>
      </c>
    </row>
    <row r="61" spans="1:9" ht="15.75" customHeight="1" x14ac:dyDescent="0.2">
      <c r="A61" s="5" t="s">
        <v>485</v>
      </c>
      <c r="B61" s="5" t="s">
        <v>527</v>
      </c>
      <c r="C61" s="5" t="s">
        <v>528</v>
      </c>
      <c r="D61" s="5" t="s">
        <v>612</v>
      </c>
      <c r="E61" s="5" t="s">
        <v>1627</v>
      </c>
      <c r="F61" s="5" t="s">
        <v>1644</v>
      </c>
      <c r="G61" s="5" t="s">
        <v>322</v>
      </c>
      <c r="H61" s="5" t="s">
        <v>1645</v>
      </c>
    </row>
    <row r="62" spans="1:9" ht="15.75" customHeight="1" x14ac:dyDescent="0.2">
      <c r="A62" s="5" t="s">
        <v>485</v>
      </c>
      <c r="B62" s="5" t="s">
        <v>537</v>
      </c>
      <c r="C62" s="5" t="s">
        <v>538</v>
      </c>
      <c r="D62" s="5" t="s">
        <v>913</v>
      </c>
    </row>
    <row r="63" spans="1:9" ht="15.75" customHeight="1" x14ac:dyDescent="0.2">
      <c r="A63" s="5" t="s">
        <v>485</v>
      </c>
      <c r="B63" s="5" t="s">
        <v>546</v>
      </c>
      <c r="C63" s="5" t="s">
        <v>547</v>
      </c>
      <c r="D63" s="5" t="s">
        <v>913</v>
      </c>
    </row>
    <row r="64" spans="1:9" ht="15.75" customHeight="1" x14ac:dyDescent="0.2">
      <c r="A64" t="s">
        <v>70</v>
      </c>
      <c r="B64" t="s">
        <v>555</v>
      </c>
      <c r="C64" t="s">
        <v>556</v>
      </c>
      <c r="D64" t="s">
        <v>913</v>
      </c>
    </row>
    <row r="65" spans="1:9" ht="15.75" customHeight="1" x14ac:dyDescent="0.2">
      <c r="A65" t="s">
        <v>276</v>
      </c>
      <c r="B65" t="s">
        <v>562</v>
      </c>
      <c r="C65" t="s">
        <v>563</v>
      </c>
      <c r="D65" t="s">
        <v>913</v>
      </c>
    </row>
    <row r="66" spans="1:9" ht="15.75" customHeight="1" x14ac:dyDescent="0.2">
      <c r="A66" t="s">
        <v>276</v>
      </c>
      <c r="B66" t="s">
        <v>568</v>
      </c>
      <c r="C66" t="s">
        <v>569</v>
      </c>
      <c r="D66" t="s">
        <v>913</v>
      </c>
    </row>
    <row r="67" spans="1:9" ht="15.75" customHeight="1" x14ac:dyDescent="0.2">
      <c r="A67" t="s">
        <v>276</v>
      </c>
      <c r="B67" t="s">
        <v>574</v>
      </c>
      <c r="C67" t="s">
        <v>575</v>
      </c>
      <c r="D67" t="s">
        <v>612</v>
      </c>
      <c r="E67" t="s">
        <v>1627</v>
      </c>
      <c r="F67" t="s">
        <v>1646</v>
      </c>
      <c r="G67" t="s">
        <v>1647</v>
      </c>
      <c r="H67" t="s">
        <v>1648</v>
      </c>
      <c r="I67" t="s">
        <v>1649</v>
      </c>
    </row>
    <row r="68" spans="1:9" ht="15.75" customHeight="1" x14ac:dyDescent="0.2"/>
    <row r="69" spans="1:9" ht="15.75" customHeight="1" x14ac:dyDescent="0.2"/>
    <row r="70" spans="1:9" ht="15.75" customHeight="1" x14ac:dyDescent="0.2"/>
    <row r="71" spans="1:9" ht="15.75" customHeight="1" x14ac:dyDescent="0.2"/>
    <row r="72" spans="1:9" ht="15.75" customHeight="1" x14ac:dyDescent="0.2"/>
    <row r="73" spans="1:9" ht="15.75" customHeight="1" x14ac:dyDescent="0.2"/>
    <row r="74" spans="1:9" ht="15.75" customHeight="1" x14ac:dyDescent="0.2"/>
    <row r="75" spans="1:9" ht="15.75" customHeight="1" x14ac:dyDescent="0.2"/>
    <row r="76" spans="1:9" ht="15.75" customHeight="1" x14ac:dyDescent="0.2"/>
    <row r="77" spans="1:9" ht="15.75" customHeight="1" x14ac:dyDescent="0.2"/>
    <row r="78" spans="1:9" ht="15.75" customHeight="1" x14ac:dyDescent="0.2"/>
    <row r="79" spans="1:9" ht="15.75" customHeight="1" x14ac:dyDescent="0.2"/>
    <row r="80" spans="1:9"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000"/>
  <sheetViews>
    <sheetView workbookViewId="0"/>
  </sheetViews>
  <sheetFormatPr baseColWidth="10" defaultColWidth="14.5" defaultRowHeight="15" customHeight="1" x14ac:dyDescent="0.2"/>
  <cols>
    <col min="1" max="26" width="8.6640625" customWidth="1"/>
  </cols>
  <sheetData>
    <row r="1" spans="1:7" x14ac:dyDescent="0.2">
      <c r="A1" s="1" t="s">
        <v>0</v>
      </c>
      <c r="B1" s="1" t="s">
        <v>1</v>
      </c>
      <c r="C1" s="1" t="s">
        <v>2</v>
      </c>
      <c r="D1" s="1" t="s">
        <v>1650</v>
      </c>
      <c r="E1" s="1" t="s">
        <v>1651</v>
      </c>
      <c r="F1" s="1" t="s">
        <v>1341</v>
      </c>
      <c r="G1" s="1" t="s">
        <v>16</v>
      </c>
    </row>
    <row r="2" spans="1:7" x14ac:dyDescent="0.2">
      <c r="A2" s="5" t="s">
        <v>26</v>
      </c>
      <c r="B2" s="5" t="s">
        <v>27</v>
      </c>
      <c r="C2" s="5" t="s">
        <v>28</v>
      </c>
      <c r="D2" s="5" t="s">
        <v>913</v>
      </c>
    </row>
    <row r="3" spans="1:7" x14ac:dyDescent="0.2">
      <c r="A3" s="5" t="s">
        <v>26</v>
      </c>
      <c r="B3" s="5" t="s">
        <v>40</v>
      </c>
      <c r="C3" s="5" t="s">
        <v>41</v>
      </c>
      <c r="D3" s="5" t="s">
        <v>612</v>
      </c>
      <c r="E3" s="5" t="s">
        <v>1652</v>
      </c>
      <c r="F3" s="5" t="s">
        <v>757</v>
      </c>
    </row>
    <row r="4" spans="1:7" x14ac:dyDescent="0.2">
      <c r="A4" s="5" t="s">
        <v>26</v>
      </c>
      <c r="B4" s="5" t="s">
        <v>40</v>
      </c>
      <c r="C4" s="5" t="s">
        <v>41</v>
      </c>
      <c r="D4" s="5" t="s">
        <v>612</v>
      </c>
      <c r="E4" s="5" t="s">
        <v>1652</v>
      </c>
      <c r="F4" s="5" t="s">
        <v>757</v>
      </c>
    </row>
    <row r="5" spans="1:7" x14ac:dyDescent="0.2">
      <c r="A5" s="5" t="s">
        <v>26</v>
      </c>
      <c r="B5" s="5" t="s">
        <v>50</v>
      </c>
      <c r="C5" s="5" t="s">
        <v>51</v>
      </c>
      <c r="D5" s="5" t="s">
        <v>913</v>
      </c>
    </row>
    <row r="6" spans="1:7" x14ac:dyDescent="0.2">
      <c r="A6" s="5" t="s">
        <v>26</v>
      </c>
      <c r="B6" s="5" t="s">
        <v>61</v>
      </c>
      <c r="C6" s="5" t="s">
        <v>62</v>
      </c>
      <c r="D6" s="5" t="s">
        <v>913</v>
      </c>
    </row>
    <row r="7" spans="1:7" x14ac:dyDescent="0.2">
      <c r="A7" s="5" t="s">
        <v>70</v>
      </c>
      <c r="B7" s="5" t="s">
        <v>71</v>
      </c>
      <c r="C7" s="5" t="s">
        <v>72</v>
      </c>
      <c r="D7" s="5" t="s">
        <v>913</v>
      </c>
    </row>
    <row r="8" spans="1:7" x14ac:dyDescent="0.2">
      <c r="A8" s="5" t="s">
        <v>70</v>
      </c>
      <c r="B8" s="5" t="s">
        <v>82</v>
      </c>
      <c r="C8" s="5" t="s">
        <v>83</v>
      </c>
      <c r="D8" s="5" t="s">
        <v>612</v>
      </c>
      <c r="E8" s="5" t="s">
        <v>1491</v>
      </c>
      <c r="F8" s="5" t="s">
        <v>706</v>
      </c>
    </row>
    <row r="9" spans="1:7" x14ac:dyDescent="0.2">
      <c r="A9" s="5" t="s">
        <v>70</v>
      </c>
      <c r="B9" s="5" t="s">
        <v>93</v>
      </c>
      <c r="C9" s="5" t="s">
        <v>94</v>
      </c>
      <c r="D9" s="5" t="s">
        <v>612</v>
      </c>
      <c r="E9" s="5" t="s">
        <v>485</v>
      </c>
      <c r="F9" s="5" t="s">
        <v>617</v>
      </c>
      <c r="G9" s="5" t="s">
        <v>1653</v>
      </c>
    </row>
    <row r="10" spans="1:7" x14ac:dyDescent="0.2">
      <c r="A10" s="5" t="s">
        <v>70</v>
      </c>
      <c r="B10" s="5" t="s">
        <v>102</v>
      </c>
      <c r="C10" s="5" t="s">
        <v>103</v>
      </c>
      <c r="D10" s="5" t="s">
        <v>913</v>
      </c>
    </row>
    <row r="11" spans="1:7" x14ac:dyDescent="0.2">
      <c r="A11" s="5" t="s">
        <v>70</v>
      </c>
      <c r="B11" s="5" t="s">
        <v>112</v>
      </c>
      <c r="C11" s="5" t="s">
        <v>113</v>
      </c>
      <c r="D11" s="5" t="s">
        <v>913</v>
      </c>
    </row>
    <row r="12" spans="1:7" x14ac:dyDescent="0.2">
      <c r="A12" s="5" t="s">
        <v>70</v>
      </c>
      <c r="B12" s="5" t="s">
        <v>123</v>
      </c>
      <c r="C12" s="5" t="s">
        <v>124</v>
      </c>
      <c r="D12" s="5" t="s">
        <v>612</v>
      </c>
      <c r="E12" s="5" t="s">
        <v>1499</v>
      </c>
      <c r="F12" s="5" t="s">
        <v>688</v>
      </c>
      <c r="G12" s="5" t="s">
        <v>1501</v>
      </c>
    </row>
    <row r="13" spans="1:7" x14ac:dyDescent="0.2">
      <c r="A13" s="5" t="s">
        <v>70</v>
      </c>
      <c r="B13" s="5" t="s">
        <v>134</v>
      </c>
      <c r="C13" s="5" t="s">
        <v>135</v>
      </c>
      <c r="D13" s="5" t="s">
        <v>913</v>
      </c>
    </row>
    <row r="14" spans="1:7" x14ac:dyDescent="0.2">
      <c r="A14" s="5" t="s">
        <v>70</v>
      </c>
      <c r="B14" s="5" t="s">
        <v>144</v>
      </c>
      <c r="C14" s="5" t="s">
        <v>145</v>
      </c>
      <c r="D14" s="5" t="s">
        <v>612</v>
      </c>
      <c r="E14" s="5" t="s">
        <v>1515</v>
      </c>
      <c r="F14" s="5" t="s">
        <v>632</v>
      </c>
    </row>
    <row r="15" spans="1:7" x14ac:dyDescent="0.2">
      <c r="A15" s="5" t="s">
        <v>70</v>
      </c>
      <c r="B15" s="5" t="s">
        <v>154</v>
      </c>
      <c r="C15" s="5" t="s">
        <v>155</v>
      </c>
      <c r="D15" s="5" t="s">
        <v>612</v>
      </c>
      <c r="E15" s="5" t="s">
        <v>1654</v>
      </c>
      <c r="F15" s="5" t="s">
        <v>623</v>
      </c>
    </row>
    <row r="16" spans="1:7" x14ac:dyDescent="0.2">
      <c r="A16" s="5" t="s">
        <v>70</v>
      </c>
      <c r="B16" s="5" t="s">
        <v>154</v>
      </c>
      <c r="C16" s="5" t="s">
        <v>155</v>
      </c>
      <c r="D16" s="5" t="s">
        <v>612</v>
      </c>
      <c r="E16" s="5" t="s">
        <v>1655</v>
      </c>
      <c r="F16" s="5" t="s">
        <v>624</v>
      </c>
    </row>
    <row r="17" spans="1:7" x14ac:dyDescent="0.2">
      <c r="A17" s="5" t="s">
        <v>70</v>
      </c>
      <c r="B17" s="5" t="s">
        <v>165</v>
      </c>
      <c r="C17" s="5" t="s">
        <v>166</v>
      </c>
      <c r="D17" s="5" t="s">
        <v>913</v>
      </c>
    </row>
    <row r="18" spans="1:7" x14ac:dyDescent="0.2">
      <c r="A18" s="5" t="s">
        <v>70</v>
      </c>
      <c r="B18" s="5" t="s">
        <v>176</v>
      </c>
      <c r="C18" s="5" t="s">
        <v>177</v>
      </c>
      <c r="D18" s="5" t="s">
        <v>612</v>
      </c>
      <c r="E18" s="5" t="s">
        <v>1557</v>
      </c>
      <c r="F18" s="5" t="s">
        <v>632</v>
      </c>
    </row>
    <row r="19" spans="1:7" x14ac:dyDescent="0.2">
      <c r="A19" s="5" t="s">
        <v>70</v>
      </c>
      <c r="B19" s="5" t="s">
        <v>184</v>
      </c>
      <c r="C19" s="5" t="s">
        <v>185</v>
      </c>
      <c r="D19" s="5" t="s">
        <v>612</v>
      </c>
      <c r="E19" s="5" t="s">
        <v>1505</v>
      </c>
      <c r="F19" s="5" t="s">
        <v>621</v>
      </c>
      <c r="G19" s="5" t="s">
        <v>1656</v>
      </c>
    </row>
    <row r="20" spans="1:7" x14ac:dyDescent="0.2">
      <c r="A20" s="5" t="s">
        <v>70</v>
      </c>
      <c r="B20" s="5" t="s">
        <v>193</v>
      </c>
      <c r="C20" s="5" t="s">
        <v>194</v>
      </c>
      <c r="D20" s="5" t="s">
        <v>612</v>
      </c>
      <c r="E20" s="5" t="s">
        <v>1507</v>
      </c>
      <c r="F20" s="5" t="s">
        <v>757</v>
      </c>
    </row>
    <row r="21" spans="1:7" ht="15.75" customHeight="1" x14ac:dyDescent="0.2">
      <c r="A21" s="5" t="s">
        <v>70</v>
      </c>
      <c r="B21" s="5" t="s">
        <v>200</v>
      </c>
      <c r="C21" s="5" t="s">
        <v>201</v>
      </c>
      <c r="D21" s="5" t="s">
        <v>913</v>
      </c>
    </row>
    <row r="22" spans="1:7" ht="15.75" customHeight="1" x14ac:dyDescent="0.2">
      <c r="A22" s="5" t="s">
        <v>70</v>
      </c>
      <c r="B22" s="5" t="s">
        <v>211</v>
      </c>
      <c r="C22" s="5" t="s">
        <v>212</v>
      </c>
      <c r="D22" s="5" t="s">
        <v>612</v>
      </c>
      <c r="E22" s="5" t="s">
        <v>1568</v>
      </c>
      <c r="F22" s="5" t="s">
        <v>732</v>
      </c>
      <c r="G22" s="5" t="s">
        <v>1657</v>
      </c>
    </row>
    <row r="23" spans="1:7" ht="15.75" customHeight="1" x14ac:dyDescent="0.2">
      <c r="A23" s="5" t="s">
        <v>70</v>
      </c>
      <c r="B23" s="5" t="s">
        <v>211</v>
      </c>
      <c r="C23" s="5" t="s">
        <v>212</v>
      </c>
      <c r="D23" s="5" t="s">
        <v>612</v>
      </c>
      <c r="E23" s="5" t="s">
        <v>1525</v>
      </c>
      <c r="F23" s="5" t="s">
        <v>732</v>
      </c>
    </row>
    <row r="24" spans="1:7" ht="15.75" customHeight="1" x14ac:dyDescent="0.2">
      <c r="A24" s="5" t="s">
        <v>70</v>
      </c>
      <c r="B24" s="5" t="s">
        <v>221</v>
      </c>
      <c r="C24" s="5" t="s">
        <v>222</v>
      </c>
      <c r="D24" s="5" t="s">
        <v>913</v>
      </c>
    </row>
    <row r="25" spans="1:7" ht="15.75" customHeight="1" x14ac:dyDescent="0.2">
      <c r="A25" s="5" t="s">
        <v>70</v>
      </c>
      <c r="B25" s="5" t="s">
        <v>229</v>
      </c>
      <c r="C25" s="5" t="s">
        <v>230</v>
      </c>
      <c r="D25" s="5" t="s">
        <v>913</v>
      </c>
    </row>
    <row r="26" spans="1:7" ht="15.75" customHeight="1" x14ac:dyDescent="0.2">
      <c r="A26" s="5" t="s">
        <v>70</v>
      </c>
      <c r="B26" s="5" t="s">
        <v>238</v>
      </c>
      <c r="C26" s="5" t="s">
        <v>239</v>
      </c>
      <c r="D26" s="5" t="s">
        <v>612</v>
      </c>
      <c r="E26" s="5" t="s">
        <v>1568</v>
      </c>
      <c r="F26" s="5" t="s">
        <v>732</v>
      </c>
    </row>
    <row r="27" spans="1:7" ht="15.75" customHeight="1" x14ac:dyDescent="0.2">
      <c r="A27" s="5" t="s">
        <v>70</v>
      </c>
      <c r="B27" s="5" t="s">
        <v>238</v>
      </c>
      <c r="C27" s="5" t="s">
        <v>239</v>
      </c>
      <c r="D27" s="5" t="s">
        <v>612</v>
      </c>
      <c r="E27" s="5" t="s">
        <v>1510</v>
      </c>
      <c r="F27" s="5" t="s">
        <v>732</v>
      </c>
      <c r="G27" s="5" t="s">
        <v>1658</v>
      </c>
    </row>
    <row r="28" spans="1:7" ht="15.75" customHeight="1" x14ac:dyDescent="0.2">
      <c r="A28" s="5" t="s">
        <v>70</v>
      </c>
      <c r="B28" s="5" t="s">
        <v>247</v>
      </c>
      <c r="C28" s="5" t="s">
        <v>248</v>
      </c>
      <c r="D28" s="5" t="s">
        <v>612</v>
      </c>
      <c r="E28" s="5" t="s">
        <v>1512</v>
      </c>
      <c r="F28" s="5" t="s">
        <v>688</v>
      </c>
    </row>
    <row r="29" spans="1:7" ht="15.75" customHeight="1" x14ac:dyDescent="0.2">
      <c r="A29" s="5" t="s">
        <v>70</v>
      </c>
      <c r="B29" s="5" t="s">
        <v>247</v>
      </c>
      <c r="C29" s="5" t="s">
        <v>248</v>
      </c>
      <c r="D29" s="5" t="s">
        <v>612</v>
      </c>
      <c r="E29" s="5" t="s">
        <v>1512</v>
      </c>
      <c r="F29" s="5" t="s">
        <v>649</v>
      </c>
    </row>
    <row r="30" spans="1:7" ht="15.75" customHeight="1" x14ac:dyDescent="0.2">
      <c r="A30" s="5" t="s">
        <v>70</v>
      </c>
      <c r="B30" s="5" t="s">
        <v>257</v>
      </c>
      <c r="C30" s="5" t="s">
        <v>258</v>
      </c>
      <c r="D30" s="5" t="s">
        <v>612</v>
      </c>
      <c r="E30" s="5" t="s">
        <v>1514</v>
      </c>
      <c r="F30" s="5" t="s">
        <v>632</v>
      </c>
      <c r="G30" s="5" t="s">
        <v>1659</v>
      </c>
    </row>
    <row r="31" spans="1:7" ht="15.75" customHeight="1" x14ac:dyDescent="0.2">
      <c r="A31" s="5" t="s">
        <v>70</v>
      </c>
      <c r="B31" s="5" t="s">
        <v>268</v>
      </c>
      <c r="C31" s="5" t="s">
        <v>269</v>
      </c>
      <c r="D31" s="5" t="s">
        <v>612</v>
      </c>
      <c r="E31" s="5" t="s">
        <v>1515</v>
      </c>
      <c r="F31" s="5" t="s">
        <v>632</v>
      </c>
      <c r="G31" s="5" t="s">
        <v>1660</v>
      </c>
    </row>
    <row r="32" spans="1:7" ht="15.75" customHeight="1" x14ac:dyDescent="0.2">
      <c r="A32" s="5" t="s">
        <v>276</v>
      </c>
      <c r="B32" s="5" t="s">
        <v>277</v>
      </c>
      <c r="C32" s="5" t="s">
        <v>278</v>
      </c>
      <c r="D32" s="5" t="s">
        <v>612</v>
      </c>
      <c r="E32" s="5" t="s">
        <v>1557</v>
      </c>
      <c r="F32" s="5" t="s">
        <v>941</v>
      </c>
    </row>
    <row r="33" spans="1:6" ht="15.75" customHeight="1" x14ac:dyDescent="0.2">
      <c r="A33" s="5" t="s">
        <v>276</v>
      </c>
      <c r="B33" s="5" t="s">
        <v>288</v>
      </c>
      <c r="C33" s="5" t="s">
        <v>289</v>
      </c>
      <c r="D33" s="5" t="s">
        <v>612</v>
      </c>
      <c r="E33" s="5" t="s">
        <v>1523</v>
      </c>
      <c r="F33" s="5" t="s">
        <v>631</v>
      </c>
    </row>
    <row r="34" spans="1:6" ht="15.75" customHeight="1" x14ac:dyDescent="0.2">
      <c r="A34" s="5" t="s">
        <v>276</v>
      </c>
      <c r="B34" s="5" t="s">
        <v>288</v>
      </c>
      <c r="C34" s="5" t="s">
        <v>289</v>
      </c>
      <c r="D34" s="5" t="s">
        <v>612</v>
      </c>
      <c r="E34" s="5" t="s">
        <v>1577</v>
      </c>
      <c r="F34" s="5" t="s">
        <v>757</v>
      </c>
    </row>
    <row r="35" spans="1:6" ht="15.75" customHeight="1" x14ac:dyDescent="0.2">
      <c r="A35" s="5" t="s">
        <v>276</v>
      </c>
      <c r="B35" s="5" t="s">
        <v>296</v>
      </c>
      <c r="C35" s="5" t="s">
        <v>297</v>
      </c>
      <c r="D35" s="5" t="s">
        <v>913</v>
      </c>
    </row>
    <row r="36" spans="1:6" ht="15.75" customHeight="1" x14ac:dyDescent="0.2">
      <c r="A36" s="5" t="s">
        <v>276</v>
      </c>
      <c r="B36" s="5" t="s">
        <v>305</v>
      </c>
      <c r="C36" s="5" t="s">
        <v>306</v>
      </c>
      <c r="D36" s="5" t="s">
        <v>612</v>
      </c>
      <c r="E36" s="5" t="s">
        <v>1520</v>
      </c>
      <c r="F36" s="5" t="s">
        <v>623</v>
      </c>
    </row>
    <row r="37" spans="1:6" ht="15.75" customHeight="1" x14ac:dyDescent="0.2">
      <c r="A37" s="5" t="s">
        <v>276</v>
      </c>
      <c r="B37" s="5" t="s">
        <v>316</v>
      </c>
      <c r="C37" s="5" t="s">
        <v>317</v>
      </c>
      <c r="D37" s="5" t="s">
        <v>612</v>
      </c>
      <c r="E37" s="5" t="s">
        <v>1521</v>
      </c>
      <c r="F37" s="5" t="s">
        <v>627</v>
      </c>
    </row>
    <row r="38" spans="1:6" ht="15.75" customHeight="1" x14ac:dyDescent="0.2">
      <c r="A38" s="5" t="s">
        <v>276</v>
      </c>
      <c r="B38" s="5" t="s">
        <v>327</v>
      </c>
      <c r="C38" s="5" t="s">
        <v>328</v>
      </c>
      <c r="D38" s="5" t="s">
        <v>612</v>
      </c>
      <c r="E38" s="5" t="s">
        <v>1488</v>
      </c>
      <c r="F38" s="5" t="s">
        <v>627</v>
      </c>
    </row>
    <row r="39" spans="1:6" ht="15.75" customHeight="1" x14ac:dyDescent="0.2">
      <c r="A39" s="5" t="s">
        <v>276</v>
      </c>
      <c r="B39" s="5" t="s">
        <v>337</v>
      </c>
      <c r="C39" s="5" t="s">
        <v>338</v>
      </c>
      <c r="D39" s="5" t="s">
        <v>612</v>
      </c>
      <c r="E39" s="5" t="s">
        <v>1523</v>
      </c>
      <c r="F39" s="5" t="s">
        <v>621</v>
      </c>
    </row>
    <row r="40" spans="1:6" ht="15.75" customHeight="1" x14ac:dyDescent="0.2">
      <c r="A40" s="5" t="s">
        <v>276</v>
      </c>
      <c r="B40" s="5" t="s">
        <v>346</v>
      </c>
      <c r="C40" s="5" t="s">
        <v>347</v>
      </c>
      <c r="D40" s="5" t="s">
        <v>612</v>
      </c>
      <c r="E40" s="5" t="s">
        <v>1661</v>
      </c>
      <c r="F40" s="5" t="s">
        <v>617</v>
      </c>
    </row>
    <row r="41" spans="1:6" ht="15.75" customHeight="1" x14ac:dyDescent="0.2">
      <c r="A41" s="5" t="s">
        <v>276</v>
      </c>
      <c r="B41" s="5" t="s">
        <v>346</v>
      </c>
      <c r="C41" s="5" t="s">
        <v>347</v>
      </c>
      <c r="D41" s="5" t="s">
        <v>612</v>
      </c>
      <c r="E41" s="5" t="s">
        <v>1662</v>
      </c>
      <c r="F41" s="5" t="s">
        <v>653</v>
      </c>
    </row>
    <row r="42" spans="1:6" ht="15.75" customHeight="1" x14ac:dyDescent="0.2">
      <c r="A42" s="5" t="s">
        <v>276</v>
      </c>
      <c r="B42" s="5" t="s">
        <v>355</v>
      </c>
      <c r="C42" s="5" t="s">
        <v>356</v>
      </c>
      <c r="D42" s="5" t="s">
        <v>612</v>
      </c>
      <c r="E42" s="5" t="s">
        <v>1574</v>
      </c>
      <c r="F42" s="5" t="s">
        <v>649</v>
      </c>
    </row>
    <row r="43" spans="1:6" ht="15.75" customHeight="1" x14ac:dyDescent="0.2">
      <c r="A43" s="5" t="s">
        <v>276</v>
      </c>
      <c r="B43" s="5" t="s">
        <v>363</v>
      </c>
      <c r="C43" s="5" t="s">
        <v>364</v>
      </c>
      <c r="D43" s="5" t="s">
        <v>612</v>
      </c>
      <c r="E43" s="5" t="s">
        <v>1574</v>
      </c>
      <c r="F43" s="5" t="s">
        <v>649</v>
      </c>
    </row>
    <row r="44" spans="1:6" ht="15.75" customHeight="1" x14ac:dyDescent="0.2">
      <c r="A44" s="5" t="s">
        <v>276</v>
      </c>
      <c r="B44" s="5" t="s">
        <v>372</v>
      </c>
      <c r="C44" s="5" t="s">
        <v>373</v>
      </c>
      <c r="D44" s="5" t="s">
        <v>612</v>
      </c>
      <c r="E44" s="5" t="s">
        <v>1663</v>
      </c>
      <c r="F44" s="5" t="s">
        <v>623</v>
      </c>
    </row>
    <row r="45" spans="1:6" ht="15.75" customHeight="1" x14ac:dyDescent="0.2">
      <c r="A45" s="5" t="s">
        <v>276</v>
      </c>
      <c r="B45" s="5" t="s">
        <v>372</v>
      </c>
      <c r="C45" s="5" t="s">
        <v>373</v>
      </c>
      <c r="D45" s="5" t="s">
        <v>612</v>
      </c>
      <c r="E45" s="5" t="s">
        <v>1652</v>
      </c>
      <c r="F45" s="5" t="s">
        <v>713</v>
      </c>
    </row>
    <row r="46" spans="1:6" ht="15.75" customHeight="1" x14ac:dyDescent="0.2">
      <c r="A46" s="5" t="s">
        <v>380</v>
      </c>
      <c r="B46" s="5" t="s">
        <v>381</v>
      </c>
      <c r="C46" s="5" t="s">
        <v>382</v>
      </c>
      <c r="D46" s="5" t="s">
        <v>612</v>
      </c>
      <c r="E46" s="5" t="s">
        <v>1568</v>
      </c>
      <c r="F46" s="5" t="s">
        <v>837</v>
      </c>
    </row>
    <row r="47" spans="1:6" ht="15.75" customHeight="1" x14ac:dyDescent="0.2">
      <c r="A47" s="5" t="s">
        <v>380</v>
      </c>
      <c r="B47" s="5" t="s">
        <v>381</v>
      </c>
      <c r="C47" s="5" t="s">
        <v>382</v>
      </c>
      <c r="D47" s="5" t="s">
        <v>612</v>
      </c>
      <c r="E47" s="5" t="s">
        <v>1577</v>
      </c>
      <c r="F47" s="5" t="s">
        <v>627</v>
      </c>
    </row>
    <row r="48" spans="1:6" ht="15.75" customHeight="1" x14ac:dyDescent="0.2">
      <c r="A48" s="5" t="s">
        <v>380</v>
      </c>
      <c r="B48" s="5" t="s">
        <v>390</v>
      </c>
      <c r="C48" s="5" t="s">
        <v>391</v>
      </c>
      <c r="D48" s="5" t="s">
        <v>612</v>
      </c>
      <c r="E48" s="5" t="s">
        <v>1652</v>
      </c>
      <c r="F48" s="5" t="s">
        <v>627</v>
      </c>
    </row>
    <row r="49" spans="1:7" ht="15.75" customHeight="1" x14ac:dyDescent="0.2">
      <c r="A49" s="5" t="s">
        <v>380</v>
      </c>
      <c r="B49" s="5" t="s">
        <v>390</v>
      </c>
      <c r="C49" s="5" t="s">
        <v>391</v>
      </c>
      <c r="D49" s="5" t="s">
        <v>612</v>
      </c>
      <c r="E49" s="5" t="s">
        <v>1652</v>
      </c>
      <c r="F49" s="5" t="s">
        <v>627</v>
      </c>
    </row>
    <row r="50" spans="1:7" ht="15.75" customHeight="1" x14ac:dyDescent="0.2">
      <c r="A50" s="5" t="s">
        <v>380</v>
      </c>
      <c r="B50" s="5" t="s">
        <v>399</v>
      </c>
      <c r="C50" s="5" t="s">
        <v>400</v>
      </c>
      <c r="D50" s="5" t="s">
        <v>913</v>
      </c>
    </row>
    <row r="51" spans="1:7" ht="15.75" customHeight="1" x14ac:dyDescent="0.2">
      <c r="A51" s="5" t="s">
        <v>380</v>
      </c>
      <c r="B51" s="5" t="s">
        <v>407</v>
      </c>
      <c r="C51" s="5" t="s">
        <v>408</v>
      </c>
      <c r="D51" s="5" t="s">
        <v>612</v>
      </c>
      <c r="E51" s="5" t="s">
        <v>1578</v>
      </c>
      <c r="F51" s="5" t="s">
        <v>627</v>
      </c>
      <c r="G51" s="5" t="s">
        <v>1664</v>
      </c>
    </row>
    <row r="52" spans="1:7" ht="15.75" customHeight="1" x14ac:dyDescent="0.2">
      <c r="A52" s="5" t="s">
        <v>380</v>
      </c>
      <c r="B52" s="5" t="s">
        <v>407</v>
      </c>
      <c r="C52" s="5" t="s">
        <v>408</v>
      </c>
      <c r="D52" s="5" t="s">
        <v>612</v>
      </c>
      <c r="E52" s="5" t="s">
        <v>1525</v>
      </c>
      <c r="F52" s="5" t="s">
        <v>631</v>
      </c>
      <c r="G52" s="5" t="s">
        <v>1665</v>
      </c>
    </row>
    <row r="53" spans="1:7" ht="15.75" customHeight="1" x14ac:dyDescent="0.2">
      <c r="A53" s="5" t="s">
        <v>380</v>
      </c>
      <c r="B53" s="5" t="s">
        <v>417</v>
      </c>
      <c r="C53" s="5" t="s">
        <v>418</v>
      </c>
      <c r="D53" s="5" t="s">
        <v>913</v>
      </c>
    </row>
    <row r="54" spans="1:7" ht="15.75" customHeight="1" x14ac:dyDescent="0.2">
      <c r="A54" s="5" t="s">
        <v>426</v>
      </c>
      <c r="B54" s="5" t="s">
        <v>427</v>
      </c>
      <c r="C54" s="5" t="s">
        <v>428</v>
      </c>
      <c r="D54" s="5" t="s">
        <v>612</v>
      </c>
      <c r="E54" s="5" t="s">
        <v>1662</v>
      </c>
      <c r="F54" s="5" t="s">
        <v>627</v>
      </c>
    </row>
    <row r="55" spans="1:7" ht="15.75" customHeight="1" x14ac:dyDescent="0.2">
      <c r="A55" s="5" t="s">
        <v>426</v>
      </c>
      <c r="B55" s="5" t="s">
        <v>435</v>
      </c>
      <c r="C55" s="5" t="s">
        <v>436</v>
      </c>
      <c r="D55" s="5" t="s">
        <v>913</v>
      </c>
    </row>
    <row r="56" spans="1:7" ht="15.75" customHeight="1" x14ac:dyDescent="0.2">
      <c r="A56" s="5" t="s">
        <v>426</v>
      </c>
      <c r="B56" s="5" t="s">
        <v>435</v>
      </c>
      <c r="C56" s="5" t="s">
        <v>436</v>
      </c>
      <c r="D56" s="5" t="s">
        <v>913</v>
      </c>
    </row>
    <row r="57" spans="1:7" ht="15.75" customHeight="1" x14ac:dyDescent="0.2">
      <c r="A57" s="5" t="s">
        <v>426</v>
      </c>
      <c r="B57" s="5" t="s">
        <v>444</v>
      </c>
      <c r="C57" s="5" t="s">
        <v>445</v>
      </c>
      <c r="D57" s="5" t="s">
        <v>913</v>
      </c>
    </row>
    <row r="58" spans="1:7" ht="15.75" customHeight="1" x14ac:dyDescent="0.2">
      <c r="A58" s="5" t="s">
        <v>426</v>
      </c>
      <c r="B58" s="5" t="s">
        <v>452</v>
      </c>
      <c r="C58" s="5" t="s">
        <v>453</v>
      </c>
      <c r="D58" s="5" t="s">
        <v>913</v>
      </c>
    </row>
    <row r="59" spans="1:7" ht="15.75" customHeight="1" x14ac:dyDescent="0.2">
      <c r="A59" s="5" t="s">
        <v>426</v>
      </c>
      <c r="B59" s="5" t="s">
        <v>460</v>
      </c>
      <c r="C59" s="5" t="s">
        <v>461</v>
      </c>
      <c r="D59" s="5" t="s">
        <v>913</v>
      </c>
    </row>
    <row r="60" spans="1:7" ht="15.75" customHeight="1" x14ac:dyDescent="0.2">
      <c r="A60" s="5" t="s">
        <v>426</v>
      </c>
      <c r="B60" s="5" t="s">
        <v>468</v>
      </c>
      <c r="C60" s="5" t="s">
        <v>469</v>
      </c>
      <c r="D60" s="5" t="s">
        <v>612</v>
      </c>
      <c r="E60" s="5" t="s">
        <v>426</v>
      </c>
      <c r="F60" s="5" t="s">
        <v>617</v>
      </c>
    </row>
    <row r="61" spans="1:7" ht="15.75" customHeight="1" x14ac:dyDescent="0.2">
      <c r="A61" s="5" t="s">
        <v>426</v>
      </c>
      <c r="B61" s="5" t="s">
        <v>476</v>
      </c>
      <c r="C61" s="5" t="s">
        <v>477</v>
      </c>
      <c r="D61" s="5" t="s">
        <v>913</v>
      </c>
    </row>
    <row r="62" spans="1:7" ht="15.75" customHeight="1" x14ac:dyDescent="0.2">
      <c r="A62" s="5" t="s">
        <v>426</v>
      </c>
      <c r="B62" s="5" t="s">
        <v>476</v>
      </c>
      <c r="C62" s="5" t="s">
        <v>477</v>
      </c>
      <c r="D62" s="5" t="s">
        <v>913</v>
      </c>
    </row>
    <row r="63" spans="1:7" ht="15.75" customHeight="1" x14ac:dyDescent="0.2">
      <c r="A63" s="5" t="s">
        <v>485</v>
      </c>
      <c r="B63" s="5" t="s">
        <v>486</v>
      </c>
      <c r="C63" s="5" t="s">
        <v>487</v>
      </c>
      <c r="D63" s="5" t="s">
        <v>612</v>
      </c>
      <c r="E63" s="5" t="s">
        <v>1515</v>
      </c>
      <c r="F63" s="5" t="s">
        <v>641</v>
      </c>
    </row>
    <row r="64" spans="1:7" ht="15.75" customHeight="1" x14ac:dyDescent="0.2">
      <c r="A64" s="5" t="s">
        <v>485</v>
      </c>
      <c r="B64" s="5" t="s">
        <v>494</v>
      </c>
      <c r="C64" s="5" t="s">
        <v>495</v>
      </c>
      <c r="D64" s="5" t="s">
        <v>913</v>
      </c>
    </row>
    <row r="65" spans="1:6" ht="15.75" customHeight="1" x14ac:dyDescent="0.2">
      <c r="A65" s="5" t="s">
        <v>485</v>
      </c>
      <c r="B65" s="5" t="s">
        <v>503</v>
      </c>
      <c r="C65" s="5" t="s">
        <v>504</v>
      </c>
      <c r="D65" s="5" t="s">
        <v>612</v>
      </c>
      <c r="E65" s="5" t="s">
        <v>1537</v>
      </c>
      <c r="F65" s="5" t="s">
        <v>653</v>
      </c>
    </row>
    <row r="66" spans="1:6" ht="15.75" customHeight="1" x14ac:dyDescent="0.2">
      <c r="A66" s="5" t="s">
        <v>485</v>
      </c>
      <c r="B66" s="5" t="s">
        <v>503</v>
      </c>
      <c r="C66" s="5" t="s">
        <v>504</v>
      </c>
      <c r="D66" s="5" t="s">
        <v>612</v>
      </c>
      <c r="E66" s="5" t="s">
        <v>1666</v>
      </c>
      <c r="F66" s="5" t="s">
        <v>617</v>
      </c>
    </row>
    <row r="67" spans="1:6" ht="15.75" customHeight="1" x14ac:dyDescent="0.2">
      <c r="A67" s="5" t="s">
        <v>485</v>
      </c>
      <c r="B67" s="5" t="s">
        <v>511</v>
      </c>
      <c r="C67" s="5" t="s">
        <v>512</v>
      </c>
      <c r="D67" s="5" t="s">
        <v>612</v>
      </c>
      <c r="E67" s="5" t="s">
        <v>1667</v>
      </c>
      <c r="F67" s="5" t="s">
        <v>717</v>
      </c>
    </row>
    <row r="68" spans="1:6" ht="15.75" customHeight="1" x14ac:dyDescent="0.2">
      <c r="A68" s="5" t="s">
        <v>485</v>
      </c>
      <c r="B68" s="5" t="s">
        <v>519</v>
      </c>
      <c r="C68" s="5" t="s">
        <v>520</v>
      </c>
      <c r="D68" s="5" t="s">
        <v>913</v>
      </c>
    </row>
    <row r="69" spans="1:6" ht="15.75" customHeight="1" x14ac:dyDescent="0.2">
      <c r="A69" s="5" t="s">
        <v>485</v>
      </c>
      <c r="B69" s="5" t="s">
        <v>519</v>
      </c>
      <c r="C69" s="5" t="s">
        <v>520</v>
      </c>
      <c r="D69" s="5" t="s">
        <v>913</v>
      </c>
    </row>
    <row r="70" spans="1:6" ht="15.75" customHeight="1" x14ac:dyDescent="0.2">
      <c r="A70" s="5" t="s">
        <v>485</v>
      </c>
      <c r="B70" s="5" t="s">
        <v>527</v>
      </c>
      <c r="C70" s="5" t="s">
        <v>528</v>
      </c>
      <c r="D70" s="5" t="s">
        <v>612</v>
      </c>
      <c r="E70" s="5" t="s">
        <v>1668</v>
      </c>
      <c r="F70" s="5" t="s">
        <v>649</v>
      </c>
    </row>
    <row r="71" spans="1:6" ht="15.75" customHeight="1" x14ac:dyDescent="0.2">
      <c r="A71" s="5" t="s">
        <v>485</v>
      </c>
      <c r="B71" s="5" t="s">
        <v>527</v>
      </c>
      <c r="C71" s="5" t="s">
        <v>528</v>
      </c>
      <c r="D71" s="5" t="s">
        <v>612</v>
      </c>
      <c r="E71" s="5" t="s">
        <v>1666</v>
      </c>
      <c r="F71" s="5" t="s">
        <v>617</v>
      </c>
    </row>
    <row r="72" spans="1:6" ht="15.75" customHeight="1" x14ac:dyDescent="0.2">
      <c r="A72" s="5" t="s">
        <v>485</v>
      </c>
      <c r="B72" s="5" t="s">
        <v>537</v>
      </c>
      <c r="C72" s="5" t="s">
        <v>538</v>
      </c>
      <c r="D72" s="5" t="s">
        <v>913</v>
      </c>
    </row>
    <row r="73" spans="1:6" ht="15.75" customHeight="1" x14ac:dyDescent="0.2">
      <c r="A73" s="5" t="s">
        <v>485</v>
      </c>
      <c r="B73" s="5" t="s">
        <v>546</v>
      </c>
      <c r="C73" s="5" t="s">
        <v>547</v>
      </c>
      <c r="D73" s="5" t="s">
        <v>913</v>
      </c>
    </row>
    <row r="74" spans="1:6" ht="15.75" customHeight="1" x14ac:dyDescent="0.2">
      <c r="A74" t="s">
        <v>70</v>
      </c>
      <c r="B74" t="s">
        <v>555</v>
      </c>
      <c r="C74" t="s">
        <v>556</v>
      </c>
      <c r="D74" t="s">
        <v>913</v>
      </c>
    </row>
    <row r="75" spans="1:6" ht="15.75" customHeight="1" x14ac:dyDescent="0.2">
      <c r="A75" t="s">
        <v>276</v>
      </c>
      <c r="B75" t="s">
        <v>562</v>
      </c>
      <c r="C75" t="s">
        <v>563</v>
      </c>
      <c r="D75" t="s">
        <v>612</v>
      </c>
      <c r="E75" t="s">
        <v>1557</v>
      </c>
      <c r="F75" t="s">
        <v>627</v>
      </c>
    </row>
    <row r="76" spans="1:6" ht="15.75" customHeight="1" x14ac:dyDescent="0.2">
      <c r="A76" t="s">
        <v>276</v>
      </c>
      <c r="B76" t="s">
        <v>562</v>
      </c>
      <c r="C76" t="s">
        <v>563</v>
      </c>
      <c r="D76" t="s">
        <v>612</v>
      </c>
      <c r="E76" t="s">
        <v>1669</v>
      </c>
      <c r="F76" t="s">
        <v>757</v>
      </c>
    </row>
    <row r="77" spans="1:6" ht="15.75" customHeight="1" x14ac:dyDescent="0.2">
      <c r="A77" t="s">
        <v>276</v>
      </c>
      <c r="B77" t="s">
        <v>568</v>
      </c>
      <c r="C77" t="s">
        <v>569</v>
      </c>
      <c r="D77" t="s">
        <v>913</v>
      </c>
    </row>
    <row r="78" spans="1:6" ht="15.75" customHeight="1" x14ac:dyDescent="0.2">
      <c r="A78" t="s">
        <v>276</v>
      </c>
      <c r="B78" t="s">
        <v>574</v>
      </c>
      <c r="C78" t="s">
        <v>575</v>
      </c>
      <c r="D78" t="s">
        <v>913</v>
      </c>
    </row>
    <row r="79" spans="1:6" ht="15.75" customHeight="1" x14ac:dyDescent="0.2"/>
    <row r="80" spans="1:6"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000"/>
  <sheetViews>
    <sheetView workbookViewId="0"/>
  </sheetViews>
  <sheetFormatPr baseColWidth="10" defaultColWidth="14.5" defaultRowHeight="15" customHeight="1" x14ac:dyDescent="0.2"/>
  <cols>
    <col min="1" max="26" width="8.6640625" customWidth="1"/>
  </cols>
  <sheetData>
    <row r="1" spans="1:12" x14ac:dyDescent="0.2">
      <c r="A1" s="1" t="s">
        <v>0</v>
      </c>
      <c r="B1" s="1" t="s">
        <v>1</v>
      </c>
      <c r="C1" s="1" t="s">
        <v>2</v>
      </c>
      <c r="D1" s="1" t="s">
        <v>1670</v>
      </c>
      <c r="E1" s="1" t="s">
        <v>1341</v>
      </c>
      <c r="F1" s="1" t="s">
        <v>1671</v>
      </c>
      <c r="G1" s="1" t="s">
        <v>1672</v>
      </c>
      <c r="H1" s="1" t="s">
        <v>1673</v>
      </c>
      <c r="I1" s="1" t="s">
        <v>1674</v>
      </c>
      <c r="J1" s="1" t="s">
        <v>1675</v>
      </c>
      <c r="K1" s="1" t="s">
        <v>1676</v>
      </c>
      <c r="L1" s="13" t="s">
        <v>1677</v>
      </c>
    </row>
    <row r="2" spans="1:12" x14ac:dyDescent="0.2">
      <c r="A2" s="5" t="s">
        <v>26</v>
      </c>
      <c r="B2" s="5" t="s">
        <v>27</v>
      </c>
      <c r="C2" s="5" t="s">
        <v>28</v>
      </c>
      <c r="D2" s="5" t="s">
        <v>612</v>
      </c>
      <c r="E2" s="5" t="s">
        <v>617</v>
      </c>
      <c r="F2" s="5">
        <v>63098</v>
      </c>
      <c r="G2" s="5">
        <v>5418</v>
      </c>
      <c r="H2" s="5">
        <v>4000</v>
      </c>
      <c r="I2" s="5">
        <v>144929</v>
      </c>
      <c r="J2" s="5">
        <v>0</v>
      </c>
      <c r="K2" s="5">
        <v>0</v>
      </c>
      <c r="L2" s="13">
        <f t="shared" ref="L2:L33" si="0">SUM(F2:K2)</f>
        <v>217445</v>
      </c>
    </row>
    <row r="3" spans="1:12" x14ac:dyDescent="0.2">
      <c r="A3" s="5" t="s">
        <v>26</v>
      </c>
      <c r="B3" s="5" t="s">
        <v>40</v>
      </c>
      <c r="C3" s="5" t="s">
        <v>41</v>
      </c>
      <c r="D3" s="5" t="s">
        <v>612</v>
      </c>
      <c r="E3" s="5" t="s">
        <v>617</v>
      </c>
      <c r="F3" s="5">
        <v>350000</v>
      </c>
      <c r="G3" s="5">
        <v>0</v>
      </c>
      <c r="H3" s="5">
        <v>0</v>
      </c>
      <c r="I3" s="5">
        <v>0</v>
      </c>
      <c r="J3" s="5">
        <v>0</v>
      </c>
      <c r="K3" s="5">
        <v>0</v>
      </c>
      <c r="L3" s="13">
        <f t="shared" si="0"/>
        <v>350000</v>
      </c>
    </row>
    <row r="4" spans="1:12" x14ac:dyDescent="0.2">
      <c r="A4" s="5" t="s">
        <v>26</v>
      </c>
      <c r="B4" s="5" t="s">
        <v>40</v>
      </c>
      <c r="C4" s="5" t="s">
        <v>41</v>
      </c>
      <c r="D4" s="5" t="s">
        <v>612</v>
      </c>
      <c r="E4" s="5" t="s">
        <v>617</v>
      </c>
      <c r="F4" s="5">
        <v>350000</v>
      </c>
      <c r="G4" s="5">
        <v>0</v>
      </c>
      <c r="H4" s="5">
        <v>0</v>
      </c>
      <c r="I4" s="5">
        <v>0</v>
      </c>
      <c r="J4" s="5">
        <v>0</v>
      </c>
      <c r="K4" s="5">
        <v>0</v>
      </c>
      <c r="L4" s="13">
        <f t="shared" si="0"/>
        <v>350000</v>
      </c>
    </row>
    <row r="5" spans="1:12" x14ac:dyDescent="0.2">
      <c r="A5" s="5" t="s">
        <v>26</v>
      </c>
      <c r="B5" s="5" t="s">
        <v>50</v>
      </c>
      <c r="C5" s="5" t="s">
        <v>51</v>
      </c>
      <c r="D5" s="5" t="s">
        <v>612</v>
      </c>
      <c r="E5" s="5" t="s">
        <v>617</v>
      </c>
      <c r="F5" s="5">
        <v>0</v>
      </c>
      <c r="G5" s="5">
        <v>394363</v>
      </c>
      <c r="H5" s="5">
        <v>0</v>
      </c>
      <c r="I5" s="5">
        <v>0</v>
      </c>
      <c r="J5" s="5">
        <v>0</v>
      </c>
      <c r="K5" s="5">
        <v>0</v>
      </c>
      <c r="L5" s="13">
        <f t="shared" si="0"/>
        <v>394363</v>
      </c>
    </row>
    <row r="6" spans="1:12" x14ac:dyDescent="0.2">
      <c r="A6" s="5" t="s">
        <v>26</v>
      </c>
      <c r="B6" s="5" t="s">
        <v>61</v>
      </c>
      <c r="C6" s="5" t="s">
        <v>62</v>
      </c>
      <c r="D6" s="5" t="s">
        <v>612</v>
      </c>
      <c r="E6" s="5" t="s">
        <v>617</v>
      </c>
      <c r="F6" s="5">
        <v>0</v>
      </c>
      <c r="G6" s="5">
        <v>102026</v>
      </c>
      <c r="H6" s="5">
        <v>0</v>
      </c>
      <c r="I6" s="5">
        <v>8761</v>
      </c>
      <c r="J6" s="5">
        <v>0</v>
      </c>
      <c r="K6" s="5">
        <v>0</v>
      </c>
      <c r="L6" s="13">
        <f t="shared" si="0"/>
        <v>110787</v>
      </c>
    </row>
    <row r="7" spans="1:12" x14ac:dyDescent="0.2">
      <c r="A7" s="5" t="s">
        <v>70</v>
      </c>
      <c r="B7" s="5" t="s">
        <v>71</v>
      </c>
      <c r="C7" s="5" t="s">
        <v>72</v>
      </c>
      <c r="D7" s="5" t="s">
        <v>612</v>
      </c>
      <c r="E7" s="5" t="s">
        <v>617</v>
      </c>
      <c r="F7" s="5">
        <v>403153</v>
      </c>
      <c r="G7" s="5">
        <v>0</v>
      </c>
      <c r="H7" s="5">
        <v>0</v>
      </c>
      <c r="I7" s="5">
        <v>0</v>
      </c>
      <c r="J7" s="5">
        <v>0</v>
      </c>
      <c r="K7" s="5">
        <v>0</v>
      </c>
      <c r="L7" s="13">
        <f t="shared" si="0"/>
        <v>403153</v>
      </c>
    </row>
    <row r="8" spans="1:12" x14ac:dyDescent="0.2">
      <c r="A8" s="5" t="s">
        <v>70</v>
      </c>
      <c r="B8" s="5" t="s">
        <v>82</v>
      </c>
      <c r="C8" s="5" t="s">
        <v>83</v>
      </c>
      <c r="D8" s="5" t="s">
        <v>612</v>
      </c>
      <c r="E8" s="5" t="s">
        <v>617</v>
      </c>
      <c r="F8" s="5">
        <v>0</v>
      </c>
      <c r="G8" s="5">
        <v>0</v>
      </c>
      <c r="H8" s="5">
        <v>385500</v>
      </c>
      <c r="I8" s="5">
        <v>0</v>
      </c>
      <c r="J8" s="5">
        <v>0</v>
      </c>
      <c r="K8" s="5">
        <v>0</v>
      </c>
      <c r="L8" s="13">
        <f t="shared" si="0"/>
        <v>385500</v>
      </c>
    </row>
    <row r="9" spans="1:12" x14ac:dyDescent="0.2">
      <c r="A9" s="5" t="s">
        <v>70</v>
      </c>
      <c r="B9" s="5" t="s">
        <v>93</v>
      </c>
      <c r="C9" s="5" t="s">
        <v>94</v>
      </c>
      <c r="D9" s="5" t="s">
        <v>612</v>
      </c>
      <c r="E9" s="5" t="s">
        <v>617</v>
      </c>
      <c r="F9" s="5">
        <v>115212</v>
      </c>
      <c r="G9" s="5">
        <v>0</v>
      </c>
      <c r="H9" s="5">
        <v>29414</v>
      </c>
      <c r="I9" s="5">
        <v>0</v>
      </c>
      <c r="J9" s="5">
        <v>30000</v>
      </c>
      <c r="K9" s="5">
        <v>0</v>
      </c>
      <c r="L9" s="13">
        <f t="shared" si="0"/>
        <v>174626</v>
      </c>
    </row>
    <row r="10" spans="1:12" x14ac:dyDescent="0.2">
      <c r="A10" s="5" t="s">
        <v>70</v>
      </c>
      <c r="B10" s="5" t="s">
        <v>102</v>
      </c>
      <c r="C10" s="5" t="s">
        <v>103</v>
      </c>
      <c r="D10" s="5" t="s">
        <v>612</v>
      </c>
      <c r="E10" s="5" t="s">
        <v>617</v>
      </c>
      <c r="F10" s="5">
        <v>427249.6</v>
      </c>
      <c r="G10" s="5">
        <v>0</v>
      </c>
      <c r="H10" s="5">
        <v>0</v>
      </c>
      <c r="I10" s="5">
        <v>0</v>
      </c>
      <c r="J10" s="5">
        <v>0</v>
      </c>
      <c r="K10" s="5">
        <v>12000</v>
      </c>
      <c r="L10" s="13">
        <f t="shared" si="0"/>
        <v>439249.6</v>
      </c>
    </row>
    <row r="11" spans="1:12" x14ac:dyDescent="0.2">
      <c r="A11" s="5" t="s">
        <v>70</v>
      </c>
      <c r="B11" s="5" t="s">
        <v>112</v>
      </c>
      <c r="C11" s="5" t="s">
        <v>113</v>
      </c>
      <c r="D11" s="5" t="s">
        <v>612</v>
      </c>
      <c r="E11" s="5" t="s">
        <v>617</v>
      </c>
      <c r="F11" s="5">
        <v>336950</v>
      </c>
      <c r="G11" s="5">
        <v>0</v>
      </c>
      <c r="H11" s="5">
        <v>0</v>
      </c>
      <c r="I11" s="5">
        <v>0</v>
      </c>
      <c r="J11" s="5">
        <v>0</v>
      </c>
      <c r="K11" s="5">
        <v>0</v>
      </c>
      <c r="L11" s="13">
        <f t="shared" si="0"/>
        <v>336950</v>
      </c>
    </row>
    <row r="12" spans="1:12" x14ac:dyDescent="0.2">
      <c r="A12" s="5" t="s">
        <v>70</v>
      </c>
      <c r="B12" s="5" t="s">
        <v>123</v>
      </c>
      <c r="C12" s="5" t="s">
        <v>124</v>
      </c>
      <c r="D12" s="5" t="s">
        <v>612</v>
      </c>
      <c r="E12" s="5" t="s">
        <v>617</v>
      </c>
      <c r="F12" s="5">
        <v>0</v>
      </c>
      <c r="G12" s="5">
        <v>0</v>
      </c>
      <c r="H12" s="5">
        <v>0</v>
      </c>
      <c r="I12" s="5">
        <v>0</v>
      </c>
      <c r="J12" s="5">
        <v>0</v>
      </c>
      <c r="K12" s="5">
        <v>48000</v>
      </c>
      <c r="L12" s="13">
        <f t="shared" si="0"/>
        <v>48000</v>
      </c>
    </row>
    <row r="13" spans="1:12" x14ac:dyDescent="0.2">
      <c r="A13" s="5" t="s">
        <v>70</v>
      </c>
      <c r="B13" s="5" t="s">
        <v>134</v>
      </c>
      <c r="C13" s="5" t="s">
        <v>135</v>
      </c>
      <c r="D13" s="5" t="s">
        <v>612</v>
      </c>
      <c r="E13" s="5" t="s">
        <v>617</v>
      </c>
      <c r="F13" s="5">
        <v>425361.44</v>
      </c>
      <c r="G13" s="5">
        <v>0</v>
      </c>
      <c r="H13" s="5">
        <v>0</v>
      </c>
      <c r="I13" s="5">
        <v>0</v>
      </c>
      <c r="J13" s="5">
        <v>0</v>
      </c>
      <c r="K13" s="5">
        <v>281500</v>
      </c>
      <c r="L13" s="13">
        <f t="shared" si="0"/>
        <v>706861.44</v>
      </c>
    </row>
    <row r="14" spans="1:12" x14ac:dyDescent="0.2">
      <c r="A14" s="5" t="s">
        <v>70</v>
      </c>
      <c r="B14" s="5" t="s">
        <v>144</v>
      </c>
      <c r="C14" s="5" t="s">
        <v>145</v>
      </c>
      <c r="D14" s="5" t="s">
        <v>612</v>
      </c>
      <c r="E14" s="5" t="s">
        <v>617</v>
      </c>
      <c r="F14" s="5">
        <v>220688</v>
      </c>
      <c r="G14" s="5">
        <v>0</v>
      </c>
      <c r="H14" s="5">
        <v>0</v>
      </c>
      <c r="I14" s="5">
        <v>0</v>
      </c>
      <c r="J14" s="5">
        <v>0</v>
      </c>
      <c r="K14" s="5">
        <v>960000</v>
      </c>
      <c r="L14" s="13">
        <f t="shared" si="0"/>
        <v>1180688</v>
      </c>
    </row>
    <row r="15" spans="1:12" x14ac:dyDescent="0.2">
      <c r="A15" s="5" t="s">
        <v>70</v>
      </c>
      <c r="B15" s="5" t="s">
        <v>154</v>
      </c>
      <c r="C15" s="5" t="s">
        <v>155</v>
      </c>
      <c r="D15" s="5" t="s">
        <v>612</v>
      </c>
      <c r="E15" s="5" t="s">
        <v>617</v>
      </c>
      <c r="F15" s="5">
        <v>221208</v>
      </c>
      <c r="G15" s="5">
        <v>0</v>
      </c>
      <c r="H15" s="5">
        <v>0</v>
      </c>
      <c r="I15" s="5">
        <v>35500</v>
      </c>
      <c r="J15" s="5">
        <v>0</v>
      </c>
      <c r="K15" s="5">
        <v>0</v>
      </c>
      <c r="L15" s="13">
        <f t="shared" si="0"/>
        <v>256708</v>
      </c>
    </row>
    <row r="16" spans="1:12" x14ac:dyDescent="0.2">
      <c r="A16" s="5" t="s">
        <v>70</v>
      </c>
      <c r="B16" s="5" t="s">
        <v>165</v>
      </c>
      <c r="C16" s="5" t="s">
        <v>166</v>
      </c>
      <c r="D16" s="5" t="s">
        <v>612</v>
      </c>
      <c r="E16" s="5" t="s">
        <v>617</v>
      </c>
      <c r="F16" s="5">
        <v>0</v>
      </c>
      <c r="G16" s="5">
        <v>0</v>
      </c>
      <c r="H16" s="5">
        <v>0</v>
      </c>
      <c r="I16" s="5">
        <v>0</v>
      </c>
      <c r="J16" s="5">
        <v>0</v>
      </c>
      <c r="K16" s="5">
        <v>5882870</v>
      </c>
      <c r="L16" s="13">
        <f t="shared" si="0"/>
        <v>5882870</v>
      </c>
    </row>
    <row r="17" spans="1:12" x14ac:dyDescent="0.2">
      <c r="A17" s="5" t="s">
        <v>70</v>
      </c>
      <c r="B17" s="5" t="s">
        <v>176</v>
      </c>
      <c r="C17" s="5" t="s">
        <v>177</v>
      </c>
      <c r="D17" s="5" t="s">
        <v>612</v>
      </c>
      <c r="E17" s="5" t="s">
        <v>617</v>
      </c>
      <c r="F17" s="5">
        <v>221375</v>
      </c>
      <c r="G17" s="5">
        <v>382888.76</v>
      </c>
      <c r="H17" s="5">
        <v>2500</v>
      </c>
      <c r="I17" s="5">
        <v>41066</v>
      </c>
      <c r="J17" s="5">
        <v>0</v>
      </c>
      <c r="K17" s="5">
        <v>0</v>
      </c>
      <c r="L17" s="13">
        <f t="shared" si="0"/>
        <v>647829.76000000001</v>
      </c>
    </row>
    <row r="18" spans="1:12" x14ac:dyDescent="0.2">
      <c r="A18" s="5" t="s">
        <v>70</v>
      </c>
      <c r="B18" s="5" t="s">
        <v>184</v>
      </c>
      <c r="C18" s="5" t="s">
        <v>185</v>
      </c>
      <c r="D18" s="5" t="s">
        <v>612</v>
      </c>
      <c r="E18" s="5" t="s">
        <v>617</v>
      </c>
      <c r="F18" s="5">
        <v>153157.32</v>
      </c>
      <c r="G18" s="5">
        <v>9700</v>
      </c>
      <c r="H18" s="5">
        <v>0</v>
      </c>
      <c r="I18" s="5">
        <v>700</v>
      </c>
      <c r="J18" s="5">
        <v>182766.24</v>
      </c>
      <c r="K18" s="5">
        <v>0</v>
      </c>
      <c r="L18" s="13">
        <f t="shared" si="0"/>
        <v>346323.56</v>
      </c>
    </row>
    <row r="19" spans="1:12" x14ac:dyDescent="0.2">
      <c r="A19" s="5" t="s">
        <v>70</v>
      </c>
      <c r="B19" s="5" t="s">
        <v>193</v>
      </c>
      <c r="C19" s="5" t="s">
        <v>194</v>
      </c>
      <c r="D19" s="5" t="s">
        <v>612</v>
      </c>
      <c r="E19" s="5" t="s">
        <v>617</v>
      </c>
      <c r="F19" s="5">
        <v>220688</v>
      </c>
      <c r="G19" s="5">
        <v>0</v>
      </c>
      <c r="H19" s="5">
        <v>0</v>
      </c>
      <c r="I19" s="5">
        <v>0</v>
      </c>
      <c r="J19" s="5">
        <v>0</v>
      </c>
      <c r="K19" s="5">
        <v>0</v>
      </c>
      <c r="L19" s="13">
        <f t="shared" si="0"/>
        <v>220688</v>
      </c>
    </row>
    <row r="20" spans="1:12" x14ac:dyDescent="0.2">
      <c r="A20" s="5" t="s">
        <v>70</v>
      </c>
      <c r="B20" s="5" t="s">
        <v>200</v>
      </c>
      <c r="C20" s="5" t="s">
        <v>201</v>
      </c>
      <c r="D20" s="5" t="s">
        <v>612</v>
      </c>
      <c r="E20" s="5" t="s">
        <v>617</v>
      </c>
      <c r="F20" s="5">
        <v>72711</v>
      </c>
      <c r="G20" s="5">
        <v>0</v>
      </c>
      <c r="H20" s="5">
        <v>0</v>
      </c>
      <c r="I20" s="5">
        <v>50301</v>
      </c>
      <c r="J20" s="5">
        <v>0</v>
      </c>
      <c r="K20" s="5">
        <v>0</v>
      </c>
      <c r="L20" s="13">
        <f t="shared" si="0"/>
        <v>123012</v>
      </c>
    </row>
    <row r="21" spans="1:12" ht="15.75" customHeight="1" x14ac:dyDescent="0.2">
      <c r="A21" s="5" t="s">
        <v>70</v>
      </c>
      <c r="B21" s="5" t="s">
        <v>211</v>
      </c>
      <c r="C21" s="5" t="s">
        <v>212</v>
      </c>
      <c r="D21" s="5" t="s">
        <v>612</v>
      </c>
      <c r="E21" s="5" t="s">
        <v>617</v>
      </c>
      <c r="F21" s="5">
        <v>0</v>
      </c>
      <c r="G21" s="5">
        <v>24307</v>
      </c>
      <c r="H21" s="5">
        <v>0</v>
      </c>
      <c r="I21" s="5">
        <v>0</v>
      </c>
      <c r="J21" s="5">
        <v>0</v>
      </c>
      <c r="K21" s="5">
        <v>3577770</v>
      </c>
      <c r="L21" s="13">
        <f t="shared" si="0"/>
        <v>3602077</v>
      </c>
    </row>
    <row r="22" spans="1:12" ht="15.75" customHeight="1" x14ac:dyDescent="0.2">
      <c r="A22" s="5" t="s">
        <v>70</v>
      </c>
      <c r="B22" s="5" t="s">
        <v>221</v>
      </c>
      <c r="C22" s="5" t="s">
        <v>222</v>
      </c>
      <c r="D22" s="5" t="s">
        <v>612</v>
      </c>
      <c r="E22" s="5" t="s">
        <v>617</v>
      </c>
      <c r="F22" s="5">
        <v>387825</v>
      </c>
      <c r="G22" s="5">
        <v>0</v>
      </c>
      <c r="H22" s="5">
        <v>0</v>
      </c>
      <c r="I22" s="5">
        <v>0</v>
      </c>
      <c r="J22" s="5">
        <v>0</v>
      </c>
      <c r="K22" s="5">
        <v>0</v>
      </c>
      <c r="L22" s="13">
        <f t="shared" si="0"/>
        <v>387825</v>
      </c>
    </row>
    <row r="23" spans="1:12" ht="15.75" customHeight="1" x14ac:dyDescent="0.2">
      <c r="A23" s="5" t="s">
        <v>70</v>
      </c>
      <c r="B23" s="5" t="s">
        <v>229</v>
      </c>
      <c r="C23" s="5" t="s">
        <v>230</v>
      </c>
      <c r="D23" s="5" t="s">
        <v>612</v>
      </c>
      <c r="E23" s="5" t="s">
        <v>617</v>
      </c>
      <c r="F23" s="5">
        <v>0</v>
      </c>
      <c r="G23" s="5">
        <v>0</v>
      </c>
      <c r="H23" s="5">
        <v>0</v>
      </c>
      <c r="I23" s="5">
        <v>174020</v>
      </c>
      <c r="J23" s="5">
        <v>0</v>
      </c>
      <c r="K23" s="5">
        <v>57266</v>
      </c>
      <c r="L23" s="13">
        <f t="shared" si="0"/>
        <v>231286</v>
      </c>
    </row>
    <row r="24" spans="1:12" ht="15.75" customHeight="1" x14ac:dyDescent="0.2">
      <c r="A24" s="5" t="s">
        <v>70</v>
      </c>
      <c r="B24" s="5" t="s">
        <v>238</v>
      </c>
      <c r="C24" s="5" t="s">
        <v>239</v>
      </c>
      <c r="D24" s="5" t="s">
        <v>612</v>
      </c>
      <c r="E24" s="5" t="s">
        <v>617</v>
      </c>
      <c r="F24" s="5">
        <v>164286</v>
      </c>
      <c r="G24" s="5">
        <v>0</v>
      </c>
      <c r="H24" s="5">
        <v>0</v>
      </c>
      <c r="I24" s="5">
        <v>0</v>
      </c>
      <c r="J24" s="5">
        <v>0</v>
      </c>
      <c r="K24" s="5">
        <v>73596</v>
      </c>
      <c r="L24" s="13">
        <f t="shared" si="0"/>
        <v>237882</v>
      </c>
    </row>
    <row r="25" spans="1:12" ht="15.75" customHeight="1" x14ac:dyDescent="0.2">
      <c r="A25" s="5" t="s">
        <v>70</v>
      </c>
      <c r="B25" s="5" t="s">
        <v>247</v>
      </c>
      <c r="C25" s="5" t="s">
        <v>248</v>
      </c>
      <c r="D25" s="5" t="s">
        <v>612</v>
      </c>
      <c r="E25" s="5" t="s">
        <v>617</v>
      </c>
      <c r="F25" s="5">
        <v>0</v>
      </c>
      <c r="G25" s="5">
        <v>0</v>
      </c>
      <c r="H25" s="5">
        <v>0</v>
      </c>
      <c r="I25" s="5">
        <v>78000</v>
      </c>
      <c r="J25" s="5">
        <v>0</v>
      </c>
      <c r="K25" s="5">
        <v>0</v>
      </c>
      <c r="L25" s="13">
        <f t="shared" si="0"/>
        <v>78000</v>
      </c>
    </row>
    <row r="26" spans="1:12" ht="15.75" customHeight="1" x14ac:dyDescent="0.2">
      <c r="A26" s="5" t="s">
        <v>70</v>
      </c>
      <c r="B26" s="5" t="s">
        <v>257</v>
      </c>
      <c r="C26" s="5" t="s">
        <v>258</v>
      </c>
      <c r="D26" s="5" t="s">
        <v>612</v>
      </c>
      <c r="E26" s="5" t="s">
        <v>617</v>
      </c>
      <c r="F26" s="5">
        <v>420712.71</v>
      </c>
      <c r="G26" s="5">
        <v>0</v>
      </c>
      <c r="H26" s="5">
        <v>0</v>
      </c>
      <c r="I26" s="5">
        <v>0</v>
      </c>
      <c r="J26" s="5">
        <v>0</v>
      </c>
      <c r="K26" s="5">
        <v>0</v>
      </c>
      <c r="L26" s="13">
        <f t="shared" si="0"/>
        <v>420712.71</v>
      </c>
    </row>
    <row r="27" spans="1:12" ht="15.75" customHeight="1" x14ac:dyDescent="0.2">
      <c r="A27" s="5" t="s">
        <v>70</v>
      </c>
      <c r="B27" s="5" t="s">
        <v>268</v>
      </c>
      <c r="C27" s="5" t="s">
        <v>269</v>
      </c>
      <c r="D27" s="5" t="s">
        <v>612</v>
      </c>
      <c r="E27" s="5" t="s">
        <v>617</v>
      </c>
      <c r="F27" s="5">
        <v>0</v>
      </c>
      <c r="G27" s="5">
        <v>51083</v>
      </c>
      <c r="H27" s="5">
        <v>0</v>
      </c>
      <c r="I27" s="5">
        <v>0</v>
      </c>
      <c r="J27" s="5">
        <v>0</v>
      </c>
      <c r="K27" s="5">
        <v>8600</v>
      </c>
      <c r="L27" s="13">
        <f t="shared" si="0"/>
        <v>59683</v>
      </c>
    </row>
    <row r="28" spans="1:12" ht="15.75" customHeight="1" x14ac:dyDescent="0.2">
      <c r="A28" s="5" t="s">
        <v>276</v>
      </c>
      <c r="B28" s="5" t="s">
        <v>277</v>
      </c>
      <c r="C28" s="5" t="s">
        <v>278</v>
      </c>
      <c r="D28" s="5" t="s">
        <v>612</v>
      </c>
      <c r="E28" s="5" t="s">
        <v>617</v>
      </c>
      <c r="F28" s="5">
        <v>0</v>
      </c>
      <c r="G28" s="5">
        <v>0</v>
      </c>
      <c r="H28" s="5">
        <v>0</v>
      </c>
      <c r="I28" s="5">
        <v>0</v>
      </c>
      <c r="J28" s="5">
        <v>0</v>
      </c>
      <c r="K28" s="5">
        <v>0</v>
      </c>
      <c r="L28" s="13">
        <f t="shared" si="0"/>
        <v>0</v>
      </c>
    </row>
    <row r="29" spans="1:12" ht="15.75" customHeight="1" x14ac:dyDescent="0.2">
      <c r="A29" s="5" t="s">
        <v>276</v>
      </c>
      <c r="B29" s="5" t="s">
        <v>288</v>
      </c>
      <c r="C29" s="5" t="s">
        <v>289</v>
      </c>
      <c r="D29" s="5" t="s">
        <v>612</v>
      </c>
      <c r="E29" s="5" t="s">
        <v>617</v>
      </c>
      <c r="F29" s="5">
        <v>0</v>
      </c>
      <c r="G29" s="5">
        <v>0</v>
      </c>
      <c r="H29" s="5">
        <v>0</v>
      </c>
      <c r="I29" s="5">
        <v>18000</v>
      </c>
      <c r="J29" s="5">
        <v>0</v>
      </c>
      <c r="K29" s="5">
        <v>0</v>
      </c>
      <c r="L29" s="13">
        <f t="shared" si="0"/>
        <v>18000</v>
      </c>
    </row>
    <row r="30" spans="1:12" ht="15.75" customHeight="1" x14ac:dyDescent="0.2">
      <c r="A30" s="5" t="s">
        <v>276</v>
      </c>
      <c r="B30" s="5" t="s">
        <v>296</v>
      </c>
      <c r="C30" s="5" t="s">
        <v>297</v>
      </c>
      <c r="D30" s="5" t="s">
        <v>612</v>
      </c>
      <c r="E30" s="5" t="s">
        <v>617</v>
      </c>
      <c r="F30" s="5">
        <v>0</v>
      </c>
      <c r="G30" s="5">
        <v>0</v>
      </c>
      <c r="H30" s="5">
        <v>0</v>
      </c>
      <c r="I30" s="5">
        <v>27000</v>
      </c>
      <c r="J30" s="5">
        <v>0</v>
      </c>
      <c r="K30" s="5">
        <v>0</v>
      </c>
      <c r="L30" s="13">
        <f t="shared" si="0"/>
        <v>27000</v>
      </c>
    </row>
    <row r="31" spans="1:12" ht="15.75" customHeight="1" x14ac:dyDescent="0.2">
      <c r="A31" s="5" t="s">
        <v>276</v>
      </c>
      <c r="B31" s="5" t="s">
        <v>305</v>
      </c>
      <c r="C31" s="5" t="s">
        <v>306</v>
      </c>
      <c r="D31" s="5" t="s">
        <v>612</v>
      </c>
      <c r="E31" s="5" t="s">
        <v>617</v>
      </c>
      <c r="F31" s="5">
        <v>0</v>
      </c>
      <c r="G31" s="5">
        <v>0</v>
      </c>
      <c r="H31" s="5">
        <v>0</v>
      </c>
      <c r="I31" s="5">
        <v>50000</v>
      </c>
      <c r="J31" s="5">
        <v>0</v>
      </c>
      <c r="K31" s="5">
        <v>0</v>
      </c>
      <c r="L31" s="13">
        <f t="shared" si="0"/>
        <v>50000</v>
      </c>
    </row>
    <row r="32" spans="1:12" ht="15.75" customHeight="1" x14ac:dyDescent="0.2">
      <c r="A32" s="5" t="s">
        <v>276</v>
      </c>
      <c r="B32" s="5" t="s">
        <v>316</v>
      </c>
      <c r="C32" s="5" t="s">
        <v>317</v>
      </c>
      <c r="D32" s="5" t="s">
        <v>612</v>
      </c>
      <c r="E32" s="5" t="s">
        <v>617</v>
      </c>
      <c r="F32" s="5">
        <v>427206.27</v>
      </c>
      <c r="G32" s="5">
        <v>0</v>
      </c>
      <c r="H32" s="5">
        <v>0</v>
      </c>
      <c r="I32" s="5">
        <v>0</v>
      </c>
      <c r="J32" s="5">
        <v>0</v>
      </c>
      <c r="K32" s="5">
        <v>0</v>
      </c>
      <c r="L32" s="13">
        <f t="shared" si="0"/>
        <v>427206.27</v>
      </c>
    </row>
    <row r="33" spans="1:12" ht="15.75" customHeight="1" x14ac:dyDescent="0.2">
      <c r="A33" s="5" t="s">
        <v>276</v>
      </c>
      <c r="B33" s="5" t="s">
        <v>327</v>
      </c>
      <c r="C33" s="5" t="s">
        <v>328</v>
      </c>
      <c r="D33" s="5" t="s">
        <v>913</v>
      </c>
      <c r="L33" s="13">
        <f t="shared" si="0"/>
        <v>0</v>
      </c>
    </row>
    <row r="34" spans="1:12" ht="15.75" customHeight="1" x14ac:dyDescent="0.2">
      <c r="A34" s="5" t="s">
        <v>276</v>
      </c>
      <c r="B34" s="5" t="s">
        <v>337</v>
      </c>
      <c r="C34" s="5" t="s">
        <v>338</v>
      </c>
      <c r="D34" s="5" t="s">
        <v>612</v>
      </c>
      <c r="E34" s="5" t="s">
        <v>617</v>
      </c>
      <c r="F34" s="5">
        <v>10000</v>
      </c>
      <c r="G34" s="5">
        <v>0</v>
      </c>
      <c r="H34" s="5">
        <v>0</v>
      </c>
      <c r="I34" s="5">
        <v>10000</v>
      </c>
      <c r="J34" s="5">
        <v>0</v>
      </c>
      <c r="K34" s="5">
        <v>0</v>
      </c>
      <c r="L34" s="13">
        <f t="shared" ref="L34:L65" si="1">SUM(F34:K34)</f>
        <v>20000</v>
      </c>
    </row>
    <row r="35" spans="1:12" ht="15.75" customHeight="1" x14ac:dyDescent="0.2">
      <c r="A35" s="5" t="s">
        <v>276</v>
      </c>
      <c r="B35" s="5" t="s">
        <v>346</v>
      </c>
      <c r="C35" s="5" t="s">
        <v>347</v>
      </c>
      <c r="D35" s="5" t="s">
        <v>612</v>
      </c>
      <c r="E35" s="5" t="s">
        <v>617</v>
      </c>
      <c r="F35" s="5">
        <v>28000</v>
      </c>
      <c r="G35" s="5">
        <v>0</v>
      </c>
      <c r="H35" s="5">
        <v>25000</v>
      </c>
      <c r="I35" s="5">
        <v>0</v>
      </c>
      <c r="J35" s="5">
        <v>0</v>
      </c>
      <c r="K35" s="5">
        <v>0</v>
      </c>
      <c r="L35" s="13">
        <f t="shared" si="1"/>
        <v>53000</v>
      </c>
    </row>
    <row r="36" spans="1:12" ht="15.75" customHeight="1" x14ac:dyDescent="0.2">
      <c r="A36" s="5" t="s">
        <v>276</v>
      </c>
      <c r="B36" s="5" t="s">
        <v>355</v>
      </c>
      <c r="C36" s="5" t="s">
        <v>356</v>
      </c>
      <c r="D36" s="5" t="s">
        <v>612</v>
      </c>
      <c r="E36" s="5" t="s">
        <v>617</v>
      </c>
      <c r="F36" s="5">
        <v>427206.27</v>
      </c>
      <c r="G36" s="5">
        <v>0</v>
      </c>
      <c r="H36" s="5">
        <v>0</v>
      </c>
      <c r="I36" s="5">
        <v>0</v>
      </c>
      <c r="J36" s="5">
        <v>0</v>
      </c>
      <c r="K36" s="5">
        <v>0</v>
      </c>
      <c r="L36" s="13">
        <f t="shared" si="1"/>
        <v>427206.27</v>
      </c>
    </row>
    <row r="37" spans="1:12" ht="15.75" customHeight="1" x14ac:dyDescent="0.2">
      <c r="A37" s="5" t="s">
        <v>276</v>
      </c>
      <c r="B37" s="5" t="s">
        <v>363</v>
      </c>
      <c r="C37" s="5" t="s">
        <v>364</v>
      </c>
      <c r="D37" s="5" t="s">
        <v>612</v>
      </c>
      <c r="E37" s="5" t="s">
        <v>617</v>
      </c>
      <c r="F37" s="5">
        <v>187200</v>
      </c>
      <c r="G37" s="5">
        <v>0</v>
      </c>
      <c r="H37" s="5">
        <v>0</v>
      </c>
      <c r="I37" s="5">
        <v>0</v>
      </c>
      <c r="J37" s="5">
        <v>250213.31</v>
      </c>
      <c r="K37" s="5">
        <v>0</v>
      </c>
      <c r="L37" s="13">
        <f t="shared" si="1"/>
        <v>437413.31</v>
      </c>
    </row>
    <row r="38" spans="1:12" ht="15.75" customHeight="1" x14ac:dyDescent="0.2">
      <c r="A38" s="5" t="s">
        <v>276</v>
      </c>
      <c r="B38" s="5" t="s">
        <v>372</v>
      </c>
      <c r="C38" s="5" t="s">
        <v>373</v>
      </c>
      <c r="D38" s="5" t="s">
        <v>612</v>
      </c>
      <c r="E38" s="5" t="s">
        <v>617</v>
      </c>
      <c r="F38" s="5">
        <v>0</v>
      </c>
      <c r="G38" s="5">
        <v>0</v>
      </c>
      <c r="H38" s="5">
        <v>0</v>
      </c>
      <c r="I38" s="5">
        <v>21000</v>
      </c>
      <c r="J38" s="5">
        <v>0</v>
      </c>
      <c r="K38" s="5">
        <v>0</v>
      </c>
      <c r="L38" s="13">
        <f t="shared" si="1"/>
        <v>21000</v>
      </c>
    </row>
    <row r="39" spans="1:12" ht="15.75" customHeight="1" x14ac:dyDescent="0.2">
      <c r="A39" s="5" t="s">
        <v>380</v>
      </c>
      <c r="B39" s="5" t="s">
        <v>381</v>
      </c>
      <c r="C39" s="5" t="s">
        <v>382</v>
      </c>
      <c r="D39" s="5" t="s">
        <v>612</v>
      </c>
      <c r="E39" s="5" t="s">
        <v>617</v>
      </c>
      <c r="F39" s="5">
        <v>210168.29</v>
      </c>
      <c r="G39" s="5">
        <v>0</v>
      </c>
      <c r="H39" s="5">
        <v>0</v>
      </c>
      <c r="I39" s="5">
        <v>0</v>
      </c>
      <c r="J39" s="5">
        <v>36936</v>
      </c>
      <c r="K39" s="5">
        <v>0</v>
      </c>
      <c r="L39" s="13">
        <f t="shared" si="1"/>
        <v>247104.29</v>
      </c>
    </row>
    <row r="40" spans="1:12" ht="15.75" customHeight="1" x14ac:dyDescent="0.2">
      <c r="A40" s="5" t="s">
        <v>380</v>
      </c>
      <c r="B40" s="5" t="s">
        <v>390</v>
      </c>
      <c r="C40" s="5" t="s">
        <v>391</v>
      </c>
      <c r="D40" s="5" t="s">
        <v>612</v>
      </c>
      <c r="E40" s="5" t="s">
        <v>617</v>
      </c>
      <c r="F40" s="5">
        <v>0</v>
      </c>
      <c r="G40" s="5">
        <v>0</v>
      </c>
      <c r="H40" s="5">
        <v>0</v>
      </c>
      <c r="I40" s="5">
        <v>18000</v>
      </c>
      <c r="J40" s="5">
        <v>0</v>
      </c>
      <c r="K40" s="5">
        <v>0</v>
      </c>
      <c r="L40" s="13">
        <f t="shared" si="1"/>
        <v>18000</v>
      </c>
    </row>
    <row r="41" spans="1:12" ht="15.75" customHeight="1" x14ac:dyDescent="0.2">
      <c r="A41" s="5" t="s">
        <v>380</v>
      </c>
      <c r="B41" s="5" t="s">
        <v>390</v>
      </c>
      <c r="C41" s="5" t="s">
        <v>391</v>
      </c>
      <c r="D41" s="5" t="s">
        <v>612</v>
      </c>
      <c r="E41" s="5" t="s">
        <v>617</v>
      </c>
      <c r="F41" s="5">
        <v>0</v>
      </c>
      <c r="G41" s="5">
        <v>0</v>
      </c>
      <c r="H41" s="5">
        <v>0</v>
      </c>
      <c r="I41" s="5">
        <v>18000</v>
      </c>
      <c r="J41" s="5">
        <v>0</v>
      </c>
      <c r="K41" s="5">
        <v>0</v>
      </c>
      <c r="L41" s="13">
        <f t="shared" si="1"/>
        <v>18000</v>
      </c>
    </row>
    <row r="42" spans="1:12" ht="15.75" customHeight="1" x14ac:dyDescent="0.2">
      <c r="A42" s="5" t="s">
        <v>380</v>
      </c>
      <c r="B42" s="5" t="s">
        <v>399</v>
      </c>
      <c r="C42" s="5" t="s">
        <v>400</v>
      </c>
      <c r="D42" s="5" t="s">
        <v>612</v>
      </c>
      <c r="E42" s="5" t="s">
        <v>617</v>
      </c>
      <c r="F42" s="5">
        <v>0</v>
      </c>
      <c r="G42" s="5">
        <v>8050</v>
      </c>
      <c r="H42" s="5">
        <v>0</v>
      </c>
      <c r="I42" s="5">
        <v>0</v>
      </c>
      <c r="J42" s="5">
        <v>0</v>
      </c>
      <c r="K42" s="5">
        <v>0</v>
      </c>
      <c r="L42" s="13">
        <f t="shared" si="1"/>
        <v>8050</v>
      </c>
    </row>
    <row r="43" spans="1:12" ht="15.75" customHeight="1" x14ac:dyDescent="0.2">
      <c r="A43" s="5" t="s">
        <v>380</v>
      </c>
      <c r="B43" s="5" t="s">
        <v>407</v>
      </c>
      <c r="C43" s="5" t="s">
        <v>408</v>
      </c>
      <c r="D43" s="5" t="s">
        <v>913</v>
      </c>
      <c r="L43" s="13">
        <f t="shared" si="1"/>
        <v>0</v>
      </c>
    </row>
    <row r="44" spans="1:12" ht="15.75" customHeight="1" x14ac:dyDescent="0.2">
      <c r="A44" s="5" t="s">
        <v>380</v>
      </c>
      <c r="B44" s="5" t="s">
        <v>417</v>
      </c>
      <c r="C44" s="5" t="s">
        <v>418</v>
      </c>
      <c r="D44" s="5" t="s">
        <v>612</v>
      </c>
      <c r="E44" s="5" t="s">
        <v>617</v>
      </c>
      <c r="F44" s="5">
        <v>63876</v>
      </c>
      <c r="G44" s="5">
        <v>0</v>
      </c>
      <c r="H44" s="5">
        <v>0</v>
      </c>
      <c r="I44" s="5">
        <v>24000</v>
      </c>
      <c r="J44" s="5">
        <v>0</v>
      </c>
      <c r="K44" s="5">
        <v>0</v>
      </c>
      <c r="L44" s="13">
        <f t="shared" si="1"/>
        <v>87876</v>
      </c>
    </row>
    <row r="45" spans="1:12" ht="15.75" customHeight="1" x14ac:dyDescent="0.2">
      <c r="A45" s="5" t="s">
        <v>426</v>
      </c>
      <c r="B45" s="5" t="s">
        <v>427</v>
      </c>
      <c r="C45" s="5" t="s">
        <v>428</v>
      </c>
      <c r="D45" s="5" t="s">
        <v>612</v>
      </c>
      <c r="E45" s="5" t="s">
        <v>617</v>
      </c>
      <c r="F45" s="5">
        <v>0</v>
      </c>
      <c r="G45" s="5">
        <v>181000</v>
      </c>
      <c r="H45" s="5">
        <v>0</v>
      </c>
      <c r="I45" s="5">
        <v>0</v>
      </c>
      <c r="J45" s="5">
        <v>0</v>
      </c>
      <c r="K45" s="5">
        <v>0</v>
      </c>
      <c r="L45" s="13">
        <f t="shared" si="1"/>
        <v>181000</v>
      </c>
    </row>
    <row r="46" spans="1:12" ht="15.75" customHeight="1" x14ac:dyDescent="0.2">
      <c r="A46" s="5" t="s">
        <v>426</v>
      </c>
      <c r="B46" s="5" t="s">
        <v>435</v>
      </c>
      <c r="C46" s="5" t="s">
        <v>436</v>
      </c>
      <c r="D46" s="5" t="s">
        <v>612</v>
      </c>
      <c r="E46" s="5" t="s">
        <v>617</v>
      </c>
      <c r="F46" s="5">
        <v>0</v>
      </c>
      <c r="G46" s="5">
        <v>0</v>
      </c>
      <c r="H46" s="5">
        <v>1664</v>
      </c>
      <c r="I46" s="5">
        <v>0</v>
      </c>
      <c r="J46" s="5">
        <v>100344</v>
      </c>
      <c r="K46" s="5">
        <v>21600</v>
      </c>
      <c r="L46" s="13">
        <f t="shared" si="1"/>
        <v>123608</v>
      </c>
    </row>
    <row r="47" spans="1:12" ht="15.75" customHeight="1" x14ac:dyDescent="0.2">
      <c r="A47" s="5" t="s">
        <v>426</v>
      </c>
      <c r="B47" s="5" t="s">
        <v>435</v>
      </c>
      <c r="C47" s="5" t="s">
        <v>436</v>
      </c>
      <c r="D47" s="5" t="s">
        <v>612</v>
      </c>
      <c r="E47" s="5" t="s">
        <v>617</v>
      </c>
      <c r="F47" s="5">
        <v>0</v>
      </c>
      <c r="G47" s="5">
        <v>0</v>
      </c>
      <c r="H47" s="5">
        <v>1664</v>
      </c>
      <c r="I47" s="5">
        <v>0</v>
      </c>
      <c r="J47" s="5">
        <v>100344</v>
      </c>
      <c r="K47" s="5">
        <v>21600</v>
      </c>
      <c r="L47" s="13">
        <f t="shared" si="1"/>
        <v>123608</v>
      </c>
    </row>
    <row r="48" spans="1:12" ht="15.75" customHeight="1" x14ac:dyDescent="0.2">
      <c r="A48" s="5" t="s">
        <v>426</v>
      </c>
      <c r="B48" s="5" t="s">
        <v>444</v>
      </c>
      <c r="C48" s="5" t="s">
        <v>445</v>
      </c>
      <c r="D48" s="5" t="s">
        <v>612</v>
      </c>
      <c r="E48" s="5" t="s">
        <v>617</v>
      </c>
      <c r="F48" s="5">
        <v>0</v>
      </c>
      <c r="G48" s="5">
        <v>356283</v>
      </c>
      <c r="H48" s="5">
        <v>0</v>
      </c>
      <c r="I48" s="5">
        <v>0</v>
      </c>
      <c r="J48" s="5">
        <v>0</v>
      </c>
      <c r="K48" s="5">
        <v>0</v>
      </c>
      <c r="L48" s="13">
        <f t="shared" si="1"/>
        <v>356283</v>
      </c>
    </row>
    <row r="49" spans="1:12" ht="15.75" customHeight="1" x14ac:dyDescent="0.2">
      <c r="A49" s="5" t="s">
        <v>426</v>
      </c>
      <c r="B49" s="5" t="s">
        <v>452</v>
      </c>
      <c r="C49" s="5" t="s">
        <v>453</v>
      </c>
      <c r="D49" s="5" t="s">
        <v>612</v>
      </c>
      <c r="E49" s="5" t="s">
        <v>617</v>
      </c>
      <c r="F49" s="5">
        <v>0</v>
      </c>
      <c r="G49" s="5">
        <v>12300</v>
      </c>
      <c r="H49" s="5">
        <v>0</v>
      </c>
      <c r="I49" s="5">
        <v>51024</v>
      </c>
      <c r="J49" s="5">
        <v>0</v>
      </c>
      <c r="K49" s="5">
        <v>0</v>
      </c>
      <c r="L49" s="13">
        <f t="shared" si="1"/>
        <v>63324</v>
      </c>
    </row>
    <row r="50" spans="1:12" ht="15.75" customHeight="1" x14ac:dyDescent="0.2">
      <c r="A50" s="5" t="s">
        <v>426</v>
      </c>
      <c r="B50" s="5" t="s">
        <v>460</v>
      </c>
      <c r="C50" s="5" t="s">
        <v>461</v>
      </c>
      <c r="D50" s="5" t="s">
        <v>612</v>
      </c>
      <c r="E50" s="5" t="s">
        <v>617</v>
      </c>
      <c r="F50" s="5">
        <v>0</v>
      </c>
      <c r="G50" s="5">
        <v>0</v>
      </c>
      <c r="H50" s="5">
        <v>0</v>
      </c>
      <c r="I50" s="5">
        <v>60000</v>
      </c>
      <c r="J50" s="5">
        <v>0</v>
      </c>
      <c r="K50" s="5">
        <v>0</v>
      </c>
      <c r="L50" s="13">
        <f t="shared" si="1"/>
        <v>60000</v>
      </c>
    </row>
    <row r="51" spans="1:12" ht="15.75" customHeight="1" x14ac:dyDescent="0.2">
      <c r="A51" s="5" t="s">
        <v>426</v>
      </c>
      <c r="B51" s="5" t="s">
        <v>468</v>
      </c>
      <c r="C51" s="5" t="s">
        <v>469</v>
      </c>
      <c r="D51" s="5" t="s">
        <v>612</v>
      </c>
      <c r="E51" s="5" t="s">
        <v>617</v>
      </c>
      <c r="F51" s="5">
        <v>0</v>
      </c>
      <c r="G51" s="5">
        <v>0</v>
      </c>
      <c r="H51" s="5">
        <v>9000</v>
      </c>
      <c r="I51" s="5">
        <v>0</v>
      </c>
      <c r="J51" s="5">
        <v>0</v>
      </c>
      <c r="K51" s="5">
        <v>168000</v>
      </c>
      <c r="L51" s="13">
        <f t="shared" si="1"/>
        <v>177000</v>
      </c>
    </row>
    <row r="52" spans="1:12" ht="15.75" customHeight="1" x14ac:dyDescent="0.2">
      <c r="A52" s="5" t="s">
        <v>426</v>
      </c>
      <c r="B52" s="5" t="s">
        <v>476</v>
      </c>
      <c r="C52" s="5" t="s">
        <v>477</v>
      </c>
      <c r="D52" s="5" t="s">
        <v>612</v>
      </c>
      <c r="E52" s="5" t="s">
        <v>617</v>
      </c>
      <c r="F52" s="5">
        <v>146880</v>
      </c>
      <c r="G52" s="5">
        <v>0</v>
      </c>
      <c r="H52" s="5">
        <v>0</v>
      </c>
      <c r="I52" s="5">
        <v>0</v>
      </c>
      <c r="J52" s="5">
        <v>0</v>
      </c>
      <c r="K52" s="5">
        <v>0</v>
      </c>
      <c r="L52" s="13">
        <f t="shared" si="1"/>
        <v>146880</v>
      </c>
    </row>
    <row r="53" spans="1:12" ht="15.75" customHeight="1" x14ac:dyDescent="0.2">
      <c r="A53" s="5" t="s">
        <v>426</v>
      </c>
      <c r="B53" s="5" t="s">
        <v>476</v>
      </c>
      <c r="C53" s="5" t="s">
        <v>477</v>
      </c>
      <c r="D53" s="5" t="s">
        <v>612</v>
      </c>
      <c r="E53" s="5" t="s">
        <v>617</v>
      </c>
      <c r="F53" s="5">
        <v>146880</v>
      </c>
      <c r="G53" s="5">
        <v>0</v>
      </c>
      <c r="H53" s="5">
        <v>0</v>
      </c>
      <c r="I53" s="5">
        <v>0</v>
      </c>
      <c r="J53" s="5">
        <v>0</v>
      </c>
      <c r="K53" s="5">
        <v>0</v>
      </c>
      <c r="L53" s="13">
        <f t="shared" si="1"/>
        <v>146880</v>
      </c>
    </row>
    <row r="54" spans="1:12" ht="15.75" customHeight="1" x14ac:dyDescent="0.2">
      <c r="A54" s="5" t="s">
        <v>485</v>
      </c>
      <c r="B54" s="5" t="s">
        <v>486</v>
      </c>
      <c r="C54" s="5" t="s">
        <v>487</v>
      </c>
      <c r="D54" s="5" t="s">
        <v>913</v>
      </c>
      <c r="L54" s="13">
        <f t="shared" si="1"/>
        <v>0</v>
      </c>
    </row>
    <row r="55" spans="1:12" ht="15.75" customHeight="1" x14ac:dyDescent="0.2">
      <c r="A55" s="5" t="s">
        <v>485</v>
      </c>
      <c r="B55" s="5" t="s">
        <v>494</v>
      </c>
      <c r="C55" s="5" t="s">
        <v>495</v>
      </c>
      <c r="D55" s="5" t="s">
        <v>612</v>
      </c>
      <c r="E55" s="5" t="s">
        <v>617</v>
      </c>
      <c r="F55" s="5">
        <v>85628</v>
      </c>
      <c r="G55" s="5">
        <v>23097</v>
      </c>
      <c r="H55" s="5">
        <v>39000</v>
      </c>
      <c r="I55" s="5">
        <v>76317</v>
      </c>
      <c r="J55" s="5">
        <v>9100</v>
      </c>
      <c r="K55" s="5">
        <v>0</v>
      </c>
      <c r="L55" s="13">
        <f t="shared" si="1"/>
        <v>233142</v>
      </c>
    </row>
    <row r="56" spans="1:12" ht="15.75" customHeight="1" x14ac:dyDescent="0.2">
      <c r="A56" s="5" t="s">
        <v>485</v>
      </c>
      <c r="B56" s="5" t="s">
        <v>503</v>
      </c>
      <c r="C56" s="5" t="s">
        <v>504</v>
      </c>
      <c r="D56" s="5" t="s">
        <v>612</v>
      </c>
      <c r="E56" s="5" t="s">
        <v>617</v>
      </c>
      <c r="F56" s="5">
        <v>127566.24</v>
      </c>
      <c r="G56" s="5">
        <v>0</v>
      </c>
      <c r="H56" s="5">
        <v>0</v>
      </c>
      <c r="I56" s="5">
        <v>57136</v>
      </c>
      <c r="J56" s="5">
        <v>0</v>
      </c>
      <c r="K56" s="5">
        <v>12000</v>
      </c>
      <c r="L56" s="13">
        <f t="shared" si="1"/>
        <v>196702.24</v>
      </c>
    </row>
    <row r="57" spans="1:12" ht="15.75" customHeight="1" x14ac:dyDescent="0.2">
      <c r="A57" s="5" t="s">
        <v>485</v>
      </c>
      <c r="B57" s="5" t="s">
        <v>511</v>
      </c>
      <c r="C57" s="5" t="s">
        <v>512</v>
      </c>
      <c r="D57" s="5" t="s">
        <v>612</v>
      </c>
      <c r="E57" s="5" t="s">
        <v>617</v>
      </c>
      <c r="F57" s="5">
        <v>187200</v>
      </c>
      <c r="G57" s="5">
        <v>0</v>
      </c>
      <c r="H57" s="5">
        <v>0</v>
      </c>
      <c r="I57" s="5">
        <v>0</v>
      </c>
      <c r="J57" s="5">
        <v>0</v>
      </c>
      <c r="K57" s="5">
        <v>0</v>
      </c>
      <c r="L57" s="13">
        <f t="shared" si="1"/>
        <v>187200</v>
      </c>
    </row>
    <row r="58" spans="1:12" ht="15.75" customHeight="1" x14ac:dyDescent="0.2">
      <c r="A58" s="5" t="s">
        <v>485</v>
      </c>
      <c r="B58" s="5" t="s">
        <v>519</v>
      </c>
      <c r="C58" s="5" t="s">
        <v>520</v>
      </c>
      <c r="D58" s="5" t="s">
        <v>612</v>
      </c>
      <c r="E58" s="5" t="s">
        <v>617</v>
      </c>
      <c r="F58" s="5">
        <v>0</v>
      </c>
      <c r="G58" s="5">
        <v>0</v>
      </c>
      <c r="H58" s="5">
        <v>0</v>
      </c>
      <c r="I58" s="5">
        <v>0</v>
      </c>
      <c r="J58" s="5">
        <v>0</v>
      </c>
      <c r="K58" s="5">
        <v>1897374</v>
      </c>
      <c r="L58" s="13">
        <f t="shared" si="1"/>
        <v>1897374</v>
      </c>
    </row>
    <row r="59" spans="1:12" ht="15.75" customHeight="1" x14ac:dyDescent="0.2">
      <c r="A59" s="5" t="s">
        <v>485</v>
      </c>
      <c r="B59" s="5" t="s">
        <v>519</v>
      </c>
      <c r="C59" s="5" t="s">
        <v>520</v>
      </c>
      <c r="D59" s="5" t="s">
        <v>612</v>
      </c>
      <c r="E59" s="5" t="s">
        <v>617</v>
      </c>
      <c r="F59" s="5">
        <v>0</v>
      </c>
      <c r="G59" s="5">
        <v>0</v>
      </c>
      <c r="H59" s="5">
        <v>0</v>
      </c>
      <c r="I59" s="5">
        <v>0</v>
      </c>
      <c r="J59" s="5">
        <v>0</v>
      </c>
      <c r="K59" s="5">
        <v>1897374</v>
      </c>
      <c r="L59" s="13">
        <f t="shared" si="1"/>
        <v>1897374</v>
      </c>
    </row>
    <row r="60" spans="1:12" ht="15.75" customHeight="1" x14ac:dyDescent="0.2">
      <c r="A60" s="5" t="s">
        <v>485</v>
      </c>
      <c r="B60" s="5" t="s">
        <v>527</v>
      </c>
      <c r="C60" s="5" t="s">
        <v>528</v>
      </c>
      <c r="D60" s="5" t="s">
        <v>612</v>
      </c>
      <c r="E60" s="5" t="s">
        <v>617</v>
      </c>
      <c r="F60" s="5">
        <v>155267.66</v>
      </c>
      <c r="G60" s="5">
        <v>0</v>
      </c>
      <c r="H60" s="5">
        <v>0</v>
      </c>
      <c r="I60" s="5">
        <v>0</v>
      </c>
      <c r="J60" s="5">
        <v>0</v>
      </c>
      <c r="K60" s="5">
        <v>0</v>
      </c>
      <c r="L60" s="13">
        <f t="shared" si="1"/>
        <v>155267.66</v>
      </c>
    </row>
    <row r="61" spans="1:12" ht="15.75" customHeight="1" x14ac:dyDescent="0.2">
      <c r="A61" s="5" t="s">
        <v>485</v>
      </c>
      <c r="B61" s="5" t="s">
        <v>537</v>
      </c>
      <c r="C61" s="5" t="s">
        <v>538</v>
      </c>
      <c r="D61" s="5" t="s">
        <v>612</v>
      </c>
      <c r="E61" s="5" t="s">
        <v>617</v>
      </c>
      <c r="F61" s="5">
        <v>187200</v>
      </c>
      <c r="G61" s="5">
        <v>0</v>
      </c>
      <c r="H61" s="5">
        <v>0</v>
      </c>
      <c r="I61" s="5">
        <v>0</v>
      </c>
      <c r="J61" s="5">
        <v>50728.72</v>
      </c>
      <c r="K61" s="5">
        <v>0</v>
      </c>
      <c r="L61" s="13">
        <f t="shared" si="1"/>
        <v>237928.72</v>
      </c>
    </row>
    <row r="62" spans="1:12" ht="15.75" customHeight="1" x14ac:dyDescent="0.2">
      <c r="A62" s="5" t="s">
        <v>485</v>
      </c>
      <c r="B62" s="5" t="s">
        <v>546</v>
      </c>
      <c r="C62" s="5" t="s">
        <v>547</v>
      </c>
      <c r="D62" s="5" t="s">
        <v>612</v>
      </c>
      <c r="E62" s="5" t="s">
        <v>617</v>
      </c>
      <c r="F62" s="5">
        <v>0</v>
      </c>
      <c r="G62" s="5">
        <v>0</v>
      </c>
      <c r="H62" s="5">
        <v>0</v>
      </c>
      <c r="I62" s="5">
        <v>0</v>
      </c>
      <c r="J62" s="5">
        <v>0</v>
      </c>
      <c r="K62" s="5">
        <v>0</v>
      </c>
      <c r="L62" s="13">
        <f t="shared" si="1"/>
        <v>0</v>
      </c>
    </row>
    <row r="63" spans="1:12" ht="15.75" customHeight="1" x14ac:dyDescent="0.2">
      <c r="A63" t="s">
        <v>70</v>
      </c>
      <c r="B63" t="s">
        <v>555</v>
      </c>
      <c r="C63" t="s">
        <v>556</v>
      </c>
      <c r="D63" t="s">
        <v>612</v>
      </c>
      <c r="E63" t="s">
        <v>617</v>
      </c>
      <c r="F63">
        <v>319383.90000000002</v>
      </c>
      <c r="G63">
        <v>263509.96999999997</v>
      </c>
      <c r="H63">
        <v>0</v>
      </c>
      <c r="I63">
        <v>30700</v>
      </c>
      <c r="J63">
        <v>0</v>
      </c>
      <c r="K63">
        <v>0</v>
      </c>
      <c r="L63" s="13">
        <f t="shared" si="1"/>
        <v>613593.87</v>
      </c>
    </row>
    <row r="64" spans="1:12" ht="15.75" customHeight="1" x14ac:dyDescent="0.2">
      <c r="A64" t="s">
        <v>276</v>
      </c>
      <c r="B64" t="s">
        <v>562</v>
      </c>
      <c r="C64" t="s">
        <v>563</v>
      </c>
      <c r="D64" t="s">
        <v>612</v>
      </c>
      <c r="E64" t="s">
        <v>617</v>
      </c>
      <c r="F64">
        <v>44390</v>
      </c>
      <c r="G64">
        <v>0</v>
      </c>
      <c r="H64">
        <v>0</v>
      </c>
      <c r="I64">
        <v>0</v>
      </c>
      <c r="J64">
        <v>1000</v>
      </c>
      <c r="K64">
        <v>4800</v>
      </c>
      <c r="L64" s="13">
        <f t="shared" si="1"/>
        <v>50190</v>
      </c>
    </row>
    <row r="65" spans="1:12" ht="15.75" customHeight="1" x14ac:dyDescent="0.2">
      <c r="A65" t="s">
        <v>276</v>
      </c>
      <c r="B65" t="s">
        <v>568</v>
      </c>
      <c r="C65" t="s">
        <v>569</v>
      </c>
      <c r="D65" t="s">
        <v>612</v>
      </c>
      <c r="E65" t="s">
        <v>617</v>
      </c>
      <c r="F65">
        <v>113986.55</v>
      </c>
      <c r="G65">
        <v>0</v>
      </c>
      <c r="H65">
        <v>10010</v>
      </c>
      <c r="I65">
        <v>0</v>
      </c>
      <c r="J65">
        <v>1970.28</v>
      </c>
      <c r="K65">
        <v>0</v>
      </c>
      <c r="L65" s="13">
        <f t="shared" si="1"/>
        <v>125966.83</v>
      </c>
    </row>
    <row r="66" spans="1:12" ht="15.75" customHeight="1" x14ac:dyDescent="0.2">
      <c r="A66" t="s">
        <v>276</v>
      </c>
      <c r="B66" t="s">
        <v>574</v>
      </c>
      <c r="C66" t="s">
        <v>575</v>
      </c>
      <c r="D66" t="s">
        <v>612</v>
      </c>
      <c r="E66" t="s">
        <v>617</v>
      </c>
      <c r="F66">
        <v>12000</v>
      </c>
      <c r="G66">
        <v>0</v>
      </c>
      <c r="H66">
        <v>0</v>
      </c>
      <c r="I66">
        <v>0</v>
      </c>
      <c r="J66">
        <v>0</v>
      </c>
      <c r="K66">
        <v>0</v>
      </c>
      <c r="L66" s="13">
        <f t="shared" ref="L66:L97" si="2">SUM(F66:K66)</f>
        <v>12000</v>
      </c>
    </row>
    <row r="67" spans="1:12" ht="15.75" customHeight="1" x14ac:dyDescent="0.2">
      <c r="L67" s="13"/>
    </row>
    <row r="68" spans="1:12" ht="15.75" customHeight="1" x14ac:dyDescent="0.2">
      <c r="L68" s="13"/>
    </row>
    <row r="69" spans="1:12" ht="15.75" customHeight="1" x14ac:dyDescent="0.2">
      <c r="L69" s="13"/>
    </row>
    <row r="70" spans="1:12" ht="15.75" customHeight="1" x14ac:dyDescent="0.2">
      <c r="L70" s="13"/>
    </row>
    <row r="71" spans="1:12" ht="15.75" customHeight="1" x14ac:dyDescent="0.2">
      <c r="L71" s="13"/>
    </row>
    <row r="72" spans="1:12" ht="15.75" customHeight="1" x14ac:dyDescent="0.2">
      <c r="L72" s="13"/>
    </row>
    <row r="73" spans="1:12" ht="15.75" customHeight="1" x14ac:dyDescent="0.2">
      <c r="L73" s="13"/>
    </row>
    <row r="74" spans="1:12" ht="15.75" customHeight="1" x14ac:dyDescent="0.2">
      <c r="L74" s="13"/>
    </row>
    <row r="75" spans="1:12" ht="15.75" customHeight="1" x14ac:dyDescent="0.2">
      <c r="L75" s="13"/>
    </row>
    <row r="76" spans="1:12" ht="15.75" customHeight="1" x14ac:dyDescent="0.2">
      <c r="L76" s="13"/>
    </row>
    <row r="77" spans="1:12" ht="15.75" customHeight="1" x14ac:dyDescent="0.2">
      <c r="L77" s="13"/>
    </row>
    <row r="78" spans="1:12" ht="15.75" customHeight="1" x14ac:dyDescent="0.2">
      <c r="L78" s="13"/>
    </row>
    <row r="79" spans="1:12" ht="15.75" customHeight="1" x14ac:dyDescent="0.2">
      <c r="L79" s="13"/>
    </row>
    <row r="80" spans="1:12" ht="15.75" customHeight="1" x14ac:dyDescent="0.2">
      <c r="L80" s="13"/>
    </row>
    <row r="81" spans="12:12" ht="15.75" customHeight="1" x14ac:dyDescent="0.2">
      <c r="L81" s="13"/>
    </row>
    <row r="82" spans="12:12" ht="15.75" customHeight="1" x14ac:dyDescent="0.2">
      <c r="L82" s="13"/>
    </row>
    <row r="83" spans="12:12" ht="15.75" customHeight="1" x14ac:dyDescent="0.2">
      <c r="L83" s="13"/>
    </row>
    <row r="84" spans="12:12" ht="15.75" customHeight="1" x14ac:dyDescent="0.2">
      <c r="L84" s="13"/>
    </row>
    <row r="85" spans="12:12" ht="15.75" customHeight="1" x14ac:dyDescent="0.2">
      <c r="L85" s="13"/>
    </row>
    <row r="86" spans="12:12" ht="15.75" customHeight="1" x14ac:dyDescent="0.2">
      <c r="L86" s="13"/>
    </row>
    <row r="87" spans="12:12" ht="15.75" customHeight="1" x14ac:dyDescent="0.2">
      <c r="L87" s="13"/>
    </row>
    <row r="88" spans="12:12" ht="15.75" customHeight="1" x14ac:dyDescent="0.2">
      <c r="L88" s="13"/>
    </row>
    <row r="89" spans="12:12" ht="15.75" customHeight="1" x14ac:dyDescent="0.2">
      <c r="L89" s="13"/>
    </row>
    <row r="90" spans="12:12" ht="15.75" customHeight="1" x14ac:dyDescent="0.2">
      <c r="L90" s="13"/>
    </row>
    <row r="91" spans="12:12" ht="15.75" customHeight="1" x14ac:dyDescent="0.2">
      <c r="L91" s="13"/>
    </row>
    <row r="92" spans="12:12" ht="15.75" customHeight="1" x14ac:dyDescent="0.2">
      <c r="L92" s="13"/>
    </row>
    <row r="93" spans="12:12" ht="15.75" customHeight="1" x14ac:dyDescent="0.2">
      <c r="L93" s="13"/>
    </row>
    <row r="94" spans="12:12" ht="15.75" customHeight="1" x14ac:dyDescent="0.2">
      <c r="L94" s="13"/>
    </row>
    <row r="95" spans="12:12" ht="15.75" customHeight="1" x14ac:dyDescent="0.2">
      <c r="L95" s="13"/>
    </row>
    <row r="96" spans="12:12" ht="15.75" customHeight="1" x14ac:dyDescent="0.2">
      <c r="L96" s="13"/>
    </row>
    <row r="97" spans="12:12" ht="15.75" customHeight="1" x14ac:dyDescent="0.2">
      <c r="L97" s="13"/>
    </row>
    <row r="98" spans="12:12" ht="15.75" customHeight="1" x14ac:dyDescent="0.2">
      <c r="L98" s="13"/>
    </row>
    <row r="99" spans="12:12" ht="15.75" customHeight="1" x14ac:dyDescent="0.2">
      <c r="L99" s="13"/>
    </row>
    <row r="100" spans="12:12" ht="15.75" customHeight="1" x14ac:dyDescent="0.2">
      <c r="L100" s="13"/>
    </row>
    <row r="101" spans="12:12" ht="15.75" customHeight="1" x14ac:dyDescent="0.2">
      <c r="L101" s="13"/>
    </row>
    <row r="102" spans="12:12" ht="15.75" customHeight="1" x14ac:dyDescent="0.2">
      <c r="L102" s="13"/>
    </row>
    <row r="103" spans="12:12" ht="15.75" customHeight="1" x14ac:dyDescent="0.2">
      <c r="L103" s="13"/>
    </row>
    <row r="104" spans="12:12" ht="15.75" customHeight="1" x14ac:dyDescent="0.2">
      <c r="L104" s="13"/>
    </row>
    <row r="105" spans="12:12" ht="15.75" customHeight="1" x14ac:dyDescent="0.2">
      <c r="L105" s="13"/>
    </row>
    <row r="106" spans="12:12" ht="15.75" customHeight="1" x14ac:dyDescent="0.2">
      <c r="L106" s="13"/>
    </row>
    <row r="107" spans="12:12" ht="15.75" customHeight="1" x14ac:dyDescent="0.2">
      <c r="L107" s="13"/>
    </row>
    <row r="108" spans="12:12" ht="15.75" customHeight="1" x14ac:dyDescent="0.2">
      <c r="L108" s="13"/>
    </row>
    <row r="109" spans="12:12" ht="15.75" customHeight="1" x14ac:dyDescent="0.2">
      <c r="L109" s="13"/>
    </row>
    <row r="110" spans="12:12" ht="15.75" customHeight="1" x14ac:dyDescent="0.2">
      <c r="L110" s="13"/>
    </row>
    <row r="111" spans="12:12" ht="15.75" customHeight="1" x14ac:dyDescent="0.2">
      <c r="L111" s="13"/>
    </row>
    <row r="112" spans="12:12" ht="15.75" customHeight="1" x14ac:dyDescent="0.2">
      <c r="L112" s="13"/>
    </row>
    <row r="113" spans="12:12" ht="15.75" customHeight="1" x14ac:dyDescent="0.2">
      <c r="L113" s="13"/>
    </row>
    <row r="114" spans="12:12" ht="15.75" customHeight="1" x14ac:dyDescent="0.2">
      <c r="L114" s="13"/>
    </row>
    <row r="115" spans="12:12" ht="15.75" customHeight="1" x14ac:dyDescent="0.2">
      <c r="L115" s="13"/>
    </row>
    <row r="116" spans="12:12" ht="15.75" customHeight="1" x14ac:dyDescent="0.2">
      <c r="L116" s="13"/>
    </row>
    <row r="117" spans="12:12" ht="15.75" customHeight="1" x14ac:dyDescent="0.2">
      <c r="L117" s="13"/>
    </row>
    <row r="118" spans="12:12" ht="15.75" customHeight="1" x14ac:dyDescent="0.2">
      <c r="L118" s="13"/>
    </row>
    <row r="119" spans="12:12" ht="15.75" customHeight="1" x14ac:dyDescent="0.2">
      <c r="L119" s="13"/>
    </row>
    <row r="120" spans="12:12" ht="15.75" customHeight="1" x14ac:dyDescent="0.2">
      <c r="L120" s="13"/>
    </row>
    <row r="121" spans="12:12" ht="15.75" customHeight="1" x14ac:dyDescent="0.2">
      <c r="L121" s="13"/>
    </row>
    <row r="122" spans="12:12" ht="15.75" customHeight="1" x14ac:dyDescent="0.2">
      <c r="L122" s="13"/>
    </row>
    <row r="123" spans="12:12" ht="15.75" customHeight="1" x14ac:dyDescent="0.2">
      <c r="L123" s="13"/>
    </row>
    <row r="124" spans="12:12" ht="15.75" customHeight="1" x14ac:dyDescent="0.2">
      <c r="L124" s="13"/>
    </row>
    <row r="125" spans="12:12" ht="15.75" customHeight="1" x14ac:dyDescent="0.2">
      <c r="L125" s="13"/>
    </row>
    <row r="126" spans="12:12" ht="15.75" customHeight="1" x14ac:dyDescent="0.2">
      <c r="L126" s="13"/>
    </row>
    <row r="127" spans="12:12" ht="15.75" customHeight="1" x14ac:dyDescent="0.2">
      <c r="L127" s="13"/>
    </row>
    <row r="128" spans="12:12" ht="15.75" customHeight="1" x14ac:dyDescent="0.2">
      <c r="L128" s="13"/>
    </row>
    <row r="129" spans="12:12" ht="15.75" customHeight="1" x14ac:dyDescent="0.2">
      <c r="L129" s="13"/>
    </row>
    <row r="130" spans="12:12" ht="15.75" customHeight="1" x14ac:dyDescent="0.2">
      <c r="L130" s="13"/>
    </row>
    <row r="131" spans="12:12" ht="15.75" customHeight="1" x14ac:dyDescent="0.2">
      <c r="L131" s="13"/>
    </row>
    <row r="132" spans="12:12" ht="15.75" customHeight="1" x14ac:dyDescent="0.2">
      <c r="L132" s="13"/>
    </row>
    <row r="133" spans="12:12" ht="15.75" customHeight="1" x14ac:dyDescent="0.2">
      <c r="L133" s="13"/>
    </row>
    <row r="134" spans="12:12" ht="15.75" customHeight="1" x14ac:dyDescent="0.2">
      <c r="L134" s="13"/>
    </row>
    <row r="135" spans="12:12" ht="15.75" customHeight="1" x14ac:dyDescent="0.2">
      <c r="L135" s="13"/>
    </row>
    <row r="136" spans="12:12" ht="15.75" customHeight="1" x14ac:dyDescent="0.2">
      <c r="L136" s="13"/>
    </row>
    <row r="137" spans="12:12" ht="15.75" customHeight="1" x14ac:dyDescent="0.2">
      <c r="L137" s="13"/>
    </row>
    <row r="138" spans="12:12" ht="15.75" customHeight="1" x14ac:dyDescent="0.2">
      <c r="L138" s="13"/>
    </row>
    <row r="139" spans="12:12" ht="15.75" customHeight="1" x14ac:dyDescent="0.2">
      <c r="L139" s="13"/>
    </row>
    <row r="140" spans="12:12" ht="15.75" customHeight="1" x14ac:dyDescent="0.2">
      <c r="L140" s="13"/>
    </row>
    <row r="141" spans="12:12" ht="15.75" customHeight="1" x14ac:dyDescent="0.2">
      <c r="L141" s="13"/>
    </row>
    <row r="142" spans="12:12" ht="15.75" customHeight="1" x14ac:dyDescent="0.2">
      <c r="L142" s="13"/>
    </row>
    <row r="143" spans="12:12" ht="15.75" customHeight="1" x14ac:dyDescent="0.2">
      <c r="L143" s="13"/>
    </row>
    <row r="144" spans="12:12" ht="15.75" customHeight="1" x14ac:dyDescent="0.2">
      <c r="L144" s="13"/>
    </row>
    <row r="145" spans="12:12" ht="15.75" customHeight="1" x14ac:dyDescent="0.2">
      <c r="L145" s="13"/>
    </row>
    <row r="146" spans="12:12" ht="15.75" customHeight="1" x14ac:dyDescent="0.2">
      <c r="L146" s="13"/>
    </row>
    <row r="147" spans="12:12" ht="15.75" customHeight="1" x14ac:dyDescent="0.2">
      <c r="L147" s="13"/>
    </row>
    <row r="148" spans="12:12" ht="15.75" customHeight="1" x14ac:dyDescent="0.2">
      <c r="L148" s="13"/>
    </row>
    <row r="149" spans="12:12" ht="15.75" customHeight="1" x14ac:dyDescent="0.2">
      <c r="L149" s="13"/>
    </row>
    <row r="150" spans="12:12" ht="15.75" customHeight="1" x14ac:dyDescent="0.2">
      <c r="L150" s="13"/>
    </row>
    <row r="151" spans="12:12" ht="15.75" customHeight="1" x14ac:dyDescent="0.2">
      <c r="L151" s="13"/>
    </row>
    <row r="152" spans="12:12" ht="15.75" customHeight="1" x14ac:dyDescent="0.2">
      <c r="L152" s="13"/>
    </row>
    <row r="153" spans="12:12" ht="15.75" customHeight="1" x14ac:dyDescent="0.2">
      <c r="L153" s="13"/>
    </row>
    <row r="154" spans="12:12" ht="15.75" customHeight="1" x14ac:dyDescent="0.2">
      <c r="L154" s="13"/>
    </row>
    <row r="155" spans="12:12" ht="15.75" customHeight="1" x14ac:dyDescent="0.2">
      <c r="L155" s="13"/>
    </row>
    <row r="156" spans="12:12" ht="15.75" customHeight="1" x14ac:dyDescent="0.2">
      <c r="L156" s="13"/>
    </row>
    <row r="157" spans="12:12" ht="15.75" customHeight="1" x14ac:dyDescent="0.2">
      <c r="L157" s="13"/>
    </row>
    <row r="158" spans="12:12" ht="15.75" customHeight="1" x14ac:dyDescent="0.2">
      <c r="L158" s="13"/>
    </row>
    <row r="159" spans="12:12" ht="15.75" customHeight="1" x14ac:dyDescent="0.2">
      <c r="L159" s="13"/>
    </row>
    <row r="160" spans="12:12" ht="15.75" customHeight="1" x14ac:dyDescent="0.2">
      <c r="L160" s="13"/>
    </row>
    <row r="161" spans="12:12" ht="15.75" customHeight="1" x14ac:dyDescent="0.2">
      <c r="L161" s="13"/>
    </row>
    <row r="162" spans="12:12" ht="15.75" customHeight="1" x14ac:dyDescent="0.2">
      <c r="L162" s="13"/>
    </row>
    <row r="163" spans="12:12" ht="15.75" customHeight="1" x14ac:dyDescent="0.2">
      <c r="L163" s="13"/>
    </row>
    <row r="164" spans="12:12" ht="15.75" customHeight="1" x14ac:dyDescent="0.2">
      <c r="L164" s="13"/>
    </row>
    <row r="165" spans="12:12" ht="15.75" customHeight="1" x14ac:dyDescent="0.2">
      <c r="L165" s="13"/>
    </row>
    <row r="166" spans="12:12" ht="15.75" customHeight="1" x14ac:dyDescent="0.2">
      <c r="L166" s="13"/>
    </row>
    <row r="167" spans="12:12" ht="15.75" customHeight="1" x14ac:dyDescent="0.2">
      <c r="L167" s="13"/>
    </row>
    <row r="168" spans="12:12" ht="15.75" customHeight="1" x14ac:dyDescent="0.2">
      <c r="L168" s="13"/>
    </row>
    <row r="169" spans="12:12" ht="15.75" customHeight="1" x14ac:dyDescent="0.2">
      <c r="L169" s="13"/>
    </row>
    <row r="170" spans="12:12" ht="15.75" customHeight="1" x14ac:dyDescent="0.2">
      <c r="L170" s="13"/>
    </row>
    <row r="171" spans="12:12" ht="15.75" customHeight="1" x14ac:dyDescent="0.2">
      <c r="L171" s="13"/>
    </row>
    <row r="172" spans="12:12" ht="15.75" customHeight="1" x14ac:dyDescent="0.2">
      <c r="L172" s="13"/>
    </row>
    <row r="173" spans="12:12" ht="15.75" customHeight="1" x14ac:dyDescent="0.2">
      <c r="L173" s="13"/>
    </row>
    <row r="174" spans="12:12" ht="15.75" customHeight="1" x14ac:dyDescent="0.2">
      <c r="L174" s="13"/>
    </row>
    <row r="175" spans="12:12" ht="15.75" customHeight="1" x14ac:dyDescent="0.2">
      <c r="L175" s="13"/>
    </row>
    <row r="176" spans="12:12" ht="15.75" customHeight="1" x14ac:dyDescent="0.2">
      <c r="L176" s="13"/>
    </row>
    <row r="177" spans="12:12" ht="15.75" customHeight="1" x14ac:dyDescent="0.2">
      <c r="L177" s="13"/>
    </row>
    <row r="178" spans="12:12" ht="15.75" customHeight="1" x14ac:dyDescent="0.2">
      <c r="L178" s="13"/>
    </row>
    <row r="179" spans="12:12" ht="15.75" customHeight="1" x14ac:dyDescent="0.2">
      <c r="L179" s="13"/>
    </row>
    <row r="180" spans="12:12" ht="15.75" customHeight="1" x14ac:dyDescent="0.2">
      <c r="L180" s="13"/>
    </row>
    <row r="181" spans="12:12" ht="15.75" customHeight="1" x14ac:dyDescent="0.2">
      <c r="L181" s="13"/>
    </row>
    <row r="182" spans="12:12" ht="15.75" customHeight="1" x14ac:dyDescent="0.2">
      <c r="L182" s="13"/>
    </row>
    <row r="183" spans="12:12" ht="15.75" customHeight="1" x14ac:dyDescent="0.2">
      <c r="L183" s="13"/>
    </row>
    <row r="184" spans="12:12" ht="15.75" customHeight="1" x14ac:dyDescent="0.2">
      <c r="L184" s="13"/>
    </row>
    <row r="185" spans="12:12" ht="15.75" customHeight="1" x14ac:dyDescent="0.2">
      <c r="L185" s="13"/>
    </row>
    <row r="186" spans="12:12" ht="15.75" customHeight="1" x14ac:dyDescent="0.2">
      <c r="L186" s="13"/>
    </row>
    <row r="187" spans="12:12" ht="15.75" customHeight="1" x14ac:dyDescent="0.2">
      <c r="L187" s="13"/>
    </row>
    <row r="188" spans="12:12" ht="15.75" customHeight="1" x14ac:dyDescent="0.2">
      <c r="L188" s="13"/>
    </row>
    <row r="189" spans="12:12" ht="15.75" customHeight="1" x14ac:dyDescent="0.2">
      <c r="L189" s="13"/>
    </row>
    <row r="190" spans="12:12" ht="15.75" customHeight="1" x14ac:dyDescent="0.2">
      <c r="L190" s="13"/>
    </row>
    <row r="191" spans="12:12" ht="15.75" customHeight="1" x14ac:dyDescent="0.2">
      <c r="L191" s="13"/>
    </row>
    <row r="192" spans="12:12" ht="15.75" customHeight="1" x14ac:dyDescent="0.2">
      <c r="L192" s="13"/>
    </row>
    <row r="193" spans="12:12" ht="15.75" customHeight="1" x14ac:dyDescent="0.2">
      <c r="L193" s="13"/>
    </row>
    <row r="194" spans="12:12" ht="15.75" customHeight="1" x14ac:dyDescent="0.2">
      <c r="L194" s="13"/>
    </row>
    <row r="195" spans="12:12" ht="15.75" customHeight="1" x14ac:dyDescent="0.2">
      <c r="L195" s="13"/>
    </row>
    <row r="196" spans="12:12" ht="15.75" customHeight="1" x14ac:dyDescent="0.2">
      <c r="L196" s="13"/>
    </row>
    <row r="197" spans="12:12" ht="15.75" customHeight="1" x14ac:dyDescent="0.2">
      <c r="L197" s="13"/>
    </row>
    <row r="198" spans="12:12" ht="15.75" customHeight="1" x14ac:dyDescent="0.2">
      <c r="L198" s="13"/>
    </row>
    <row r="199" spans="12:12" ht="15.75" customHeight="1" x14ac:dyDescent="0.2">
      <c r="L199" s="13"/>
    </row>
    <row r="200" spans="12:12" ht="15.75" customHeight="1" x14ac:dyDescent="0.2">
      <c r="L200" s="13"/>
    </row>
    <row r="201" spans="12:12" ht="15.75" customHeight="1" x14ac:dyDescent="0.2">
      <c r="L201" s="13"/>
    </row>
    <row r="202" spans="12:12" ht="15.75" customHeight="1" x14ac:dyDescent="0.2">
      <c r="L202" s="13"/>
    </row>
    <row r="203" spans="12:12" ht="15.75" customHeight="1" x14ac:dyDescent="0.2">
      <c r="L203" s="13"/>
    </row>
    <row r="204" spans="12:12" ht="15.75" customHeight="1" x14ac:dyDescent="0.2">
      <c r="L204" s="13"/>
    </row>
    <row r="205" spans="12:12" ht="15.75" customHeight="1" x14ac:dyDescent="0.2">
      <c r="L205" s="13"/>
    </row>
    <row r="206" spans="12:12" ht="15.75" customHeight="1" x14ac:dyDescent="0.2">
      <c r="L206" s="13"/>
    </row>
    <row r="207" spans="12:12" ht="15.75" customHeight="1" x14ac:dyDescent="0.2">
      <c r="L207" s="13"/>
    </row>
    <row r="208" spans="12:12" ht="15.75" customHeight="1" x14ac:dyDescent="0.2">
      <c r="L208" s="13"/>
    </row>
    <row r="209" spans="12:12" ht="15.75" customHeight="1" x14ac:dyDescent="0.2">
      <c r="L209" s="13"/>
    </row>
    <row r="210" spans="12:12" ht="15.75" customHeight="1" x14ac:dyDescent="0.2">
      <c r="L210" s="13"/>
    </row>
    <row r="211" spans="12:12" ht="15.75" customHeight="1" x14ac:dyDescent="0.2">
      <c r="L211" s="13"/>
    </row>
    <row r="212" spans="12:12" ht="15.75" customHeight="1" x14ac:dyDescent="0.2">
      <c r="L212" s="13"/>
    </row>
    <row r="213" spans="12:12" ht="15.75" customHeight="1" x14ac:dyDescent="0.2">
      <c r="L213" s="13"/>
    </row>
    <row r="214" spans="12:12" ht="15.75" customHeight="1" x14ac:dyDescent="0.2">
      <c r="L214" s="13"/>
    </row>
    <row r="215" spans="12:12" ht="15.75" customHeight="1" x14ac:dyDescent="0.2">
      <c r="L215" s="13"/>
    </row>
    <row r="216" spans="12:12" ht="15.75" customHeight="1" x14ac:dyDescent="0.2">
      <c r="L216" s="13"/>
    </row>
    <row r="217" spans="12:12" ht="15.75" customHeight="1" x14ac:dyDescent="0.2">
      <c r="L217" s="13"/>
    </row>
    <row r="218" spans="12:12" ht="15.75" customHeight="1" x14ac:dyDescent="0.2">
      <c r="L218" s="13"/>
    </row>
    <row r="219" spans="12:12" ht="15.75" customHeight="1" x14ac:dyDescent="0.2">
      <c r="L219" s="13"/>
    </row>
    <row r="220" spans="12:12" ht="15.75" customHeight="1" x14ac:dyDescent="0.2">
      <c r="L220" s="13"/>
    </row>
    <row r="221" spans="12:12" ht="15.75" customHeight="1" x14ac:dyDescent="0.2">
      <c r="L221" s="13"/>
    </row>
    <row r="222" spans="12:12" ht="15.75" customHeight="1" x14ac:dyDescent="0.2">
      <c r="L222" s="13"/>
    </row>
    <row r="223" spans="12:12" ht="15.75" customHeight="1" x14ac:dyDescent="0.2">
      <c r="L223" s="13"/>
    </row>
    <row r="224" spans="12:12" ht="15.75" customHeight="1" x14ac:dyDescent="0.2">
      <c r="L224" s="13"/>
    </row>
    <row r="225" spans="12:12" ht="15.75" customHeight="1" x14ac:dyDescent="0.2">
      <c r="L225" s="13"/>
    </row>
    <row r="226" spans="12:12" ht="15.75" customHeight="1" x14ac:dyDescent="0.2">
      <c r="L226" s="13"/>
    </row>
    <row r="227" spans="12:12" ht="15.75" customHeight="1" x14ac:dyDescent="0.2">
      <c r="L227" s="13"/>
    </row>
    <row r="228" spans="12:12" ht="15.75" customHeight="1" x14ac:dyDescent="0.2">
      <c r="L228" s="13"/>
    </row>
    <row r="229" spans="12:12" ht="15.75" customHeight="1" x14ac:dyDescent="0.2">
      <c r="L229" s="13"/>
    </row>
    <row r="230" spans="12:12" ht="15.75" customHeight="1" x14ac:dyDescent="0.2">
      <c r="L230" s="13"/>
    </row>
    <row r="231" spans="12:12" ht="15.75" customHeight="1" x14ac:dyDescent="0.2">
      <c r="L231" s="13"/>
    </row>
    <row r="232" spans="12:12" ht="15.75" customHeight="1" x14ac:dyDescent="0.2">
      <c r="L232" s="13"/>
    </row>
    <row r="233" spans="12:12" ht="15.75" customHeight="1" x14ac:dyDescent="0.2">
      <c r="L233" s="13"/>
    </row>
    <row r="234" spans="12:12" ht="15.75" customHeight="1" x14ac:dyDescent="0.2">
      <c r="L234" s="13"/>
    </row>
    <row r="235" spans="12:12" ht="15.75" customHeight="1" x14ac:dyDescent="0.2">
      <c r="L235" s="13"/>
    </row>
    <row r="236" spans="12:12" ht="15.75" customHeight="1" x14ac:dyDescent="0.2">
      <c r="L236" s="13"/>
    </row>
    <row r="237" spans="12:12" ht="15.75" customHeight="1" x14ac:dyDescent="0.2">
      <c r="L237" s="13"/>
    </row>
    <row r="238" spans="12:12" ht="15.75" customHeight="1" x14ac:dyDescent="0.2">
      <c r="L238" s="13"/>
    </row>
    <row r="239" spans="12:12" ht="15.75" customHeight="1" x14ac:dyDescent="0.2">
      <c r="L239" s="13"/>
    </row>
    <row r="240" spans="12:12" ht="15.75" customHeight="1" x14ac:dyDescent="0.2">
      <c r="L240" s="13"/>
    </row>
    <row r="241" spans="12:12" ht="15.75" customHeight="1" x14ac:dyDescent="0.2">
      <c r="L241" s="13"/>
    </row>
    <row r="242" spans="12:12" ht="15.75" customHeight="1" x14ac:dyDescent="0.2">
      <c r="L242" s="13"/>
    </row>
    <row r="243" spans="12:12" ht="15.75" customHeight="1" x14ac:dyDescent="0.2">
      <c r="L243" s="13"/>
    </row>
    <row r="244" spans="12:12" ht="15.75" customHeight="1" x14ac:dyDescent="0.2">
      <c r="L244" s="13"/>
    </row>
    <row r="245" spans="12:12" ht="15.75" customHeight="1" x14ac:dyDescent="0.2">
      <c r="L245" s="13"/>
    </row>
    <row r="246" spans="12:12" ht="15.75" customHeight="1" x14ac:dyDescent="0.2">
      <c r="L246" s="13"/>
    </row>
    <row r="247" spans="12:12" ht="15.75" customHeight="1" x14ac:dyDescent="0.2">
      <c r="L247" s="13"/>
    </row>
    <row r="248" spans="12:12" ht="15.75" customHeight="1" x14ac:dyDescent="0.2">
      <c r="L248" s="13"/>
    </row>
    <row r="249" spans="12:12" ht="15.75" customHeight="1" x14ac:dyDescent="0.2">
      <c r="L249" s="13"/>
    </row>
    <row r="250" spans="12:12" ht="15.75" customHeight="1" x14ac:dyDescent="0.2">
      <c r="L250" s="13"/>
    </row>
    <row r="251" spans="12:12" ht="15.75" customHeight="1" x14ac:dyDescent="0.2">
      <c r="L251" s="13"/>
    </row>
    <row r="252" spans="12:12" ht="15.75" customHeight="1" x14ac:dyDescent="0.2">
      <c r="L252" s="13"/>
    </row>
    <row r="253" spans="12:12" ht="15.75" customHeight="1" x14ac:dyDescent="0.2">
      <c r="L253" s="13"/>
    </row>
    <row r="254" spans="12:12" ht="15.75" customHeight="1" x14ac:dyDescent="0.2">
      <c r="L254" s="13"/>
    </row>
    <row r="255" spans="12:12" ht="15.75" customHeight="1" x14ac:dyDescent="0.2">
      <c r="L255" s="13"/>
    </row>
    <row r="256" spans="12:12" ht="15.75" customHeight="1" x14ac:dyDescent="0.2">
      <c r="L256" s="13"/>
    </row>
    <row r="257" spans="12:12" ht="15.75" customHeight="1" x14ac:dyDescent="0.2">
      <c r="L257" s="13"/>
    </row>
    <row r="258" spans="12:12" ht="15.75" customHeight="1" x14ac:dyDescent="0.2">
      <c r="L258" s="13"/>
    </row>
    <row r="259" spans="12:12" ht="15.75" customHeight="1" x14ac:dyDescent="0.2">
      <c r="L259" s="13"/>
    </row>
    <row r="260" spans="12:12" ht="15.75" customHeight="1" x14ac:dyDescent="0.2">
      <c r="L260" s="13"/>
    </row>
    <row r="261" spans="12:12" ht="15.75" customHeight="1" x14ac:dyDescent="0.2">
      <c r="L261" s="13"/>
    </row>
    <row r="262" spans="12:12" ht="15.75" customHeight="1" x14ac:dyDescent="0.2">
      <c r="L262" s="13"/>
    </row>
    <row r="263" spans="12:12" ht="15.75" customHeight="1" x14ac:dyDescent="0.2">
      <c r="L263" s="13"/>
    </row>
    <row r="264" spans="12:12" ht="15.75" customHeight="1" x14ac:dyDescent="0.2">
      <c r="L264" s="13"/>
    </row>
    <row r="265" spans="12:12" ht="15.75" customHeight="1" x14ac:dyDescent="0.2">
      <c r="L265" s="13"/>
    </row>
    <row r="266" spans="12:12" ht="15.75" customHeight="1" x14ac:dyDescent="0.2">
      <c r="L266" s="13"/>
    </row>
    <row r="267" spans="12:12" ht="15.75" customHeight="1" x14ac:dyDescent="0.2">
      <c r="L267" s="13"/>
    </row>
    <row r="268" spans="12:12" ht="15.75" customHeight="1" x14ac:dyDescent="0.2">
      <c r="L268" s="13"/>
    </row>
    <row r="269" spans="12:12" ht="15.75" customHeight="1" x14ac:dyDescent="0.2">
      <c r="L269" s="13"/>
    </row>
    <row r="270" spans="12:12" ht="15.75" customHeight="1" x14ac:dyDescent="0.2">
      <c r="L270" s="13"/>
    </row>
    <row r="271" spans="12:12" ht="15.75" customHeight="1" x14ac:dyDescent="0.2">
      <c r="L271" s="13"/>
    </row>
    <row r="272" spans="12:12" ht="15.75" customHeight="1" x14ac:dyDescent="0.2">
      <c r="L272" s="13"/>
    </row>
    <row r="273" spans="12:12" ht="15.75" customHeight="1" x14ac:dyDescent="0.2">
      <c r="L273" s="13"/>
    </row>
    <row r="274" spans="12:12" ht="15.75" customHeight="1" x14ac:dyDescent="0.2">
      <c r="L274" s="13"/>
    </row>
    <row r="275" spans="12:12" ht="15.75" customHeight="1" x14ac:dyDescent="0.2">
      <c r="L275" s="13"/>
    </row>
    <row r="276" spans="12:12" ht="15.75" customHeight="1" x14ac:dyDescent="0.2">
      <c r="L276" s="13"/>
    </row>
    <row r="277" spans="12:12" ht="15.75" customHeight="1" x14ac:dyDescent="0.2">
      <c r="L277" s="13"/>
    </row>
    <row r="278" spans="12:12" ht="15.75" customHeight="1" x14ac:dyDescent="0.2">
      <c r="L278" s="13"/>
    </row>
    <row r="279" spans="12:12" ht="15.75" customHeight="1" x14ac:dyDescent="0.2">
      <c r="L279" s="13"/>
    </row>
    <row r="280" spans="12:12" ht="15.75" customHeight="1" x14ac:dyDescent="0.2">
      <c r="L280" s="13"/>
    </row>
    <row r="281" spans="12:12" ht="15.75" customHeight="1" x14ac:dyDescent="0.2">
      <c r="L281" s="13"/>
    </row>
    <row r="282" spans="12:12" ht="15.75" customHeight="1" x14ac:dyDescent="0.2">
      <c r="L282" s="13"/>
    </row>
    <row r="283" spans="12:12" ht="15.75" customHeight="1" x14ac:dyDescent="0.2">
      <c r="L283" s="13"/>
    </row>
    <row r="284" spans="12:12" ht="15.75" customHeight="1" x14ac:dyDescent="0.2">
      <c r="L284" s="13"/>
    </row>
    <row r="285" spans="12:12" ht="15.75" customHeight="1" x14ac:dyDescent="0.2">
      <c r="L285" s="13"/>
    </row>
    <row r="286" spans="12:12" ht="15.75" customHeight="1" x14ac:dyDescent="0.2">
      <c r="L286" s="13"/>
    </row>
    <row r="287" spans="12:12" ht="15.75" customHeight="1" x14ac:dyDescent="0.2">
      <c r="L287" s="13"/>
    </row>
    <row r="288" spans="12:12" ht="15.75" customHeight="1" x14ac:dyDescent="0.2">
      <c r="L288" s="13"/>
    </row>
    <row r="289" spans="12:12" ht="15.75" customHeight="1" x14ac:dyDescent="0.2">
      <c r="L289" s="13"/>
    </row>
    <row r="290" spans="12:12" ht="15.75" customHeight="1" x14ac:dyDescent="0.2">
      <c r="L290" s="13"/>
    </row>
    <row r="291" spans="12:12" ht="15.75" customHeight="1" x14ac:dyDescent="0.2">
      <c r="L291" s="13"/>
    </row>
    <row r="292" spans="12:12" ht="15.75" customHeight="1" x14ac:dyDescent="0.2">
      <c r="L292" s="13"/>
    </row>
    <row r="293" spans="12:12" ht="15.75" customHeight="1" x14ac:dyDescent="0.2">
      <c r="L293" s="13"/>
    </row>
    <row r="294" spans="12:12" ht="15.75" customHeight="1" x14ac:dyDescent="0.2">
      <c r="L294" s="13"/>
    </row>
    <row r="295" spans="12:12" ht="15.75" customHeight="1" x14ac:dyDescent="0.2">
      <c r="L295" s="13"/>
    </row>
    <row r="296" spans="12:12" ht="15.75" customHeight="1" x14ac:dyDescent="0.2">
      <c r="L296" s="13"/>
    </row>
    <row r="297" spans="12:12" ht="15.75" customHeight="1" x14ac:dyDescent="0.2">
      <c r="L297" s="13"/>
    </row>
    <row r="298" spans="12:12" ht="15.75" customHeight="1" x14ac:dyDescent="0.2">
      <c r="L298" s="13"/>
    </row>
    <row r="299" spans="12:12" ht="15.75" customHeight="1" x14ac:dyDescent="0.2">
      <c r="L299" s="13"/>
    </row>
    <row r="300" spans="12:12" ht="15.75" customHeight="1" x14ac:dyDescent="0.2">
      <c r="L300" s="13"/>
    </row>
    <row r="301" spans="12:12" ht="15.75" customHeight="1" x14ac:dyDescent="0.2">
      <c r="L301" s="13"/>
    </row>
    <row r="302" spans="12:12" ht="15.75" customHeight="1" x14ac:dyDescent="0.2">
      <c r="L302" s="13"/>
    </row>
    <row r="303" spans="12:12" ht="15.75" customHeight="1" x14ac:dyDescent="0.2">
      <c r="L303" s="13"/>
    </row>
    <row r="304" spans="12:12" ht="15.75" customHeight="1" x14ac:dyDescent="0.2">
      <c r="L304" s="13"/>
    </row>
    <row r="305" spans="12:12" ht="15.75" customHeight="1" x14ac:dyDescent="0.2">
      <c r="L305" s="13"/>
    </row>
    <row r="306" spans="12:12" ht="15.75" customHeight="1" x14ac:dyDescent="0.2">
      <c r="L306" s="13"/>
    </row>
    <row r="307" spans="12:12" ht="15.75" customHeight="1" x14ac:dyDescent="0.2">
      <c r="L307" s="13"/>
    </row>
    <row r="308" spans="12:12" ht="15.75" customHeight="1" x14ac:dyDescent="0.2">
      <c r="L308" s="13"/>
    </row>
    <row r="309" spans="12:12" ht="15.75" customHeight="1" x14ac:dyDescent="0.2">
      <c r="L309" s="13"/>
    </row>
    <row r="310" spans="12:12" ht="15.75" customHeight="1" x14ac:dyDescent="0.2">
      <c r="L310" s="13"/>
    </row>
    <row r="311" spans="12:12" ht="15.75" customHeight="1" x14ac:dyDescent="0.2">
      <c r="L311" s="13"/>
    </row>
    <row r="312" spans="12:12" ht="15.75" customHeight="1" x14ac:dyDescent="0.2">
      <c r="L312" s="13"/>
    </row>
    <row r="313" spans="12:12" ht="15.75" customHeight="1" x14ac:dyDescent="0.2">
      <c r="L313" s="13"/>
    </row>
    <row r="314" spans="12:12" ht="15.75" customHeight="1" x14ac:dyDescent="0.2">
      <c r="L314" s="13"/>
    </row>
    <row r="315" spans="12:12" ht="15.75" customHeight="1" x14ac:dyDescent="0.2">
      <c r="L315" s="13"/>
    </row>
    <row r="316" spans="12:12" ht="15.75" customHeight="1" x14ac:dyDescent="0.2">
      <c r="L316" s="13"/>
    </row>
    <row r="317" spans="12:12" ht="15.75" customHeight="1" x14ac:dyDescent="0.2">
      <c r="L317" s="13"/>
    </row>
    <row r="318" spans="12:12" ht="15.75" customHeight="1" x14ac:dyDescent="0.2">
      <c r="L318" s="13"/>
    </row>
    <row r="319" spans="12:12" ht="15.75" customHeight="1" x14ac:dyDescent="0.2">
      <c r="L319" s="13"/>
    </row>
    <row r="320" spans="12:12" ht="15.75" customHeight="1" x14ac:dyDescent="0.2">
      <c r="L320" s="13"/>
    </row>
    <row r="321" spans="12:12" ht="15.75" customHeight="1" x14ac:dyDescent="0.2">
      <c r="L321" s="13"/>
    </row>
    <row r="322" spans="12:12" ht="15.75" customHeight="1" x14ac:dyDescent="0.2">
      <c r="L322" s="13"/>
    </row>
    <row r="323" spans="12:12" ht="15.75" customHeight="1" x14ac:dyDescent="0.2">
      <c r="L323" s="13"/>
    </row>
    <row r="324" spans="12:12" ht="15.75" customHeight="1" x14ac:dyDescent="0.2">
      <c r="L324" s="13"/>
    </row>
    <row r="325" spans="12:12" ht="15.75" customHeight="1" x14ac:dyDescent="0.2">
      <c r="L325" s="13"/>
    </row>
    <row r="326" spans="12:12" ht="15.75" customHeight="1" x14ac:dyDescent="0.2">
      <c r="L326" s="13"/>
    </row>
    <row r="327" spans="12:12" ht="15.75" customHeight="1" x14ac:dyDescent="0.2">
      <c r="L327" s="13"/>
    </row>
    <row r="328" spans="12:12" ht="15.75" customHeight="1" x14ac:dyDescent="0.2">
      <c r="L328" s="13"/>
    </row>
    <row r="329" spans="12:12" ht="15.75" customHeight="1" x14ac:dyDescent="0.2">
      <c r="L329" s="13"/>
    </row>
    <row r="330" spans="12:12" ht="15.75" customHeight="1" x14ac:dyDescent="0.2">
      <c r="L330" s="13"/>
    </row>
    <row r="331" spans="12:12" ht="15.75" customHeight="1" x14ac:dyDescent="0.2">
      <c r="L331" s="13"/>
    </row>
    <row r="332" spans="12:12" ht="15.75" customHeight="1" x14ac:dyDescent="0.2">
      <c r="L332" s="13"/>
    </row>
    <row r="333" spans="12:12" ht="15.75" customHeight="1" x14ac:dyDescent="0.2">
      <c r="L333" s="13"/>
    </row>
    <row r="334" spans="12:12" ht="15.75" customHeight="1" x14ac:dyDescent="0.2">
      <c r="L334" s="13"/>
    </row>
    <row r="335" spans="12:12" ht="15.75" customHeight="1" x14ac:dyDescent="0.2">
      <c r="L335" s="13"/>
    </row>
    <row r="336" spans="12:12" ht="15.75" customHeight="1" x14ac:dyDescent="0.2">
      <c r="L336" s="13"/>
    </row>
    <row r="337" spans="12:12" ht="15.75" customHeight="1" x14ac:dyDescent="0.2">
      <c r="L337" s="13"/>
    </row>
    <row r="338" spans="12:12" ht="15.75" customHeight="1" x14ac:dyDescent="0.2">
      <c r="L338" s="13"/>
    </row>
    <row r="339" spans="12:12" ht="15.75" customHeight="1" x14ac:dyDescent="0.2">
      <c r="L339" s="13"/>
    </row>
    <row r="340" spans="12:12" ht="15.75" customHeight="1" x14ac:dyDescent="0.2">
      <c r="L340" s="13"/>
    </row>
    <row r="341" spans="12:12" ht="15.75" customHeight="1" x14ac:dyDescent="0.2">
      <c r="L341" s="13"/>
    </row>
    <row r="342" spans="12:12" ht="15.75" customHeight="1" x14ac:dyDescent="0.2">
      <c r="L342" s="13"/>
    </row>
    <row r="343" spans="12:12" ht="15.75" customHeight="1" x14ac:dyDescent="0.2">
      <c r="L343" s="13"/>
    </row>
    <row r="344" spans="12:12" ht="15.75" customHeight="1" x14ac:dyDescent="0.2">
      <c r="L344" s="13"/>
    </row>
    <row r="345" spans="12:12" ht="15.75" customHeight="1" x14ac:dyDescent="0.2">
      <c r="L345" s="13"/>
    </row>
    <row r="346" spans="12:12" ht="15.75" customHeight="1" x14ac:dyDescent="0.2">
      <c r="L346" s="13"/>
    </row>
    <row r="347" spans="12:12" ht="15.75" customHeight="1" x14ac:dyDescent="0.2">
      <c r="L347" s="13"/>
    </row>
    <row r="348" spans="12:12" ht="15.75" customHeight="1" x14ac:dyDescent="0.2">
      <c r="L348" s="13"/>
    </row>
    <row r="349" spans="12:12" ht="15.75" customHeight="1" x14ac:dyDescent="0.2">
      <c r="L349" s="13"/>
    </row>
    <row r="350" spans="12:12" ht="15.75" customHeight="1" x14ac:dyDescent="0.2">
      <c r="L350" s="13"/>
    </row>
    <row r="351" spans="12:12" ht="15.75" customHeight="1" x14ac:dyDescent="0.2">
      <c r="L351" s="13"/>
    </row>
    <row r="352" spans="12:12" ht="15.75" customHeight="1" x14ac:dyDescent="0.2">
      <c r="L352" s="13"/>
    </row>
    <row r="353" spans="12:12" ht="15.75" customHeight="1" x14ac:dyDescent="0.2">
      <c r="L353" s="13"/>
    </row>
    <row r="354" spans="12:12" ht="15.75" customHeight="1" x14ac:dyDescent="0.2">
      <c r="L354" s="13"/>
    </row>
    <row r="355" spans="12:12" ht="15.75" customHeight="1" x14ac:dyDescent="0.2">
      <c r="L355" s="13"/>
    </row>
    <row r="356" spans="12:12" ht="15.75" customHeight="1" x14ac:dyDescent="0.2">
      <c r="L356" s="13"/>
    </row>
    <row r="357" spans="12:12" ht="15.75" customHeight="1" x14ac:dyDescent="0.2">
      <c r="L357" s="13"/>
    </row>
    <row r="358" spans="12:12" ht="15.75" customHeight="1" x14ac:dyDescent="0.2">
      <c r="L358" s="13"/>
    </row>
    <row r="359" spans="12:12" ht="15.75" customHeight="1" x14ac:dyDescent="0.2">
      <c r="L359" s="13"/>
    </row>
    <row r="360" spans="12:12" ht="15.75" customHeight="1" x14ac:dyDescent="0.2">
      <c r="L360" s="13"/>
    </row>
    <row r="361" spans="12:12" ht="15.75" customHeight="1" x14ac:dyDescent="0.2">
      <c r="L361" s="13"/>
    </row>
    <row r="362" spans="12:12" ht="15.75" customHeight="1" x14ac:dyDescent="0.2">
      <c r="L362" s="13"/>
    </row>
    <row r="363" spans="12:12" ht="15.75" customHeight="1" x14ac:dyDescent="0.2">
      <c r="L363" s="13"/>
    </row>
    <row r="364" spans="12:12" ht="15.75" customHeight="1" x14ac:dyDescent="0.2">
      <c r="L364" s="13"/>
    </row>
    <row r="365" spans="12:12" ht="15.75" customHeight="1" x14ac:dyDescent="0.2">
      <c r="L365" s="13"/>
    </row>
    <row r="366" spans="12:12" ht="15.75" customHeight="1" x14ac:dyDescent="0.2">
      <c r="L366" s="13"/>
    </row>
    <row r="367" spans="12:12" ht="15.75" customHeight="1" x14ac:dyDescent="0.2">
      <c r="L367" s="13"/>
    </row>
    <row r="368" spans="12:12" ht="15.75" customHeight="1" x14ac:dyDescent="0.2">
      <c r="L368" s="13"/>
    </row>
    <row r="369" spans="12:12" ht="15.75" customHeight="1" x14ac:dyDescent="0.2">
      <c r="L369" s="13"/>
    </row>
    <row r="370" spans="12:12" ht="15.75" customHeight="1" x14ac:dyDescent="0.2">
      <c r="L370" s="13"/>
    </row>
    <row r="371" spans="12:12" ht="15.75" customHeight="1" x14ac:dyDescent="0.2">
      <c r="L371" s="13"/>
    </row>
    <row r="372" spans="12:12" ht="15.75" customHeight="1" x14ac:dyDescent="0.2">
      <c r="L372" s="13"/>
    </row>
    <row r="373" spans="12:12" ht="15.75" customHeight="1" x14ac:dyDescent="0.2">
      <c r="L373" s="13"/>
    </row>
    <row r="374" spans="12:12" ht="15.75" customHeight="1" x14ac:dyDescent="0.2">
      <c r="L374" s="13"/>
    </row>
    <row r="375" spans="12:12" ht="15.75" customHeight="1" x14ac:dyDescent="0.2">
      <c r="L375" s="13"/>
    </row>
    <row r="376" spans="12:12" ht="15.75" customHeight="1" x14ac:dyDescent="0.2">
      <c r="L376" s="13"/>
    </row>
    <row r="377" spans="12:12" ht="15.75" customHeight="1" x14ac:dyDescent="0.2">
      <c r="L377" s="13"/>
    </row>
    <row r="378" spans="12:12" ht="15.75" customHeight="1" x14ac:dyDescent="0.2">
      <c r="L378" s="13"/>
    </row>
    <row r="379" spans="12:12" ht="15.75" customHeight="1" x14ac:dyDescent="0.2">
      <c r="L379" s="13"/>
    </row>
    <row r="380" spans="12:12" ht="15.75" customHeight="1" x14ac:dyDescent="0.2">
      <c r="L380" s="13"/>
    </row>
    <row r="381" spans="12:12" ht="15.75" customHeight="1" x14ac:dyDescent="0.2">
      <c r="L381" s="13"/>
    </row>
    <row r="382" spans="12:12" ht="15.75" customHeight="1" x14ac:dyDescent="0.2">
      <c r="L382" s="13"/>
    </row>
    <row r="383" spans="12:12" ht="15.75" customHeight="1" x14ac:dyDescent="0.2">
      <c r="L383" s="13"/>
    </row>
    <row r="384" spans="12:12" ht="15.75" customHeight="1" x14ac:dyDescent="0.2">
      <c r="L384" s="13"/>
    </row>
    <row r="385" spans="12:12" ht="15.75" customHeight="1" x14ac:dyDescent="0.2">
      <c r="L385" s="13"/>
    </row>
    <row r="386" spans="12:12" ht="15.75" customHeight="1" x14ac:dyDescent="0.2">
      <c r="L386" s="13"/>
    </row>
    <row r="387" spans="12:12" ht="15.75" customHeight="1" x14ac:dyDescent="0.2">
      <c r="L387" s="13"/>
    </row>
    <row r="388" spans="12:12" ht="15.75" customHeight="1" x14ac:dyDescent="0.2">
      <c r="L388" s="13"/>
    </row>
    <row r="389" spans="12:12" ht="15.75" customHeight="1" x14ac:dyDescent="0.2">
      <c r="L389" s="13"/>
    </row>
    <row r="390" spans="12:12" ht="15.75" customHeight="1" x14ac:dyDescent="0.2">
      <c r="L390" s="13"/>
    </row>
    <row r="391" spans="12:12" ht="15.75" customHeight="1" x14ac:dyDescent="0.2">
      <c r="L391" s="13"/>
    </row>
    <row r="392" spans="12:12" ht="15.75" customHeight="1" x14ac:dyDescent="0.2">
      <c r="L392" s="13"/>
    </row>
    <row r="393" spans="12:12" ht="15.75" customHeight="1" x14ac:dyDescent="0.2">
      <c r="L393" s="13"/>
    </row>
    <row r="394" spans="12:12" ht="15.75" customHeight="1" x14ac:dyDescent="0.2">
      <c r="L394" s="13"/>
    </row>
    <row r="395" spans="12:12" ht="15.75" customHeight="1" x14ac:dyDescent="0.2">
      <c r="L395" s="13"/>
    </row>
    <row r="396" spans="12:12" ht="15.75" customHeight="1" x14ac:dyDescent="0.2">
      <c r="L396" s="13"/>
    </row>
    <row r="397" spans="12:12" ht="15.75" customHeight="1" x14ac:dyDescent="0.2">
      <c r="L397" s="13"/>
    </row>
    <row r="398" spans="12:12" ht="15.75" customHeight="1" x14ac:dyDescent="0.2">
      <c r="L398" s="13"/>
    </row>
    <row r="399" spans="12:12" ht="15.75" customHeight="1" x14ac:dyDescent="0.2">
      <c r="L399" s="13"/>
    </row>
    <row r="400" spans="12:12" ht="15.75" customHeight="1" x14ac:dyDescent="0.2">
      <c r="L400" s="13"/>
    </row>
    <row r="401" spans="12:12" ht="15.75" customHeight="1" x14ac:dyDescent="0.2">
      <c r="L401" s="13"/>
    </row>
    <row r="402" spans="12:12" ht="15.75" customHeight="1" x14ac:dyDescent="0.2">
      <c r="L402" s="13"/>
    </row>
    <row r="403" spans="12:12" ht="15.75" customHeight="1" x14ac:dyDescent="0.2">
      <c r="L403" s="13"/>
    </row>
    <row r="404" spans="12:12" ht="15.75" customHeight="1" x14ac:dyDescent="0.2">
      <c r="L404" s="13"/>
    </row>
    <row r="405" spans="12:12" ht="15.75" customHeight="1" x14ac:dyDescent="0.2">
      <c r="L405" s="13"/>
    </row>
    <row r="406" spans="12:12" ht="15.75" customHeight="1" x14ac:dyDescent="0.2">
      <c r="L406" s="13"/>
    </row>
    <row r="407" spans="12:12" ht="15.75" customHeight="1" x14ac:dyDescent="0.2">
      <c r="L407" s="13"/>
    </row>
    <row r="408" spans="12:12" ht="15.75" customHeight="1" x14ac:dyDescent="0.2">
      <c r="L408" s="13"/>
    </row>
    <row r="409" spans="12:12" ht="15.75" customHeight="1" x14ac:dyDescent="0.2">
      <c r="L409" s="13"/>
    </row>
    <row r="410" spans="12:12" ht="15.75" customHeight="1" x14ac:dyDescent="0.2">
      <c r="L410" s="13"/>
    </row>
    <row r="411" spans="12:12" ht="15.75" customHeight="1" x14ac:dyDescent="0.2">
      <c r="L411" s="13"/>
    </row>
    <row r="412" spans="12:12" ht="15.75" customHeight="1" x14ac:dyDescent="0.2">
      <c r="L412" s="13"/>
    </row>
    <row r="413" spans="12:12" ht="15.75" customHeight="1" x14ac:dyDescent="0.2">
      <c r="L413" s="13"/>
    </row>
    <row r="414" spans="12:12" ht="15.75" customHeight="1" x14ac:dyDescent="0.2">
      <c r="L414" s="13"/>
    </row>
    <row r="415" spans="12:12" ht="15.75" customHeight="1" x14ac:dyDescent="0.2">
      <c r="L415" s="13"/>
    </row>
    <row r="416" spans="12:12" ht="15.75" customHeight="1" x14ac:dyDescent="0.2">
      <c r="L416" s="13"/>
    </row>
    <row r="417" spans="12:12" ht="15.75" customHeight="1" x14ac:dyDescent="0.2">
      <c r="L417" s="13"/>
    </row>
    <row r="418" spans="12:12" ht="15.75" customHeight="1" x14ac:dyDescent="0.2">
      <c r="L418" s="13"/>
    </row>
    <row r="419" spans="12:12" ht="15.75" customHeight="1" x14ac:dyDescent="0.2">
      <c r="L419" s="13"/>
    </row>
    <row r="420" spans="12:12" ht="15.75" customHeight="1" x14ac:dyDescent="0.2">
      <c r="L420" s="13"/>
    </row>
    <row r="421" spans="12:12" ht="15.75" customHeight="1" x14ac:dyDescent="0.2">
      <c r="L421" s="13"/>
    </row>
    <row r="422" spans="12:12" ht="15.75" customHeight="1" x14ac:dyDescent="0.2">
      <c r="L422" s="13"/>
    </row>
    <row r="423" spans="12:12" ht="15.75" customHeight="1" x14ac:dyDescent="0.2">
      <c r="L423" s="13"/>
    </row>
    <row r="424" spans="12:12" ht="15.75" customHeight="1" x14ac:dyDescent="0.2">
      <c r="L424" s="13"/>
    </row>
    <row r="425" spans="12:12" ht="15.75" customHeight="1" x14ac:dyDescent="0.2">
      <c r="L425" s="13"/>
    </row>
    <row r="426" spans="12:12" ht="15.75" customHeight="1" x14ac:dyDescent="0.2">
      <c r="L426" s="13"/>
    </row>
    <row r="427" spans="12:12" ht="15.75" customHeight="1" x14ac:dyDescent="0.2">
      <c r="L427" s="13"/>
    </row>
    <row r="428" spans="12:12" ht="15.75" customHeight="1" x14ac:dyDescent="0.2">
      <c r="L428" s="13"/>
    </row>
    <row r="429" spans="12:12" ht="15.75" customHeight="1" x14ac:dyDescent="0.2">
      <c r="L429" s="13"/>
    </row>
    <row r="430" spans="12:12" ht="15.75" customHeight="1" x14ac:dyDescent="0.2">
      <c r="L430" s="13"/>
    </row>
    <row r="431" spans="12:12" ht="15.75" customHeight="1" x14ac:dyDescent="0.2">
      <c r="L431" s="13"/>
    </row>
    <row r="432" spans="12:12" ht="15.75" customHeight="1" x14ac:dyDescent="0.2">
      <c r="L432" s="13"/>
    </row>
    <row r="433" spans="12:12" ht="15.75" customHeight="1" x14ac:dyDescent="0.2">
      <c r="L433" s="13"/>
    </row>
    <row r="434" spans="12:12" ht="15.75" customHeight="1" x14ac:dyDescent="0.2">
      <c r="L434" s="13"/>
    </row>
    <row r="435" spans="12:12" ht="15.75" customHeight="1" x14ac:dyDescent="0.2">
      <c r="L435" s="13"/>
    </row>
    <row r="436" spans="12:12" ht="15.75" customHeight="1" x14ac:dyDescent="0.2">
      <c r="L436" s="13"/>
    </row>
    <row r="437" spans="12:12" ht="15.75" customHeight="1" x14ac:dyDescent="0.2">
      <c r="L437" s="13"/>
    </row>
    <row r="438" spans="12:12" ht="15.75" customHeight="1" x14ac:dyDescent="0.2">
      <c r="L438" s="13"/>
    </row>
    <row r="439" spans="12:12" ht="15.75" customHeight="1" x14ac:dyDescent="0.2">
      <c r="L439" s="13"/>
    </row>
    <row r="440" spans="12:12" ht="15.75" customHeight="1" x14ac:dyDescent="0.2">
      <c r="L440" s="13"/>
    </row>
    <row r="441" spans="12:12" ht="15.75" customHeight="1" x14ac:dyDescent="0.2">
      <c r="L441" s="13"/>
    </row>
    <row r="442" spans="12:12" ht="15.75" customHeight="1" x14ac:dyDescent="0.2">
      <c r="L442" s="13"/>
    </row>
    <row r="443" spans="12:12" ht="15.75" customHeight="1" x14ac:dyDescent="0.2">
      <c r="L443" s="13"/>
    </row>
    <row r="444" spans="12:12" ht="15.75" customHeight="1" x14ac:dyDescent="0.2">
      <c r="L444" s="13"/>
    </row>
    <row r="445" spans="12:12" ht="15.75" customHeight="1" x14ac:dyDescent="0.2">
      <c r="L445" s="13"/>
    </row>
    <row r="446" spans="12:12" ht="15.75" customHeight="1" x14ac:dyDescent="0.2">
      <c r="L446" s="13"/>
    </row>
    <row r="447" spans="12:12" ht="15.75" customHeight="1" x14ac:dyDescent="0.2">
      <c r="L447" s="13"/>
    </row>
    <row r="448" spans="12:12" ht="15.75" customHeight="1" x14ac:dyDescent="0.2">
      <c r="L448" s="13"/>
    </row>
    <row r="449" spans="12:12" ht="15.75" customHeight="1" x14ac:dyDescent="0.2">
      <c r="L449" s="13"/>
    </row>
    <row r="450" spans="12:12" ht="15.75" customHeight="1" x14ac:dyDescent="0.2">
      <c r="L450" s="13"/>
    </row>
    <row r="451" spans="12:12" ht="15.75" customHeight="1" x14ac:dyDescent="0.2">
      <c r="L451" s="13"/>
    </row>
    <row r="452" spans="12:12" ht="15.75" customHeight="1" x14ac:dyDescent="0.2">
      <c r="L452" s="13"/>
    </row>
    <row r="453" spans="12:12" ht="15.75" customHeight="1" x14ac:dyDescent="0.2">
      <c r="L453" s="13"/>
    </row>
    <row r="454" spans="12:12" ht="15.75" customHeight="1" x14ac:dyDescent="0.2">
      <c r="L454" s="13"/>
    </row>
    <row r="455" spans="12:12" ht="15.75" customHeight="1" x14ac:dyDescent="0.2">
      <c r="L455" s="13"/>
    </row>
    <row r="456" spans="12:12" ht="15.75" customHeight="1" x14ac:dyDescent="0.2">
      <c r="L456" s="13"/>
    </row>
    <row r="457" spans="12:12" ht="15.75" customHeight="1" x14ac:dyDescent="0.2">
      <c r="L457" s="13"/>
    </row>
    <row r="458" spans="12:12" ht="15.75" customHeight="1" x14ac:dyDescent="0.2">
      <c r="L458" s="13"/>
    </row>
    <row r="459" spans="12:12" ht="15.75" customHeight="1" x14ac:dyDescent="0.2">
      <c r="L459" s="13"/>
    </row>
    <row r="460" spans="12:12" ht="15.75" customHeight="1" x14ac:dyDescent="0.2">
      <c r="L460" s="13"/>
    </row>
    <row r="461" spans="12:12" ht="15.75" customHeight="1" x14ac:dyDescent="0.2">
      <c r="L461" s="13"/>
    </row>
    <row r="462" spans="12:12" ht="15.75" customHeight="1" x14ac:dyDescent="0.2">
      <c r="L462" s="13"/>
    </row>
    <row r="463" spans="12:12" ht="15.75" customHeight="1" x14ac:dyDescent="0.2">
      <c r="L463" s="13"/>
    </row>
    <row r="464" spans="12:12" ht="15.75" customHeight="1" x14ac:dyDescent="0.2">
      <c r="L464" s="13"/>
    </row>
    <row r="465" spans="12:12" ht="15.75" customHeight="1" x14ac:dyDescent="0.2">
      <c r="L465" s="13"/>
    </row>
    <row r="466" spans="12:12" ht="15.75" customHeight="1" x14ac:dyDescent="0.2">
      <c r="L466" s="13"/>
    </row>
    <row r="467" spans="12:12" ht="15.75" customHeight="1" x14ac:dyDescent="0.2">
      <c r="L467" s="13"/>
    </row>
    <row r="468" spans="12:12" ht="15.75" customHeight="1" x14ac:dyDescent="0.2">
      <c r="L468" s="13"/>
    </row>
    <row r="469" spans="12:12" ht="15.75" customHeight="1" x14ac:dyDescent="0.2">
      <c r="L469" s="13"/>
    </row>
    <row r="470" spans="12:12" ht="15.75" customHeight="1" x14ac:dyDescent="0.2">
      <c r="L470" s="13"/>
    </row>
    <row r="471" spans="12:12" ht="15.75" customHeight="1" x14ac:dyDescent="0.2">
      <c r="L471" s="13"/>
    </row>
    <row r="472" spans="12:12" ht="15.75" customHeight="1" x14ac:dyDescent="0.2">
      <c r="L472" s="13"/>
    </row>
    <row r="473" spans="12:12" ht="15.75" customHeight="1" x14ac:dyDescent="0.2">
      <c r="L473" s="13"/>
    </row>
    <row r="474" spans="12:12" ht="15.75" customHeight="1" x14ac:dyDescent="0.2">
      <c r="L474" s="13"/>
    </row>
    <row r="475" spans="12:12" ht="15.75" customHeight="1" x14ac:dyDescent="0.2">
      <c r="L475" s="13"/>
    </row>
    <row r="476" spans="12:12" ht="15.75" customHeight="1" x14ac:dyDescent="0.2">
      <c r="L476" s="13"/>
    </row>
    <row r="477" spans="12:12" ht="15.75" customHeight="1" x14ac:dyDescent="0.2">
      <c r="L477" s="13"/>
    </row>
    <row r="478" spans="12:12" ht="15.75" customHeight="1" x14ac:dyDescent="0.2">
      <c r="L478" s="13"/>
    </row>
    <row r="479" spans="12:12" ht="15.75" customHeight="1" x14ac:dyDescent="0.2">
      <c r="L479" s="13"/>
    </row>
    <row r="480" spans="12:12" ht="15.75" customHeight="1" x14ac:dyDescent="0.2">
      <c r="L480" s="13"/>
    </row>
    <row r="481" spans="12:12" ht="15.75" customHeight="1" x14ac:dyDescent="0.2">
      <c r="L481" s="13"/>
    </row>
    <row r="482" spans="12:12" ht="15.75" customHeight="1" x14ac:dyDescent="0.2">
      <c r="L482" s="13"/>
    </row>
    <row r="483" spans="12:12" ht="15.75" customHeight="1" x14ac:dyDescent="0.2">
      <c r="L483" s="13"/>
    </row>
    <row r="484" spans="12:12" ht="15.75" customHeight="1" x14ac:dyDescent="0.2">
      <c r="L484" s="13"/>
    </row>
    <row r="485" spans="12:12" ht="15.75" customHeight="1" x14ac:dyDescent="0.2">
      <c r="L485" s="13"/>
    </row>
    <row r="486" spans="12:12" ht="15.75" customHeight="1" x14ac:dyDescent="0.2">
      <c r="L486" s="13"/>
    </row>
    <row r="487" spans="12:12" ht="15.75" customHeight="1" x14ac:dyDescent="0.2">
      <c r="L487" s="13"/>
    </row>
    <row r="488" spans="12:12" ht="15.75" customHeight="1" x14ac:dyDescent="0.2">
      <c r="L488" s="13"/>
    </row>
    <row r="489" spans="12:12" ht="15.75" customHeight="1" x14ac:dyDescent="0.2">
      <c r="L489" s="13"/>
    </row>
    <row r="490" spans="12:12" ht="15.75" customHeight="1" x14ac:dyDescent="0.2">
      <c r="L490" s="13"/>
    </row>
    <row r="491" spans="12:12" ht="15.75" customHeight="1" x14ac:dyDescent="0.2">
      <c r="L491" s="13"/>
    </row>
    <row r="492" spans="12:12" ht="15.75" customHeight="1" x14ac:dyDescent="0.2">
      <c r="L492" s="13"/>
    </row>
    <row r="493" spans="12:12" ht="15.75" customHeight="1" x14ac:dyDescent="0.2">
      <c r="L493" s="13"/>
    </row>
    <row r="494" spans="12:12" ht="15.75" customHeight="1" x14ac:dyDescent="0.2">
      <c r="L494" s="13"/>
    </row>
    <row r="495" spans="12:12" ht="15.75" customHeight="1" x14ac:dyDescent="0.2">
      <c r="L495" s="13"/>
    </row>
    <row r="496" spans="12:12" ht="15.75" customHeight="1" x14ac:dyDescent="0.2">
      <c r="L496" s="13"/>
    </row>
    <row r="497" spans="12:12" ht="15.75" customHeight="1" x14ac:dyDescent="0.2">
      <c r="L497" s="13"/>
    </row>
    <row r="498" spans="12:12" ht="15.75" customHeight="1" x14ac:dyDescent="0.2">
      <c r="L498" s="13"/>
    </row>
    <row r="499" spans="12:12" ht="15.75" customHeight="1" x14ac:dyDescent="0.2">
      <c r="L499" s="13"/>
    </row>
    <row r="500" spans="12:12" ht="15.75" customHeight="1" x14ac:dyDescent="0.2">
      <c r="L500" s="13"/>
    </row>
    <row r="501" spans="12:12" ht="15.75" customHeight="1" x14ac:dyDescent="0.2">
      <c r="L501" s="13"/>
    </row>
    <row r="502" spans="12:12" ht="15.75" customHeight="1" x14ac:dyDescent="0.2">
      <c r="L502" s="13"/>
    </row>
    <row r="503" spans="12:12" ht="15.75" customHeight="1" x14ac:dyDescent="0.2">
      <c r="L503" s="13"/>
    </row>
    <row r="504" spans="12:12" ht="15.75" customHeight="1" x14ac:dyDescent="0.2">
      <c r="L504" s="13"/>
    </row>
    <row r="505" spans="12:12" ht="15.75" customHeight="1" x14ac:dyDescent="0.2">
      <c r="L505" s="13"/>
    </row>
    <row r="506" spans="12:12" ht="15.75" customHeight="1" x14ac:dyDescent="0.2">
      <c r="L506" s="13"/>
    </row>
    <row r="507" spans="12:12" ht="15.75" customHeight="1" x14ac:dyDescent="0.2">
      <c r="L507" s="13"/>
    </row>
    <row r="508" spans="12:12" ht="15.75" customHeight="1" x14ac:dyDescent="0.2">
      <c r="L508" s="13"/>
    </row>
    <row r="509" spans="12:12" ht="15.75" customHeight="1" x14ac:dyDescent="0.2">
      <c r="L509" s="13"/>
    </row>
    <row r="510" spans="12:12" ht="15.75" customHeight="1" x14ac:dyDescent="0.2">
      <c r="L510" s="13"/>
    </row>
    <row r="511" spans="12:12" ht="15.75" customHeight="1" x14ac:dyDescent="0.2">
      <c r="L511" s="13"/>
    </row>
    <row r="512" spans="12:12" ht="15.75" customHeight="1" x14ac:dyDescent="0.2">
      <c r="L512" s="13"/>
    </row>
    <row r="513" spans="12:12" ht="15.75" customHeight="1" x14ac:dyDescent="0.2">
      <c r="L513" s="13"/>
    </row>
    <row r="514" spans="12:12" ht="15.75" customHeight="1" x14ac:dyDescent="0.2">
      <c r="L514" s="13"/>
    </row>
    <row r="515" spans="12:12" ht="15.75" customHeight="1" x14ac:dyDescent="0.2">
      <c r="L515" s="13"/>
    </row>
    <row r="516" spans="12:12" ht="15.75" customHeight="1" x14ac:dyDescent="0.2">
      <c r="L516" s="13"/>
    </row>
    <row r="517" spans="12:12" ht="15.75" customHeight="1" x14ac:dyDescent="0.2">
      <c r="L517" s="13"/>
    </row>
    <row r="518" spans="12:12" ht="15.75" customHeight="1" x14ac:dyDescent="0.2">
      <c r="L518" s="13"/>
    </row>
    <row r="519" spans="12:12" ht="15.75" customHeight="1" x14ac:dyDescent="0.2">
      <c r="L519" s="13"/>
    </row>
    <row r="520" spans="12:12" ht="15.75" customHeight="1" x14ac:dyDescent="0.2">
      <c r="L520" s="13"/>
    </row>
    <row r="521" spans="12:12" ht="15.75" customHeight="1" x14ac:dyDescent="0.2">
      <c r="L521" s="13"/>
    </row>
    <row r="522" spans="12:12" ht="15.75" customHeight="1" x14ac:dyDescent="0.2">
      <c r="L522" s="13"/>
    </row>
    <row r="523" spans="12:12" ht="15.75" customHeight="1" x14ac:dyDescent="0.2">
      <c r="L523" s="13"/>
    </row>
    <row r="524" spans="12:12" ht="15.75" customHeight="1" x14ac:dyDescent="0.2">
      <c r="L524" s="13"/>
    </row>
    <row r="525" spans="12:12" ht="15.75" customHeight="1" x14ac:dyDescent="0.2">
      <c r="L525" s="13"/>
    </row>
    <row r="526" spans="12:12" ht="15.75" customHeight="1" x14ac:dyDescent="0.2">
      <c r="L526" s="13"/>
    </row>
    <row r="527" spans="12:12" ht="15.75" customHeight="1" x14ac:dyDescent="0.2">
      <c r="L527" s="13"/>
    </row>
    <row r="528" spans="12:12" ht="15.75" customHeight="1" x14ac:dyDescent="0.2">
      <c r="L528" s="13"/>
    </row>
    <row r="529" spans="12:12" ht="15.75" customHeight="1" x14ac:dyDescent="0.2">
      <c r="L529" s="13"/>
    </row>
    <row r="530" spans="12:12" ht="15.75" customHeight="1" x14ac:dyDescent="0.2">
      <c r="L530" s="13"/>
    </row>
    <row r="531" spans="12:12" ht="15.75" customHeight="1" x14ac:dyDescent="0.2">
      <c r="L531" s="13"/>
    </row>
    <row r="532" spans="12:12" ht="15.75" customHeight="1" x14ac:dyDescent="0.2">
      <c r="L532" s="13"/>
    </row>
    <row r="533" spans="12:12" ht="15.75" customHeight="1" x14ac:dyDescent="0.2">
      <c r="L533" s="13"/>
    </row>
    <row r="534" spans="12:12" ht="15.75" customHeight="1" x14ac:dyDescent="0.2">
      <c r="L534" s="13"/>
    </row>
    <row r="535" spans="12:12" ht="15.75" customHeight="1" x14ac:dyDescent="0.2">
      <c r="L535" s="13"/>
    </row>
    <row r="536" spans="12:12" ht="15.75" customHeight="1" x14ac:dyDescent="0.2">
      <c r="L536" s="13"/>
    </row>
    <row r="537" spans="12:12" ht="15.75" customHeight="1" x14ac:dyDescent="0.2">
      <c r="L537" s="13"/>
    </row>
    <row r="538" spans="12:12" ht="15.75" customHeight="1" x14ac:dyDescent="0.2">
      <c r="L538" s="13"/>
    </row>
    <row r="539" spans="12:12" ht="15.75" customHeight="1" x14ac:dyDescent="0.2">
      <c r="L539" s="13"/>
    </row>
    <row r="540" spans="12:12" ht="15.75" customHeight="1" x14ac:dyDescent="0.2">
      <c r="L540" s="13"/>
    </row>
    <row r="541" spans="12:12" ht="15.75" customHeight="1" x14ac:dyDescent="0.2">
      <c r="L541" s="13"/>
    </row>
    <row r="542" spans="12:12" ht="15.75" customHeight="1" x14ac:dyDescent="0.2">
      <c r="L542" s="13"/>
    </row>
    <row r="543" spans="12:12" ht="15.75" customHeight="1" x14ac:dyDescent="0.2">
      <c r="L543" s="13"/>
    </row>
    <row r="544" spans="12:12" ht="15.75" customHeight="1" x14ac:dyDescent="0.2">
      <c r="L544" s="13"/>
    </row>
    <row r="545" spans="12:12" ht="15.75" customHeight="1" x14ac:dyDescent="0.2">
      <c r="L545" s="13"/>
    </row>
    <row r="546" spans="12:12" ht="15.75" customHeight="1" x14ac:dyDescent="0.2">
      <c r="L546" s="13"/>
    </row>
    <row r="547" spans="12:12" ht="15.75" customHeight="1" x14ac:dyDescent="0.2">
      <c r="L547" s="13"/>
    </row>
    <row r="548" spans="12:12" ht="15.75" customHeight="1" x14ac:dyDescent="0.2">
      <c r="L548" s="13"/>
    </row>
    <row r="549" spans="12:12" ht="15.75" customHeight="1" x14ac:dyDescent="0.2">
      <c r="L549" s="13"/>
    </row>
    <row r="550" spans="12:12" ht="15.75" customHeight="1" x14ac:dyDescent="0.2">
      <c r="L550" s="13"/>
    </row>
    <row r="551" spans="12:12" ht="15.75" customHeight="1" x14ac:dyDescent="0.2">
      <c r="L551" s="13"/>
    </row>
    <row r="552" spans="12:12" ht="15.75" customHeight="1" x14ac:dyDescent="0.2">
      <c r="L552" s="13"/>
    </row>
    <row r="553" spans="12:12" ht="15.75" customHeight="1" x14ac:dyDescent="0.2">
      <c r="L553" s="13"/>
    </row>
    <row r="554" spans="12:12" ht="15.75" customHeight="1" x14ac:dyDescent="0.2">
      <c r="L554" s="13"/>
    </row>
    <row r="555" spans="12:12" ht="15.75" customHeight="1" x14ac:dyDescent="0.2">
      <c r="L555" s="13"/>
    </row>
    <row r="556" spans="12:12" ht="15.75" customHeight="1" x14ac:dyDescent="0.2">
      <c r="L556" s="13"/>
    </row>
    <row r="557" spans="12:12" ht="15.75" customHeight="1" x14ac:dyDescent="0.2">
      <c r="L557" s="13"/>
    </row>
    <row r="558" spans="12:12" ht="15.75" customHeight="1" x14ac:dyDescent="0.2">
      <c r="L558" s="13"/>
    </row>
    <row r="559" spans="12:12" ht="15.75" customHeight="1" x14ac:dyDescent="0.2">
      <c r="L559" s="13"/>
    </row>
    <row r="560" spans="12:12" ht="15.75" customHeight="1" x14ac:dyDescent="0.2">
      <c r="L560" s="13"/>
    </row>
    <row r="561" spans="12:12" ht="15.75" customHeight="1" x14ac:dyDescent="0.2">
      <c r="L561" s="13"/>
    </row>
    <row r="562" spans="12:12" ht="15.75" customHeight="1" x14ac:dyDescent="0.2">
      <c r="L562" s="13"/>
    </row>
    <row r="563" spans="12:12" ht="15.75" customHeight="1" x14ac:dyDescent="0.2">
      <c r="L563" s="13"/>
    </row>
    <row r="564" spans="12:12" ht="15.75" customHeight="1" x14ac:dyDescent="0.2">
      <c r="L564" s="13"/>
    </row>
    <row r="565" spans="12:12" ht="15.75" customHeight="1" x14ac:dyDescent="0.2">
      <c r="L565" s="13"/>
    </row>
    <row r="566" spans="12:12" ht="15.75" customHeight="1" x14ac:dyDescent="0.2">
      <c r="L566" s="13"/>
    </row>
    <row r="567" spans="12:12" ht="15.75" customHeight="1" x14ac:dyDescent="0.2">
      <c r="L567" s="13"/>
    </row>
    <row r="568" spans="12:12" ht="15.75" customHeight="1" x14ac:dyDescent="0.2">
      <c r="L568" s="13"/>
    </row>
    <row r="569" spans="12:12" ht="15.75" customHeight="1" x14ac:dyDescent="0.2">
      <c r="L569" s="13"/>
    </row>
    <row r="570" spans="12:12" ht="15.75" customHeight="1" x14ac:dyDescent="0.2">
      <c r="L570" s="13"/>
    </row>
    <row r="571" spans="12:12" ht="15.75" customHeight="1" x14ac:dyDescent="0.2">
      <c r="L571" s="13"/>
    </row>
    <row r="572" spans="12:12" ht="15.75" customHeight="1" x14ac:dyDescent="0.2">
      <c r="L572" s="13"/>
    </row>
    <row r="573" spans="12:12" ht="15.75" customHeight="1" x14ac:dyDescent="0.2">
      <c r="L573" s="13"/>
    </row>
    <row r="574" spans="12:12" ht="15.75" customHeight="1" x14ac:dyDescent="0.2">
      <c r="L574" s="13"/>
    </row>
    <row r="575" spans="12:12" ht="15.75" customHeight="1" x14ac:dyDescent="0.2">
      <c r="L575" s="13"/>
    </row>
    <row r="576" spans="12:12" ht="15.75" customHeight="1" x14ac:dyDescent="0.2">
      <c r="L576" s="13"/>
    </row>
    <row r="577" spans="12:12" ht="15.75" customHeight="1" x14ac:dyDescent="0.2">
      <c r="L577" s="13"/>
    </row>
    <row r="578" spans="12:12" ht="15.75" customHeight="1" x14ac:dyDescent="0.2">
      <c r="L578" s="13"/>
    </row>
    <row r="579" spans="12:12" ht="15.75" customHeight="1" x14ac:dyDescent="0.2">
      <c r="L579" s="13"/>
    </row>
    <row r="580" spans="12:12" ht="15.75" customHeight="1" x14ac:dyDescent="0.2">
      <c r="L580" s="13"/>
    </row>
    <row r="581" spans="12:12" ht="15.75" customHeight="1" x14ac:dyDescent="0.2">
      <c r="L581" s="13"/>
    </row>
    <row r="582" spans="12:12" ht="15.75" customHeight="1" x14ac:dyDescent="0.2">
      <c r="L582" s="13"/>
    </row>
    <row r="583" spans="12:12" ht="15.75" customHeight="1" x14ac:dyDescent="0.2">
      <c r="L583" s="13"/>
    </row>
    <row r="584" spans="12:12" ht="15.75" customHeight="1" x14ac:dyDescent="0.2">
      <c r="L584" s="13"/>
    </row>
    <row r="585" spans="12:12" ht="15.75" customHeight="1" x14ac:dyDescent="0.2">
      <c r="L585" s="13"/>
    </row>
    <row r="586" spans="12:12" ht="15.75" customHeight="1" x14ac:dyDescent="0.2">
      <c r="L586" s="13"/>
    </row>
    <row r="587" spans="12:12" ht="15.75" customHeight="1" x14ac:dyDescent="0.2">
      <c r="L587" s="13"/>
    </row>
    <row r="588" spans="12:12" ht="15.75" customHeight="1" x14ac:dyDescent="0.2">
      <c r="L588" s="13"/>
    </row>
    <row r="589" spans="12:12" ht="15.75" customHeight="1" x14ac:dyDescent="0.2">
      <c r="L589" s="13"/>
    </row>
    <row r="590" spans="12:12" ht="15.75" customHeight="1" x14ac:dyDescent="0.2">
      <c r="L590" s="13"/>
    </row>
    <row r="591" spans="12:12" ht="15.75" customHeight="1" x14ac:dyDescent="0.2">
      <c r="L591" s="13"/>
    </row>
    <row r="592" spans="12:12" ht="15.75" customHeight="1" x14ac:dyDescent="0.2">
      <c r="L592" s="13"/>
    </row>
    <row r="593" spans="12:12" ht="15.75" customHeight="1" x14ac:dyDescent="0.2">
      <c r="L593" s="13"/>
    </row>
    <row r="594" spans="12:12" ht="15.75" customHeight="1" x14ac:dyDescent="0.2">
      <c r="L594" s="13"/>
    </row>
    <row r="595" spans="12:12" ht="15.75" customHeight="1" x14ac:dyDescent="0.2">
      <c r="L595" s="13"/>
    </row>
    <row r="596" spans="12:12" ht="15.75" customHeight="1" x14ac:dyDescent="0.2">
      <c r="L596" s="13"/>
    </row>
    <row r="597" spans="12:12" ht="15.75" customHeight="1" x14ac:dyDescent="0.2">
      <c r="L597" s="13"/>
    </row>
    <row r="598" spans="12:12" ht="15.75" customHeight="1" x14ac:dyDescent="0.2">
      <c r="L598" s="13"/>
    </row>
    <row r="599" spans="12:12" ht="15.75" customHeight="1" x14ac:dyDescent="0.2">
      <c r="L599" s="13"/>
    </row>
    <row r="600" spans="12:12" ht="15.75" customHeight="1" x14ac:dyDescent="0.2">
      <c r="L600" s="13"/>
    </row>
    <row r="601" spans="12:12" ht="15.75" customHeight="1" x14ac:dyDescent="0.2">
      <c r="L601" s="13"/>
    </row>
    <row r="602" spans="12:12" ht="15.75" customHeight="1" x14ac:dyDescent="0.2">
      <c r="L602" s="13"/>
    </row>
    <row r="603" spans="12:12" ht="15.75" customHeight="1" x14ac:dyDescent="0.2">
      <c r="L603" s="13"/>
    </row>
    <row r="604" spans="12:12" ht="15.75" customHeight="1" x14ac:dyDescent="0.2">
      <c r="L604" s="13"/>
    </row>
    <row r="605" spans="12:12" ht="15.75" customHeight="1" x14ac:dyDescent="0.2">
      <c r="L605" s="13"/>
    </row>
    <row r="606" spans="12:12" ht="15.75" customHeight="1" x14ac:dyDescent="0.2">
      <c r="L606" s="13"/>
    </row>
    <row r="607" spans="12:12" ht="15.75" customHeight="1" x14ac:dyDescent="0.2">
      <c r="L607" s="13"/>
    </row>
    <row r="608" spans="12:12" ht="15.75" customHeight="1" x14ac:dyDescent="0.2">
      <c r="L608" s="13"/>
    </row>
    <row r="609" spans="12:12" ht="15.75" customHeight="1" x14ac:dyDescent="0.2">
      <c r="L609" s="13"/>
    </row>
    <row r="610" spans="12:12" ht="15.75" customHeight="1" x14ac:dyDescent="0.2">
      <c r="L610" s="13"/>
    </row>
    <row r="611" spans="12:12" ht="15.75" customHeight="1" x14ac:dyDescent="0.2">
      <c r="L611" s="13"/>
    </row>
    <row r="612" spans="12:12" ht="15.75" customHeight="1" x14ac:dyDescent="0.2">
      <c r="L612" s="13"/>
    </row>
    <row r="613" spans="12:12" ht="15.75" customHeight="1" x14ac:dyDescent="0.2">
      <c r="L613" s="13"/>
    </row>
    <row r="614" spans="12:12" ht="15.75" customHeight="1" x14ac:dyDescent="0.2">
      <c r="L614" s="13"/>
    </row>
    <row r="615" spans="12:12" ht="15.75" customHeight="1" x14ac:dyDescent="0.2">
      <c r="L615" s="13"/>
    </row>
    <row r="616" spans="12:12" ht="15.75" customHeight="1" x14ac:dyDescent="0.2">
      <c r="L616" s="13"/>
    </row>
    <row r="617" spans="12:12" ht="15.75" customHeight="1" x14ac:dyDescent="0.2">
      <c r="L617" s="13"/>
    </row>
    <row r="618" spans="12:12" ht="15.75" customHeight="1" x14ac:dyDescent="0.2">
      <c r="L618" s="13"/>
    </row>
    <row r="619" spans="12:12" ht="15.75" customHeight="1" x14ac:dyDescent="0.2">
      <c r="L619" s="13"/>
    </row>
    <row r="620" spans="12:12" ht="15.75" customHeight="1" x14ac:dyDescent="0.2">
      <c r="L620" s="13"/>
    </row>
    <row r="621" spans="12:12" ht="15.75" customHeight="1" x14ac:dyDescent="0.2">
      <c r="L621" s="13"/>
    </row>
    <row r="622" spans="12:12" ht="15.75" customHeight="1" x14ac:dyDescent="0.2">
      <c r="L622" s="13"/>
    </row>
    <row r="623" spans="12:12" ht="15.75" customHeight="1" x14ac:dyDescent="0.2">
      <c r="L623" s="13"/>
    </row>
    <row r="624" spans="12:12" ht="15.75" customHeight="1" x14ac:dyDescent="0.2">
      <c r="L624" s="13"/>
    </row>
    <row r="625" spans="12:12" ht="15.75" customHeight="1" x14ac:dyDescent="0.2">
      <c r="L625" s="13"/>
    </row>
    <row r="626" spans="12:12" ht="15.75" customHeight="1" x14ac:dyDescent="0.2">
      <c r="L626" s="13"/>
    </row>
    <row r="627" spans="12:12" ht="15.75" customHeight="1" x14ac:dyDescent="0.2">
      <c r="L627" s="13"/>
    </row>
    <row r="628" spans="12:12" ht="15.75" customHeight="1" x14ac:dyDescent="0.2">
      <c r="L628" s="13"/>
    </row>
    <row r="629" spans="12:12" ht="15.75" customHeight="1" x14ac:dyDescent="0.2">
      <c r="L629" s="13"/>
    </row>
    <row r="630" spans="12:12" ht="15.75" customHeight="1" x14ac:dyDescent="0.2">
      <c r="L630" s="13"/>
    </row>
    <row r="631" spans="12:12" ht="15.75" customHeight="1" x14ac:dyDescent="0.2">
      <c r="L631" s="13"/>
    </row>
    <row r="632" spans="12:12" ht="15.75" customHeight="1" x14ac:dyDescent="0.2">
      <c r="L632" s="13"/>
    </row>
    <row r="633" spans="12:12" ht="15.75" customHeight="1" x14ac:dyDescent="0.2">
      <c r="L633" s="13"/>
    </row>
    <row r="634" spans="12:12" ht="15.75" customHeight="1" x14ac:dyDescent="0.2">
      <c r="L634" s="13"/>
    </row>
    <row r="635" spans="12:12" ht="15.75" customHeight="1" x14ac:dyDescent="0.2">
      <c r="L635" s="13"/>
    </row>
    <row r="636" spans="12:12" ht="15.75" customHeight="1" x14ac:dyDescent="0.2">
      <c r="L636" s="13"/>
    </row>
    <row r="637" spans="12:12" ht="15.75" customHeight="1" x14ac:dyDescent="0.2">
      <c r="L637" s="13"/>
    </row>
    <row r="638" spans="12:12" ht="15.75" customHeight="1" x14ac:dyDescent="0.2">
      <c r="L638" s="13"/>
    </row>
    <row r="639" spans="12:12" ht="15.75" customHeight="1" x14ac:dyDescent="0.2">
      <c r="L639" s="13"/>
    </row>
    <row r="640" spans="12:12" ht="15.75" customHeight="1" x14ac:dyDescent="0.2">
      <c r="L640" s="13"/>
    </row>
    <row r="641" spans="12:12" ht="15.75" customHeight="1" x14ac:dyDescent="0.2">
      <c r="L641" s="13"/>
    </row>
    <row r="642" spans="12:12" ht="15.75" customHeight="1" x14ac:dyDescent="0.2">
      <c r="L642" s="13"/>
    </row>
    <row r="643" spans="12:12" ht="15.75" customHeight="1" x14ac:dyDescent="0.2">
      <c r="L643" s="13"/>
    </row>
    <row r="644" spans="12:12" ht="15.75" customHeight="1" x14ac:dyDescent="0.2">
      <c r="L644" s="13"/>
    </row>
    <row r="645" spans="12:12" ht="15.75" customHeight="1" x14ac:dyDescent="0.2">
      <c r="L645" s="13"/>
    </row>
    <row r="646" spans="12:12" ht="15.75" customHeight="1" x14ac:dyDescent="0.2">
      <c r="L646" s="13"/>
    </row>
    <row r="647" spans="12:12" ht="15.75" customHeight="1" x14ac:dyDescent="0.2">
      <c r="L647" s="13"/>
    </row>
    <row r="648" spans="12:12" ht="15.75" customHeight="1" x14ac:dyDescent="0.2">
      <c r="L648" s="13"/>
    </row>
    <row r="649" spans="12:12" ht="15.75" customHeight="1" x14ac:dyDescent="0.2">
      <c r="L649" s="13"/>
    </row>
    <row r="650" spans="12:12" ht="15.75" customHeight="1" x14ac:dyDescent="0.2">
      <c r="L650" s="13"/>
    </row>
    <row r="651" spans="12:12" ht="15.75" customHeight="1" x14ac:dyDescent="0.2">
      <c r="L651" s="13"/>
    </row>
    <row r="652" spans="12:12" ht="15.75" customHeight="1" x14ac:dyDescent="0.2">
      <c r="L652" s="13"/>
    </row>
    <row r="653" spans="12:12" ht="15.75" customHeight="1" x14ac:dyDescent="0.2">
      <c r="L653" s="13"/>
    </row>
    <row r="654" spans="12:12" ht="15.75" customHeight="1" x14ac:dyDescent="0.2">
      <c r="L654" s="13"/>
    </row>
    <row r="655" spans="12:12" ht="15.75" customHeight="1" x14ac:dyDescent="0.2">
      <c r="L655" s="13"/>
    </row>
    <row r="656" spans="12:12" ht="15.75" customHeight="1" x14ac:dyDescent="0.2">
      <c r="L656" s="13"/>
    </row>
    <row r="657" spans="12:12" ht="15.75" customHeight="1" x14ac:dyDescent="0.2">
      <c r="L657" s="13"/>
    </row>
    <row r="658" spans="12:12" ht="15.75" customHeight="1" x14ac:dyDescent="0.2">
      <c r="L658" s="13"/>
    </row>
    <row r="659" spans="12:12" ht="15.75" customHeight="1" x14ac:dyDescent="0.2">
      <c r="L659" s="13"/>
    </row>
    <row r="660" spans="12:12" ht="15.75" customHeight="1" x14ac:dyDescent="0.2">
      <c r="L660" s="13"/>
    </row>
    <row r="661" spans="12:12" ht="15.75" customHeight="1" x14ac:dyDescent="0.2">
      <c r="L661" s="13"/>
    </row>
    <row r="662" spans="12:12" ht="15.75" customHeight="1" x14ac:dyDescent="0.2">
      <c r="L662" s="13"/>
    </row>
    <row r="663" spans="12:12" ht="15.75" customHeight="1" x14ac:dyDescent="0.2">
      <c r="L663" s="13"/>
    </row>
    <row r="664" spans="12:12" ht="15.75" customHeight="1" x14ac:dyDescent="0.2">
      <c r="L664" s="13"/>
    </row>
    <row r="665" spans="12:12" ht="15.75" customHeight="1" x14ac:dyDescent="0.2">
      <c r="L665" s="13"/>
    </row>
    <row r="666" spans="12:12" ht="15.75" customHeight="1" x14ac:dyDescent="0.2">
      <c r="L666" s="13"/>
    </row>
    <row r="667" spans="12:12" ht="15.75" customHeight="1" x14ac:dyDescent="0.2">
      <c r="L667" s="13"/>
    </row>
    <row r="668" spans="12:12" ht="15.75" customHeight="1" x14ac:dyDescent="0.2">
      <c r="L668" s="13"/>
    </row>
    <row r="669" spans="12:12" ht="15.75" customHeight="1" x14ac:dyDescent="0.2">
      <c r="L669" s="13"/>
    </row>
    <row r="670" spans="12:12" ht="15.75" customHeight="1" x14ac:dyDescent="0.2">
      <c r="L670" s="13"/>
    </row>
    <row r="671" spans="12:12" ht="15.75" customHeight="1" x14ac:dyDescent="0.2">
      <c r="L671" s="13"/>
    </row>
    <row r="672" spans="12:12" ht="15.75" customHeight="1" x14ac:dyDescent="0.2">
      <c r="L672" s="13"/>
    </row>
    <row r="673" spans="12:12" ht="15.75" customHeight="1" x14ac:dyDescent="0.2">
      <c r="L673" s="13"/>
    </row>
    <row r="674" spans="12:12" ht="15.75" customHeight="1" x14ac:dyDescent="0.2">
      <c r="L674" s="13"/>
    </row>
    <row r="675" spans="12:12" ht="15.75" customHeight="1" x14ac:dyDescent="0.2">
      <c r="L675" s="13"/>
    </row>
    <row r="676" spans="12:12" ht="15.75" customHeight="1" x14ac:dyDescent="0.2">
      <c r="L676" s="13"/>
    </row>
    <row r="677" spans="12:12" ht="15.75" customHeight="1" x14ac:dyDescent="0.2">
      <c r="L677" s="13"/>
    </row>
    <row r="678" spans="12:12" ht="15.75" customHeight="1" x14ac:dyDescent="0.2">
      <c r="L678" s="13"/>
    </row>
    <row r="679" spans="12:12" ht="15.75" customHeight="1" x14ac:dyDescent="0.2">
      <c r="L679" s="13"/>
    </row>
    <row r="680" spans="12:12" ht="15.75" customHeight="1" x14ac:dyDescent="0.2">
      <c r="L680" s="13"/>
    </row>
    <row r="681" spans="12:12" ht="15.75" customHeight="1" x14ac:dyDescent="0.2">
      <c r="L681" s="13"/>
    </row>
    <row r="682" spans="12:12" ht="15.75" customHeight="1" x14ac:dyDescent="0.2">
      <c r="L682" s="13"/>
    </row>
    <row r="683" spans="12:12" ht="15.75" customHeight="1" x14ac:dyDescent="0.2">
      <c r="L683" s="13"/>
    </row>
    <row r="684" spans="12:12" ht="15.75" customHeight="1" x14ac:dyDescent="0.2">
      <c r="L684" s="13"/>
    </row>
    <row r="685" spans="12:12" ht="15.75" customHeight="1" x14ac:dyDescent="0.2">
      <c r="L685" s="13"/>
    </row>
    <row r="686" spans="12:12" ht="15.75" customHeight="1" x14ac:dyDescent="0.2">
      <c r="L686" s="13"/>
    </row>
    <row r="687" spans="12:12" ht="15.75" customHeight="1" x14ac:dyDescent="0.2">
      <c r="L687" s="13"/>
    </row>
    <row r="688" spans="12:12" ht="15.75" customHeight="1" x14ac:dyDescent="0.2">
      <c r="L688" s="13"/>
    </row>
    <row r="689" spans="12:12" ht="15.75" customHeight="1" x14ac:dyDescent="0.2">
      <c r="L689" s="13"/>
    </row>
    <row r="690" spans="12:12" ht="15.75" customHeight="1" x14ac:dyDescent="0.2">
      <c r="L690" s="13"/>
    </row>
    <row r="691" spans="12:12" ht="15.75" customHeight="1" x14ac:dyDescent="0.2">
      <c r="L691" s="13"/>
    </row>
    <row r="692" spans="12:12" ht="15.75" customHeight="1" x14ac:dyDescent="0.2">
      <c r="L692" s="13"/>
    </row>
    <row r="693" spans="12:12" ht="15.75" customHeight="1" x14ac:dyDescent="0.2">
      <c r="L693" s="13"/>
    </row>
    <row r="694" spans="12:12" ht="15.75" customHeight="1" x14ac:dyDescent="0.2">
      <c r="L694" s="13"/>
    </row>
    <row r="695" spans="12:12" ht="15.75" customHeight="1" x14ac:dyDescent="0.2">
      <c r="L695" s="13"/>
    </row>
    <row r="696" spans="12:12" ht="15.75" customHeight="1" x14ac:dyDescent="0.2">
      <c r="L696" s="13"/>
    </row>
    <row r="697" spans="12:12" ht="15.75" customHeight="1" x14ac:dyDescent="0.2">
      <c r="L697" s="13"/>
    </row>
    <row r="698" spans="12:12" ht="15.75" customHeight="1" x14ac:dyDescent="0.2">
      <c r="L698" s="13"/>
    </row>
    <row r="699" spans="12:12" ht="15.75" customHeight="1" x14ac:dyDescent="0.2">
      <c r="L699" s="13"/>
    </row>
    <row r="700" spans="12:12" ht="15.75" customHeight="1" x14ac:dyDescent="0.2">
      <c r="L700" s="13"/>
    </row>
    <row r="701" spans="12:12" ht="15.75" customHeight="1" x14ac:dyDescent="0.2">
      <c r="L701" s="13"/>
    </row>
    <row r="702" spans="12:12" ht="15.75" customHeight="1" x14ac:dyDescent="0.2">
      <c r="L702" s="13"/>
    </row>
    <row r="703" spans="12:12" ht="15.75" customHeight="1" x14ac:dyDescent="0.2">
      <c r="L703" s="13"/>
    </row>
    <row r="704" spans="12:12" ht="15.75" customHeight="1" x14ac:dyDescent="0.2">
      <c r="L704" s="13"/>
    </row>
    <row r="705" spans="12:12" ht="15.75" customHeight="1" x14ac:dyDescent="0.2">
      <c r="L705" s="13"/>
    </row>
    <row r="706" spans="12:12" ht="15.75" customHeight="1" x14ac:dyDescent="0.2">
      <c r="L706" s="13"/>
    </row>
    <row r="707" spans="12:12" ht="15.75" customHeight="1" x14ac:dyDescent="0.2">
      <c r="L707" s="13"/>
    </row>
    <row r="708" spans="12:12" ht="15.75" customHeight="1" x14ac:dyDescent="0.2">
      <c r="L708" s="13"/>
    </row>
    <row r="709" spans="12:12" ht="15.75" customHeight="1" x14ac:dyDescent="0.2">
      <c r="L709" s="13"/>
    </row>
    <row r="710" spans="12:12" ht="15.75" customHeight="1" x14ac:dyDescent="0.2">
      <c r="L710" s="13"/>
    </row>
    <row r="711" spans="12:12" ht="15.75" customHeight="1" x14ac:dyDescent="0.2">
      <c r="L711" s="13"/>
    </row>
    <row r="712" spans="12:12" ht="15.75" customHeight="1" x14ac:dyDescent="0.2">
      <c r="L712" s="13"/>
    </row>
    <row r="713" spans="12:12" ht="15.75" customHeight="1" x14ac:dyDescent="0.2">
      <c r="L713" s="13"/>
    </row>
    <row r="714" spans="12:12" ht="15.75" customHeight="1" x14ac:dyDescent="0.2">
      <c r="L714" s="13"/>
    </row>
    <row r="715" spans="12:12" ht="15.75" customHeight="1" x14ac:dyDescent="0.2">
      <c r="L715" s="13"/>
    </row>
    <row r="716" spans="12:12" ht="15.75" customHeight="1" x14ac:dyDescent="0.2">
      <c r="L716" s="13"/>
    </row>
    <row r="717" spans="12:12" ht="15.75" customHeight="1" x14ac:dyDescent="0.2">
      <c r="L717" s="13"/>
    </row>
    <row r="718" spans="12:12" ht="15.75" customHeight="1" x14ac:dyDescent="0.2">
      <c r="L718" s="13"/>
    </row>
    <row r="719" spans="12:12" ht="15.75" customHeight="1" x14ac:dyDescent="0.2">
      <c r="L719" s="13"/>
    </row>
    <row r="720" spans="12:12" ht="15.75" customHeight="1" x14ac:dyDescent="0.2">
      <c r="L720" s="13"/>
    </row>
    <row r="721" spans="12:12" ht="15.75" customHeight="1" x14ac:dyDescent="0.2">
      <c r="L721" s="13"/>
    </row>
    <row r="722" spans="12:12" ht="15.75" customHeight="1" x14ac:dyDescent="0.2">
      <c r="L722" s="13"/>
    </row>
    <row r="723" spans="12:12" ht="15.75" customHeight="1" x14ac:dyDescent="0.2">
      <c r="L723" s="13"/>
    </row>
    <row r="724" spans="12:12" ht="15.75" customHeight="1" x14ac:dyDescent="0.2">
      <c r="L724" s="13"/>
    </row>
    <row r="725" spans="12:12" ht="15.75" customHeight="1" x14ac:dyDescent="0.2">
      <c r="L725" s="13"/>
    </row>
    <row r="726" spans="12:12" ht="15.75" customHeight="1" x14ac:dyDescent="0.2">
      <c r="L726" s="13"/>
    </row>
    <row r="727" spans="12:12" ht="15.75" customHeight="1" x14ac:dyDescent="0.2">
      <c r="L727" s="13"/>
    </row>
    <row r="728" spans="12:12" ht="15.75" customHeight="1" x14ac:dyDescent="0.2">
      <c r="L728" s="13"/>
    </row>
    <row r="729" spans="12:12" ht="15.75" customHeight="1" x14ac:dyDescent="0.2">
      <c r="L729" s="13"/>
    </row>
    <row r="730" spans="12:12" ht="15.75" customHeight="1" x14ac:dyDescent="0.2">
      <c r="L730" s="13"/>
    </row>
    <row r="731" spans="12:12" ht="15.75" customHeight="1" x14ac:dyDescent="0.2">
      <c r="L731" s="13"/>
    </row>
    <row r="732" spans="12:12" ht="15.75" customHeight="1" x14ac:dyDescent="0.2">
      <c r="L732" s="13"/>
    </row>
    <row r="733" spans="12:12" ht="15.75" customHeight="1" x14ac:dyDescent="0.2">
      <c r="L733" s="13"/>
    </row>
    <row r="734" spans="12:12" ht="15.75" customHeight="1" x14ac:dyDescent="0.2">
      <c r="L734" s="13"/>
    </row>
    <row r="735" spans="12:12" ht="15.75" customHeight="1" x14ac:dyDescent="0.2">
      <c r="L735" s="13"/>
    </row>
    <row r="736" spans="12:12" ht="15.75" customHeight="1" x14ac:dyDescent="0.2">
      <c r="L736" s="13"/>
    </row>
    <row r="737" spans="12:12" ht="15.75" customHeight="1" x14ac:dyDescent="0.2">
      <c r="L737" s="13"/>
    </row>
    <row r="738" spans="12:12" ht="15.75" customHeight="1" x14ac:dyDescent="0.2">
      <c r="L738" s="13"/>
    </row>
    <row r="739" spans="12:12" ht="15.75" customHeight="1" x14ac:dyDescent="0.2">
      <c r="L739" s="13"/>
    </row>
    <row r="740" spans="12:12" ht="15.75" customHeight="1" x14ac:dyDescent="0.2">
      <c r="L740" s="13"/>
    </row>
    <row r="741" spans="12:12" ht="15.75" customHeight="1" x14ac:dyDescent="0.2">
      <c r="L741" s="13"/>
    </row>
    <row r="742" spans="12:12" ht="15.75" customHeight="1" x14ac:dyDescent="0.2">
      <c r="L742" s="13"/>
    </row>
    <row r="743" spans="12:12" ht="15.75" customHeight="1" x14ac:dyDescent="0.2">
      <c r="L743" s="13"/>
    </row>
    <row r="744" spans="12:12" ht="15.75" customHeight="1" x14ac:dyDescent="0.2">
      <c r="L744" s="13"/>
    </row>
    <row r="745" spans="12:12" ht="15.75" customHeight="1" x14ac:dyDescent="0.2">
      <c r="L745" s="13"/>
    </row>
    <row r="746" spans="12:12" ht="15.75" customHeight="1" x14ac:dyDescent="0.2">
      <c r="L746" s="13"/>
    </row>
    <row r="747" spans="12:12" ht="15.75" customHeight="1" x14ac:dyDescent="0.2">
      <c r="L747" s="13"/>
    </row>
    <row r="748" spans="12:12" ht="15.75" customHeight="1" x14ac:dyDescent="0.2">
      <c r="L748" s="13"/>
    </row>
    <row r="749" spans="12:12" ht="15.75" customHeight="1" x14ac:dyDescent="0.2">
      <c r="L749" s="13"/>
    </row>
    <row r="750" spans="12:12" ht="15.75" customHeight="1" x14ac:dyDescent="0.2">
      <c r="L750" s="13"/>
    </row>
    <row r="751" spans="12:12" ht="15.75" customHeight="1" x14ac:dyDescent="0.2">
      <c r="L751" s="13"/>
    </row>
    <row r="752" spans="12:12" ht="15.75" customHeight="1" x14ac:dyDescent="0.2">
      <c r="L752" s="13"/>
    </row>
    <row r="753" spans="12:12" ht="15.75" customHeight="1" x14ac:dyDescent="0.2">
      <c r="L753" s="13"/>
    </row>
    <row r="754" spans="12:12" ht="15.75" customHeight="1" x14ac:dyDescent="0.2">
      <c r="L754" s="13"/>
    </row>
    <row r="755" spans="12:12" ht="15.75" customHeight="1" x14ac:dyDescent="0.2">
      <c r="L755" s="13"/>
    </row>
    <row r="756" spans="12:12" ht="15.75" customHeight="1" x14ac:dyDescent="0.2">
      <c r="L756" s="13"/>
    </row>
    <row r="757" spans="12:12" ht="15.75" customHeight="1" x14ac:dyDescent="0.2">
      <c r="L757" s="13"/>
    </row>
    <row r="758" spans="12:12" ht="15.75" customHeight="1" x14ac:dyDescent="0.2">
      <c r="L758" s="13"/>
    </row>
    <row r="759" spans="12:12" ht="15.75" customHeight="1" x14ac:dyDescent="0.2">
      <c r="L759" s="13"/>
    </row>
    <row r="760" spans="12:12" ht="15.75" customHeight="1" x14ac:dyDescent="0.2">
      <c r="L760" s="13"/>
    </row>
    <row r="761" spans="12:12" ht="15.75" customHeight="1" x14ac:dyDescent="0.2">
      <c r="L761" s="13"/>
    </row>
    <row r="762" spans="12:12" ht="15.75" customHeight="1" x14ac:dyDescent="0.2">
      <c r="L762" s="13"/>
    </row>
    <row r="763" spans="12:12" ht="15.75" customHeight="1" x14ac:dyDescent="0.2">
      <c r="L763" s="13"/>
    </row>
    <row r="764" spans="12:12" ht="15.75" customHeight="1" x14ac:dyDescent="0.2">
      <c r="L764" s="13"/>
    </row>
    <row r="765" spans="12:12" ht="15.75" customHeight="1" x14ac:dyDescent="0.2">
      <c r="L765" s="13"/>
    </row>
    <row r="766" spans="12:12" ht="15.75" customHeight="1" x14ac:dyDescent="0.2">
      <c r="L766" s="13"/>
    </row>
    <row r="767" spans="12:12" ht="15.75" customHeight="1" x14ac:dyDescent="0.2">
      <c r="L767" s="13"/>
    </row>
    <row r="768" spans="12:12" ht="15.75" customHeight="1" x14ac:dyDescent="0.2">
      <c r="L768" s="13"/>
    </row>
    <row r="769" spans="12:12" ht="15.75" customHeight="1" x14ac:dyDescent="0.2">
      <c r="L769" s="13"/>
    </row>
    <row r="770" spans="12:12" ht="15.75" customHeight="1" x14ac:dyDescent="0.2">
      <c r="L770" s="13"/>
    </row>
    <row r="771" spans="12:12" ht="15.75" customHeight="1" x14ac:dyDescent="0.2">
      <c r="L771" s="13"/>
    </row>
    <row r="772" spans="12:12" ht="15.75" customHeight="1" x14ac:dyDescent="0.2">
      <c r="L772" s="13"/>
    </row>
    <row r="773" spans="12:12" ht="15.75" customHeight="1" x14ac:dyDescent="0.2">
      <c r="L773" s="13"/>
    </row>
    <row r="774" spans="12:12" ht="15.75" customHeight="1" x14ac:dyDescent="0.2">
      <c r="L774" s="13"/>
    </row>
    <row r="775" spans="12:12" ht="15.75" customHeight="1" x14ac:dyDescent="0.2">
      <c r="L775" s="13"/>
    </row>
    <row r="776" spans="12:12" ht="15.75" customHeight="1" x14ac:dyDescent="0.2">
      <c r="L776" s="13"/>
    </row>
    <row r="777" spans="12:12" ht="15.75" customHeight="1" x14ac:dyDescent="0.2">
      <c r="L777" s="13"/>
    </row>
    <row r="778" spans="12:12" ht="15.75" customHeight="1" x14ac:dyDescent="0.2">
      <c r="L778" s="13"/>
    </row>
    <row r="779" spans="12:12" ht="15.75" customHeight="1" x14ac:dyDescent="0.2">
      <c r="L779" s="13"/>
    </row>
    <row r="780" spans="12:12" ht="15.75" customHeight="1" x14ac:dyDescent="0.2">
      <c r="L780" s="13"/>
    </row>
    <row r="781" spans="12:12" ht="15.75" customHeight="1" x14ac:dyDescent="0.2">
      <c r="L781" s="13"/>
    </row>
    <row r="782" spans="12:12" ht="15.75" customHeight="1" x14ac:dyDescent="0.2">
      <c r="L782" s="13"/>
    </row>
    <row r="783" spans="12:12" ht="15.75" customHeight="1" x14ac:dyDescent="0.2">
      <c r="L783" s="13"/>
    </row>
    <row r="784" spans="12:12" ht="15.75" customHeight="1" x14ac:dyDescent="0.2">
      <c r="L784" s="13"/>
    </row>
    <row r="785" spans="12:12" ht="15.75" customHeight="1" x14ac:dyDescent="0.2">
      <c r="L785" s="13"/>
    </row>
    <row r="786" spans="12:12" ht="15.75" customHeight="1" x14ac:dyDescent="0.2">
      <c r="L786" s="13"/>
    </row>
    <row r="787" spans="12:12" ht="15.75" customHeight="1" x14ac:dyDescent="0.2">
      <c r="L787" s="13"/>
    </row>
    <row r="788" spans="12:12" ht="15.75" customHeight="1" x14ac:dyDescent="0.2">
      <c r="L788" s="13"/>
    </row>
    <row r="789" spans="12:12" ht="15.75" customHeight="1" x14ac:dyDescent="0.2">
      <c r="L789" s="13"/>
    </row>
    <row r="790" spans="12:12" ht="15.75" customHeight="1" x14ac:dyDescent="0.2">
      <c r="L790" s="13"/>
    </row>
    <row r="791" spans="12:12" ht="15.75" customHeight="1" x14ac:dyDescent="0.2">
      <c r="L791" s="13"/>
    </row>
    <row r="792" spans="12:12" ht="15.75" customHeight="1" x14ac:dyDescent="0.2">
      <c r="L792" s="13"/>
    </row>
    <row r="793" spans="12:12" ht="15.75" customHeight="1" x14ac:dyDescent="0.2">
      <c r="L793" s="13"/>
    </row>
    <row r="794" spans="12:12" ht="15.75" customHeight="1" x14ac:dyDescent="0.2">
      <c r="L794" s="13"/>
    </row>
    <row r="795" spans="12:12" ht="15.75" customHeight="1" x14ac:dyDescent="0.2">
      <c r="L795" s="13"/>
    </row>
    <row r="796" spans="12:12" ht="15.75" customHeight="1" x14ac:dyDescent="0.2">
      <c r="L796" s="13"/>
    </row>
    <row r="797" spans="12:12" ht="15.75" customHeight="1" x14ac:dyDescent="0.2">
      <c r="L797" s="13"/>
    </row>
    <row r="798" spans="12:12" ht="15.75" customHeight="1" x14ac:dyDescent="0.2">
      <c r="L798" s="13"/>
    </row>
    <row r="799" spans="12:12" ht="15.75" customHeight="1" x14ac:dyDescent="0.2">
      <c r="L799" s="13"/>
    </row>
    <row r="800" spans="12:12" ht="15.75" customHeight="1" x14ac:dyDescent="0.2">
      <c r="L800" s="13"/>
    </row>
    <row r="801" spans="12:12" ht="15.75" customHeight="1" x14ac:dyDescent="0.2">
      <c r="L801" s="13"/>
    </row>
    <row r="802" spans="12:12" ht="15.75" customHeight="1" x14ac:dyDescent="0.2">
      <c r="L802" s="13"/>
    </row>
    <row r="803" spans="12:12" ht="15.75" customHeight="1" x14ac:dyDescent="0.2">
      <c r="L803" s="13"/>
    </row>
    <row r="804" spans="12:12" ht="15.75" customHeight="1" x14ac:dyDescent="0.2">
      <c r="L804" s="13"/>
    </row>
    <row r="805" spans="12:12" ht="15.75" customHeight="1" x14ac:dyDescent="0.2">
      <c r="L805" s="13"/>
    </row>
    <row r="806" spans="12:12" ht="15.75" customHeight="1" x14ac:dyDescent="0.2">
      <c r="L806" s="13"/>
    </row>
    <row r="807" spans="12:12" ht="15.75" customHeight="1" x14ac:dyDescent="0.2">
      <c r="L807" s="13"/>
    </row>
    <row r="808" spans="12:12" ht="15.75" customHeight="1" x14ac:dyDescent="0.2">
      <c r="L808" s="13"/>
    </row>
    <row r="809" spans="12:12" ht="15.75" customHeight="1" x14ac:dyDescent="0.2">
      <c r="L809" s="13"/>
    </row>
    <row r="810" spans="12:12" ht="15.75" customHeight="1" x14ac:dyDescent="0.2">
      <c r="L810" s="13"/>
    </row>
    <row r="811" spans="12:12" ht="15.75" customHeight="1" x14ac:dyDescent="0.2">
      <c r="L811" s="13"/>
    </row>
    <row r="812" spans="12:12" ht="15.75" customHeight="1" x14ac:dyDescent="0.2">
      <c r="L812" s="13"/>
    </row>
    <row r="813" spans="12:12" ht="15.75" customHeight="1" x14ac:dyDescent="0.2">
      <c r="L813" s="13"/>
    </row>
    <row r="814" spans="12:12" ht="15.75" customHeight="1" x14ac:dyDescent="0.2">
      <c r="L814" s="13"/>
    </row>
    <row r="815" spans="12:12" ht="15.75" customHeight="1" x14ac:dyDescent="0.2">
      <c r="L815" s="13"/>
    </row>
    <row r="816" spans="12:12" ht="15.75" customHeight="1" x14ac:dyDescent="0.2">
      <c r="L816" s="13"/>
    </row>
    <row r="817" spans="12:12" ht="15.75" customHeight="1" x14ac:dyDescent="0.2">
      <c r="L817" s="13"/>
    </row>
    <row r="818" spans="12:12" ht="15.75" customHeight="1" x14ac:dyDescent="0.2">
      <c r="L818" s="13"/>
    </row>
    <row r="819" spans="12:12" ht="15.75" customHeight="1" x14ac:dyDescent="0.2">
      <c r="L819" s="13"/>
    </row>
    <row r="820" spans="12:12" ht="15.75" customHeight="1" x14ac:dyDescent="0.2">
      <c r="L820" s="13"/>
    </row>
    <row r="821" spans="12:12" ht="15.75" customHeight="1" x14ac:dyDescent="0.2">
      <c r="L821" s="13"/>
    </row>
    <row r="822" spans="12:12" ht="15.75" customHeight="1" x14ac:dyDescent="0.2">
      <c r="L822" s="13"/>
    </row>
    <row r="823" spans="12:12" ht="15.75" customHeight="1" x14ac:dyDescent="0.2">
      <c r="L823" s="13"/>
    </row>
    <row r="824" spans="12:12" ht="15.75" customHeight="1" x14ac:dyDescent="0.2">
      <c r="L824" s="13"/>
    </row>
    <row r="825" spans="12:12" ht="15.75" customHeight="1" x14ac:dyDescent="0.2">
      <c r="L825" s="13"/>
    </row>
    <row r="826" spans="12:12" ht="15.75" customHeight="1" x14ac:dyDescent="0.2">
      <c r="L826" s="13"/>
    </row>
    <row r="827" spans="12:12" ht="15.75" customHeight="1" x14ac:dyDescent="0.2">
      <c r="L827" s="13"/>
    </row>
    <row r="828" spans="12:12" ht="15.75" customHeight="1" x14ac:dyDescent="0.2">
      <c r="L828" s="13"/>
    </row>
    <row r="829" spans="12:12" ht="15.75" customHeight="1" x14ac:dyDescent="0.2">
      <c r="L829" s="13"/>
    </row>
    <row r="830" spans="12:12" ht="15.75" customHeight="1" x14ac:dyDescent="0.2">
      <c r="L830" s="13"/>
    </row>
    <row r="831" spans="12:12" ht="15.75" customHeight="1" x14ac:dyDescent="0.2">
      <c r="L831" s="13"/>
    </row>
    <row r="832" spans="12:12" ht="15.75" customHeight="1" x14ac:dyDescent="0.2">
      <c r="L832" s="13"/>
    </row>
    <row r="833" spans="12:12" ht="15.75" customHeight="1" x14ac:dyDescent="0.2">
      <c r="L833" s="13"/>
    </row>
    <row r="834" spans="12:12" ht="15.75" customHeight="1" x14ac:dyDescent="0.2">
      <c r="L834" s="13"/>
    </row>
    <row r="835" spans="12:12" ht="15.75" customHeight="1" x14ac:dyDescent="0.2">
      <c r="L835" s="13"/>
    </row>
    <row r="836" spans="12:12" ht="15.75" customHeight="1" x14ac:dyDescent="0.2">
      <c r="L836" s="13"/>
    </row>
    <row r="837" spans="12:12" ht="15.75" customHeight="1" x14ac:dyDescent="0.2">
      <c r="L837" s="13"/>
    </row>
    <row r="838" spans="12:12" ht="15.75" customHeight="1" x14ac:dyDescent="0.2">
      <c r="L838" s="13"/>
    </row>
    <row r="839" spans="12:12" ht="15.75" customHeight="1" x14ac:dyDescent="0.2">
      <c r="L839" s="13"/>
    </row>
    <row r="840" spans="12:12" ht="15.75" customHeight="1" x14ac:dyDescent="0.2">
      <c r="L840" s="13"/>
    </row>
    <row r="841" spans="12:12" ht="15.75" customHeight="1" x14ac:dyDescent="0.2">
      <c r="L841" s="13"/>
    </row>
    <row r="842" spans="12:12" ht="15.75" customHeight="1" x14ac:dyDescent="0.2">
      <c r="L842" s="13"/>
    </row>
    <row r="843" spans="12:12" ht="15.75" customHeight="1" x14ac:dyDescent="0.2">
      <c r="L843" s="13"/>
    </row>
    <row r="844" spans="12:12" ht="15.75" customHeight="1" x14ac:dyDescent="0.2">
      <c r="L844" s="13"/>
    </row>
    <row r="845" spans="12:12" ht="15.75" customHeight="1" x14ac:dyDescent="0.2">
      <c r="L845" s="13"/>
    </row>
    <row r="846" spans="12:12" ht="15.75" customHeight="1" x14ac:dyDescent="0.2">
      <c r="L846" s="13"/>
    </row>
    <row r="847" spans="12:12" ht="15.75" customHeight="1" x14ac:dyDescent="0.2">
      <c r="L847" s="13"/>
    </row>
    <row r="848" spans="12:12" ht="15.75" customHeight="1" x14ac:dyDescent="0.2">
      <c r="L848" s="13"/>
    </row>
    <row r="849" spans="12:12" ht="15.75" customHeight="1" x14ac:dyDescent="0.2">
      <c r="L849" s="13"/>
    </row>
    <row r="850" spans="12:12" ht="15.75" customHeight="1" x14ac:dyDescent="0.2">
      <c r="L850" s="13"/>
    </row>
    <row r="851" spans="12:12" ht="15.75" customHeight="1" x14ac:dyDescent="0.2">
      <c r="L851" s="13"/>
    </row>
    <row r="852" spans="12:12" ht="15.75" customHeight="1" x14ac:dyDescent="0.2">
      <c r="L852" s="13"/>
    </row>
    <row r="853" spans="12:12" ht="15.75" customHeight="1" x14ac:dyDescent="0.2">
      <c r="L853" s="13"/>
    </row>
    <row r="854" spans="12:12" ht="15.75" customHeight="1" x14ac:dyDescent="0.2">
      <c r="L854" s="13"/>
    </row>
    <row r="855" spans="12:12" ht="15.75" customHeight="1" x14ac:dyDescent="0.2">
      <c r="L855" s="13"/>
    </row>
    <row r="856" spans="12:12" ht="15.75" customHeight="1" x14ac:dyDescent="0.2">
      <c r="L856" s="13"/>
    </row>
    <row r="857" spans="12:12" ht="15.75" customHeight="1" x14ac:dyDescent="0.2">
      <c r="L857" s="13"/>
    </row>
    <row r="858" spans="12:12" ht="15.75" customHeight="1" x14ac:dyDescent="0.2">
      <c r="L858" s="13"/>
    </row>
    <row r="859" spans="12:12" ht="15.75" customHeight="1" x14ac:dyDescent="0.2">
      <c r="L859" s="13"/>
    </row>
    <row r="860" spans="12:12" ht="15.75" customHeight="1" x14ac:dyDescent="0.2">
      <c r="L860" s="13"/>
    </row>
    <row r="861" spans="12:12" ht="15.75" customHeight="1" x14ac:dyDescent="0.2">
      <c r="L861" s="13"/>
    </row>
    <row r="862" spans="12:12" ht="15.75" customHeight="1" x14ac:dyDescent="0.2">
      <c r="L862" s="13"/>
    </row>
    <row r="863" spans="12:12" ht="15.75" customHeight="1" x14ac:dyDescent="0.2">
      <c r="L863" s="13"/>
    </row>
    <row r="864" spans="12:12" ht="15.75" customHeight="1" x14ac:dyDescent="0.2">
      <c r="L864" s="13"/>
    </row>
    <row r="865" spans="12:12" ht="15.75" customHeight="1" x14ac:dyDescent="0.2">
      <c r="L865" s="13"/>
    </row>
    <row r="866" spans="12:12" ht="15.75" customHeight="1" x14ac:dyDescent="0.2">
      <c r="L866" s="13"/>
    </row>
    <row r="867" spans="12:12" ht="15.75" customHeight="1" x14ac:dyDescent="0.2">
      <c r="L867" s="13"/>
    </row>
    <row r="868" spans="12:12" ht="15.75" customHeight="1" x14ac:dyDescent="0.2">
      <c r="L868" s="13"/>
    </row>
    <row r="869" spans="12:12" ht="15.75" customHeight="1" x14ac:dyDescent="0.2">
      <c r="L869" s="13"/>
    </row>
    <row r="870" spans="12:12" ht="15.75" customHeight="1" x14ac:dyDescent="0.2">
      <c r="L870" s="13"/>
    </row>
    <row r="871" spans="12:12" ht="15.75" customHeight="1" x14ac:dyDescent="0.2">
      <c r="L871" s="13"/>
    </row>
    <row r="872" spans="12:12" ht="15.75" customHeight="1" x14ac:dyDescent="0.2">
      <c r="L872" s="13"/>
    </row>
    <row r="873" spans="12:12" ht="15.75" customHeight="1" x14ac:dyDescent="0.2">
      <c r="L873" s="13"/>
    </row>
    <row r="874" spans="12:12" ht="15.75" customHeight="1" x14ac:dyDescent="0.2">
      <c r="L874" s="13"/>
    </row>
    <row r="875" spans="12:12" ht="15.75" customHeight="1" x14ac:dyDescent="0.2">
      <c r="L875" s="13"/>
    </row>
    <row r="876" spans="12:12" ht="15.75" customHeight="1" x14ac:dyDescent="0.2">
      <c r="L876" s="13"/>
    </row>
    <row r="877" spans="12:12" ht="15.75" customHeight="1" x14ac:dyDescent="0.2">
      <c r="L877" s="13"/>
    </row>
    <row r="878" spans="12:12" ht="15.75" customHeight="1" x14ac:dyDescent="0.2">
      <c r="L878" s="13"/>
    </row>
    <row r="879" spans="12:12" ht="15.75" customHeight="1" x14ac:dyDescent="0.2">
      <c r="L879" s="13"/>
    </row>
    <row r="880" spans="12:12" ht="15.75" customHeight="1" x14ac:dyDescent="0.2">
      <c r="L880" s="13"/>
    </row>
    <row r="881" spans="12:12" ht="15.75" customHeight="1" x14ac:dyDescent="0.2">
      <c r="L881" s="13"/>
    </row>
    <row r="882" spans="12:12" ht="15.75" customHeight="1" x14ac:dyDescent="0.2">
      <c r="L882" s="13"/>
    </row>
    <row r="883" spans="12:12" ht="15.75" customHeight="1" x14ac:dyDescent="0.2">
      <c r="L883" s="13"/>
    </row>
    <row r="884" spans="12:12" ht="15.75" customHeight="1" x14ac:dyDescent="0.2">
      <c r="L884" s="13"/>
    </row>
    <row r="885" spans="12:12" ht="15.75" customHeight="1" x14ac:dyDescent="0.2">
      <c r="L885" s="13"/>
    </row>
    <row r="886" spans="12:12" ht="15.75" customHeight="1" x14ac:dyDescent="0.2">
      <c r="L886" s="13"/>
    </row>
    <row r="887" spans="12:12" ht="15.75" customHeight="1" x14ac:dyDescent="0.2">
      <c r="L887" s="13"/>
    </row>
    <row r="888" spans="12:12" ht="15.75" customHeight="1" x14ac:dyDescent="0.2">
      <c r="L888" s="13"/>
    </row>
    <row r="889" spans="12:12" ht="15.75" customHeight="1" x14ac:dyDescent="0.2">
      <c r="L889" s="13"/>
    </row>
    <row r="890" spans="12:12" ht="15.75" customHeight="1" x14ac:dyDescent="0.2">
      <c r="L890" s="13"/>
    </row>
    <row r="891" spans="12:12" ht="15.75" customHeight="1" x14ac:dyDescent="0.2">
      <c r="L891" s="13"/>
    </row>
    <row r="892" spans="12:12" ht="15.75" customHeight="1" x14ac:dyDescent="0.2">
      <c r="L892" s="13"/>
    </row>
    <row r="893" spans="12:12" ht="15.75" customHeight="1" x14ac:dyDescent="0.2">
      <c r="L893" s="13"/>
    </row>
    <row r="894" spans="12:12" ht="15.75" customHeight="1" x14ac:dyDescent="0.2">
      <c r="L894" s="13"/>
    </row>
    <row r="895" spans="12:12" ht="15.75" customHeight="1" x14ac:dyDescent="0.2">
      <c r="L895" s="13"/>
    </row>
    <row r="896" spans="12:12" ht="15.75" customHeight="1" x14ac:dyDescent="0.2">
      <c r="L896" s="13"/>
    </row>
    <row r="897" spans="12:12" ht="15.75" customHeight="1" x14ac:dyDescent="0.2">
      <c r="L897" s="13"/>
    </row>
    <row r="898" spans="12:12" ht="15.75" customHeight="1" x14ac:dyDescent="0.2">
      <c r="L898" s="13"/>
    </row>
    <row r="899" spans="12:12" ht="15.75" customHeight="1" x14ac:dyDescent="0.2">
      <c r="L899" s="13"/>
    </row>
    <row r="900" spans="12:12" ht="15.75" customHeight="1" x14ac:dyDescent="0.2">
      <c r="L900" s="13"/>
    </row>
    <row r="901" spans="12:12" ht="15.75" customHeight="1" x14ac:dyDescent="0.2">
      <c r="L901" s="13"/>
    </row>
    <row r="902" spans="12:12" ht="15.75" customHeight="1" x14ac:dyDescent="0.2">
      <c r="L902" s="13"/>
    </row>
    <row r="903" spans="12:12" ht="15.75" customHeight="1" x14ac:dyDescent="0.2">
      <c r="L903" s="13"/>
    </row>
    <row r="904" spans="12:12" ht="15.75" customHeight="1" x14ac:dyDescent="0.2">
      <c r="L904" s="13"/>
    </row>
    <row r="905" spans="12:12" ht="15.75" customHeight="1" x14ac:dyDescent="0.2">
      <c r="L905" s="13"/>
    </row>
    <row r="906" spans="12:12" ht="15.75" customHeight="1" x14ac:dyDescent="0.2">
      <c r="L906" s="13"/>
    </row>
    <row r="907" spans="12:12" ht="15.75" customHeight="1" x14ac:dyDescent="0.2">
      <c r="L907" s="13"/>
    </row>
    <row r="908" spans="12:12" ht="15.75" customHeight="1" x14ac:dyDescent="0.2">
      <c r="L908" s="13"/>
    </row>
    <row r="909" spans="12:12" ht="15.75" customHeight="1" x14ac:dyDescent="0.2">
      <c r="L909" s="13"/>
    </row>
    <row r="910" spans="12:12" ht="15.75" customHeight="1" x14ac:dyDescent="0.2">
      <c r="L910" s="13"/>
    </row>
    <row r="911" spans="12:12" ht="15.75" customHeight="1" x14ac:dyDescent="0.2">
      <c r="L911" s="13"/>
    </row>
    <row r="912" spans="12:12" ht="15.75" customHeight="1" x14ac:dyDescent="0.2">
      <c r="L912" s="13"/>
    </row>
    <row r="913" spans="12:12" ht="15.75" customHeight="1" x14ac:dyDescent="0.2">
      <c r="L913" s="13"/>
    </row>
    <row r="914" spans="12:12" ht="15.75" customHeight="1" x14ac:dyDescent="0.2">
      <c r="L914" s="13"/>
    </row>
    <row r="915" spans="12:12" ht="15.75" customHeight="1" x14ac:dyDescent="0.2">
      <c r="L915" s="13"/>
    </row>
    <row r="916" spans="12:12" ht="15.75" customHeight="1" x14ac:dyDescent="0.2">
      <c r="L916" s="13"/>
    </row>
    <row r="917" spans="12:12" ht="15.75" customHeight="1" x14ac:dyDescent="0.2">
      <c r="L917" s="13"/>
    </row>
    <row r="918" spans="12:12" ht="15.75" customHeight="1" x14ac:dyDescent="0.2">
      <c r="L918" s="13"/>
    </row>
    <row r="919" spans="12:12" ht="15.75" customHeight="1" x14ac:dyDescent="0.2">
      <c r="L919" s="13"/>
    </row>
    <row r="920" spans="12:12" ht="15.75" customHeight="1" x14ac:dyDescent="0.2">
      <c r="L920" s="13"/>
    </row>
    <row r="921" spans="12:12" ht="15.75" customHeight="1" x14ac:dyDescent="0.2">
      <c r="L921" s="13"/>
    </row>
    <row r="922" spans="12:12" ht="15.75" customHeight="1" x14ac:dyDescent="0.2">
      <c r="L922" s="13"/>
    </row>
    <row r="923" spans="12:12" ht="15.75" customHeight="1" x14ac:dyDescent="0.2">
      <c r="L923" s="13"/>
    </row>
    <row r="924" spans="12:12" ht="15.75" customHeight="1" x14ac:dyDescent="0.2">
      <c r="L924" s="13"/>
    </row>
    <row r="925" spans="12:12" ht="15.75" customHeight="1" x14ac:dyDescent="0.2">
      <c r="L925" s="13"/>
    </row>
    <row r="926" spans="12:12" ht="15.75" customHeight="1" x14ac:dyDescent="0.2">
      <c r="L926" s="13"/>
    </row>
    <row r="927" spans="12:12" ht="15.75" customHeight="1" x14ac:dyDescent="0.2">
      <c r="L927" s="13"/>
    </row>
    <row r="928" spans="12:12" ht="15.75" customHeight="1" x14ac:dyDescent="0.2">
      <c r="L928" s="13"/>
    </row>
    <row r="929" spans="12:12" ht="15.75" customHeight="1" x14ac:dyDescent="0.2">
      <c r="L929" s="13"/>
    </row>
    <row r="930" spans="12:12" ht="15.75" customHeight="1" x14ac:dyDescent="0.2">
      <c r="L930" s="13"/>
    </row>
    <row r="931" spans="12:12" ht="15.75" customHeight="1" x14ac:dyDescent="0.2">
      <c r="L931" s="13"/>
    </row>
    <row r="932" spans="12:12" ht="15.75" customHeight="1" x14ac:dyDescent="0.2">
      <c r="L932" s="13"/>
    </row>
    <row r="933" spans="12:12" ht="15.75" customHeight="1" x14ac:dyDescent="0.2">
      <c r="L933" s="13"/>
    </row>
    <row r="934" spans="12:12" ht="15.75" customHeight="1" x14ac:dyDescent="0.2">
      <c r="L934" s="13"/>
    </row>
    <row r="935" spans="12:12" ht="15.75" customHeight="1" x14ac:dyDescent="0.2">
      <c r="L935" s="13"/>
    </row>
    <row r="936" spans="12:12" ht="15.75" customHeight="1" x14ac:dyDescent="0.2">
      <c r="L936" s="13"/>
    </row>
    <row r="937" spans="12:12" ht="15.75" customHeight="1" x14ac:dyDescent="0.2">
      <c r="L937" s="13"/>
    </row>
    <row r="938" spans="12:12" ht="15.75" customHeight="1" x14ac:dyDescent="0.2">
      <c r="L938" s="13"/>
    </row>
    <row r="939" spans="12:12" ht="15.75" customHeight="1" x14ac:dyDescent="0.2">
      <c r="L939" s="13"/>
    </row>
    <row r="940" spans="12:12" ht="15.75" customHeight="1" x14ac:dyDescent="0.2">
      <c r="L940" s="13"/>
    </row>
    <row r="941" spans="12:12" ht="15.75" customHeight="1" x14ac:dyDescent="0.2">
      <c r="L941" s="13"/>
    </row>
    <row r="942" spans="12:12" ht="15.75" customHeight="1" x14ac:dyDescent="0.2">
      <c r="L942" s="13"/>
    </row>
    <row r="943" spans="12:12" ht="15.75" customHeight="1" x14ac:dyDescent="0.2">
      <c r="L943" s="13"/>
    </row>
    <row r="944" spans="12:12" ht="15.75" customHeight="1" x14ac:dyDescent="0.2">
      <c r="L944" s="13"/>
    </row>
    <row r="945" spans="12:12" ht="15.75" customHeight="1" x14ac:dyDescent="0.2">
      <c r="L945" s="13"/>
    </row>
    <row r="946" spans="12:12" ht="15.75" customHeight="1" x14ac:dyDescent="0.2">
      <c r="L946" s="13"/>
    </row>
    <row r="947" spans="12:12" ht="15.75" customHeight="1" x14ac:dyDescent="0.2">
      <c r="L947" s="13"/>
    </row>
    <row r="948" spans="12:12" ht="15.75" customHeight="1" x14ac:dyDescent="0.2">
      <c r="L948" s="13"/>
    </row>
    <row r="949" spans="12:12" ht="15.75" customHeight="1" x14ac:dyDescent="0.2">
      <c r="L949" s="13"/>
    </row>
    <row r="950" spans="12:12" ht="15.75" customHeight="1" x14ac:dyDescent="0.2">
      <c r="L950" s="13"/>
    </row>
    <row r="951" spans="12:12" ht="15.75" customHeight="1" x14ac:dyDescent="0.2">
      <c r="L951" s="13"/>
    </row>
    <row r="952" spans="12:12" ht="15.75" customHeight="1" x14ac:dyDescent="0.2">
      <c r="L952" s="13"/>
    </row>
    <row r="953" spans="12:12" ht="15.75" customHeight="1" x14ac:dyDescent="0.2">
      <c r="L953" s="13"/>
    </row>
    <row r="954" spans="12:12" ht="15.75" customHeight="1" x14ac:dyDescent="0.2">
      <c r="L954" s="13"/>
    </row>
    <row r="955" spans="12:12" ht="15.75" customHeight="1" x14ac:dyDescent="0.2">
      <c r="L955" s="13"/>
    </row>
    <row r="956" spans="12:12" ht="15.75" customHeight="1" x14ac:dyDescent="0.2">
      <c r="L956" s="13"/>
    </row>
    <row r="957" spans="12:12" ht="15.75" customHeight="1" x14ac:dyDescent="0.2">
      <c r="L957" s="13"/>
    </row>
    <row r="958" spans="12:12" ht="15.75" customHeight="1" x14ac:dyDescent="0.2">
      <c r="L958" s="13"/>
    </row>
    <row r="959" spans="12:12" ht="15.75" customHeight="1" x14ac:dyDescent="0.2">
      <c r="L959" s="13"/>
    </row>
    <row r="960" spans="12:12" ht="15.75" customHeight="1" x14ac:dyDescent="0.2">
      <c r="L960" s="13"/>
    </row>
    <row r="961" spans="12:12" ht="15.75" customHeight="1" x14ac:dyDescent="0.2">
      <c r="L961" s="13"/>
    </row>
    <row r="962" spans="12:12" ht="15.75" customHeight="1" x14ac:dyDescent="0.2">
      <c r="L962" s="13"/>
    </row>
    <row r="963" spans="12:12" ht="15.75" customHeight="1" x14ac:dyDescent="0.2">
      <c r="L963" s="13"/>
    </row>
    <row r="964" spans="12:12" ht="15.75" customHeight="1" x14ac:dyDescent="0.2">
      <c r="L964" s="13"/>
    </row>
    <row r="965" spans="12:12" ht="15.75" customHeight="1" x14ac:dyDescent="0.2">
      <c r="L965" s="13"/>
    </row>
    <row r="966" spans="12:12" ht="15.75" customHeight="1" x14ac:dyDescent="0.2">
      <c r="L966" s="13"/>
    </row>
    <row r="967" spans="12:12" ht="15.75" customHeight="1" x14ac:dyDescent="0.2">
      <c r="L967" s="13"/>
    </row>
    <row r="968" spans="12:12" ht="15.75" customHeight="1" x14ac:dyDescent="0.2">
      <c r="L968" s="13"/>
    </row>
    <row r="969" spans="12:12" ht="15.75" customHeight="1" x14ac:dyDescent="0.2">
      <c r="L969" s="13"/>
    </row>
    <row r="970" spans="12:12" ht="15.75" customHeight="1" x14ac:dyDescent="0.2">
      <c r="L970" s="13"/>
    </row>
    <row r="971" spans="12:12" ht="15.75" customHeight="1" x14ac:dyDescent="0.2">
      <c r="L971" s="13"/>
    </row>
    <row r="972" spans="12:12" ht="15.75" customHeight="1" x14ac:dyDescent="0.2">
      <c r="L972" s="13"/>
    </row>
    <row r="973" spans="12:12" ht="15.75" customHeight="1" x14ac:dyDescent="0.2">
      <c r="L973" s="13"/>
    </row>
    <row r="974" spans="12:12" ht="15.75" customHeight="1" x14ac:dyDescent="0.2">
      <c r="L974" s="13"/>
    </row>
    <row r="975" spans="12:12" ht="15.75" customHeight="1" x14ac:dyDescent="0.2">
      <c r="L975" s="13"/>
    </row>
    <row r="976" spans="12:12" ht="15.75" customHeight="1" x14ac:dyDescent="0.2">
      <c r="L976" s="13"/>
    </row>
    <row r="977" spans="12:12" ht="15.75" customHeight="1" x14ac:dyDescent="0.2">
      <c r="L977" s="13"/>
    </row>
    <row r="978" spans="12:12" ht="15.75" customHeight="1" x14ac:dyDescent="0.2">
      <c r="L978" s="13"/>
    </row>
    <row r="979" spans="12:12" ht="15.75" customHeight="1" x14ac:dyDescent="0.2">
      <c r="L979" s="13"/>
    </row>
    <row r="980" spans="12:12" ht="15.75" customHeight="1" x14ac:dyDescent="0.2">
      <c r="L980" s="13"/>
    </row>
    <row r="981" spans="12:12" ht="15.75" customHeight="1" x14ac:dyDescent="0.2">
      <c r="L981" s="13"/>
    </row>
    <row r="982" spans="12:12" ht="15.75" customHeight="1" x14ac:dyDescent="0.2">
      <c r="L982" s="13"/>
    </row>
    <row r="983" spans="12:12" ht="15.75" customHeight="1" x14ac:dyDescent="0.2">
      <c r="L983" s="13"/>
    </row>
    <row r="984" spans="12:12" ht="15.75" customHeight="1" x14ac:dyDescent="0.2">
      <c r="L984" s="13"/>
    </row>
    <row r="985" spans="12:12" ht="15.75" customHeight="1" x14ac:dyDescent="0.2">
      <c r="L985" s="13"/>
    </row>
    <row r="986" spans="12:12" ht="15.75" customHeight="1" x14ac:dyDescent="0.2">
      <c r="L986" s="13"/>
    </row>
    <row r="987" spans="12:12" ht="15.75" customHeight="1" x14ac:dyDescent="0.2">
      <c r="L987" s="13"/>
    </row>
    <row r="988" spans="12:12" ht="15.75" customHeight="1" x14ac:dyDescent="0.2">
      <c r="L988" s="13"/>
    </row>
    <row r="989" spans="12:12" ht="15.75" customHeight="1" x14ac:dyDescent="0.2">
      <c r="L989" s="13"/>
    </row>
    <row r="990" spans="12:12" ht="15.75" customHeight="1" x14ac:dyDescent="0.2">
      <c r="L990" s="13"/>
    </row>
    <row r="991" spans="12:12" ht="15.75" customHeight="1" x14ac:dyDescent="0.2">
      <c r="L991" s="13"/>
    </row>
    <row r="992" spans="12:12" ht="15.75" customHeight="1" x14ac:dyDescent="0.2">
      <c r="L992" s="13"/>
    </row>
    <row r="993" spans="12:12" ht="15.75" customHeight="1" x14ac:dyDescent="0.2">
      <c r="L993" s="13"/>
    </row>
    <row r="994" spans="12:12" ht="15.75" customHeight="1" x14ac:dyDescent="0.2">
      <c r="L994" s="13"/>
    </row>
    <row r="995" spans="12:12" ht="15.75" customHeight="1" x14ac:dyDescent="0.2">
      <c r="L995" s="13"/>
    </row>
    <row r="996" spans="12:12" ht="15.75" customHeight="1" x14ac:dyDescent="0.2">
      <c r="L996" s="13"/>
    </row>
    <row r="997" spans="12:12" ht="15.75" customHeight="1" x14ac:dyDescent="0.2">
      <c r="L997" s="13"/>
    </row>
    <row r="998" spans="12:12" ht="15.75" customHeight="1" x14ac:dyDescent="0.2">
      <c r="L998" s="13"/>
    </row>
    <row r="999" spans="12:12" ht="15.75" customHeight="1" x14ac:dyDescent="0.2"/>
    <row r="1000" spans="12:12" ht="15.75" customHeight="1" x14ac:dyDescent="0.2"/>
  </sheetData>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L1003"/>
  <sheetViews>
    <sheetView workbookViewId="0"/>
  </sheetViews>
  <sheetFormatPr baseColWidth="10" defaultColWidth="14.5" defaultRowHeight="15" customHeight="1" x14ac:dyDescent="0.2"/>
  <cols>
    <col min="1" max="26" width="15.5" customWidth="1"/>
  </cols>
  <sheetData>
    <row r="1" spans="1:12" x14ac:dyDescent="0.2">
      <c r="A1" s="1" t="s">
        <v>0</v>
      </c>
      <c r="B1" s="1" t="s">
        <v>1</v>
      </c>
      <c r="C1" s="1" t="s">
        <v>2</v>
      </c>
      <c r="D1" s="1" t="s">
        <v>1670</v>
      </c>
      <c r="E1" s="1" t="s">
        <v>1341</v>
      </c>
      <c r="F1" s="1" t="s">
        <v>1671</v>
      </c>
      <c r="G1" s="1" t="s">
        <v>1672</v>
      </c>
      <c r="H1" s="1" t="s">
        <v>1673</v>
      </c>
      <c r="I1" s="1" t="s">
        <v>1674</v>
      </c>
      <c r="J1" s="1" t="s">
        <v>1675</v>
      </c>
      <c r="K1" s="1" t="s">
        <v>1676</v>
      </c>
      <c r="L1" s="14" t="s">
        <v>1677</v>
      </c>
    </row>
    <row r="2" spans="1:12" x14ac:dyDescent="0.2">
      <c r="A2" s="15" t="s">
        <v>276</v>
      </c>
      <c r="B2" s="15" t="s">
        <v>277</v>
      </c>
      <c r="C2" s="15" t="s">
        <v>278</v>
      </c>
      <c r="D2" s="15" t="s">
        <v>612</v>
      </c>
      <c r="E2" s="15" t="s">
        <v>617</v>
      </c>
      <c r="F2" s="15">
        <v>0</v>
      </c>
      <c r="G2" s="15">
        <v>0</v>
      </c>
      <c r="H2" s="15">
        <v>0</v>
      </c>
      <c r="I2" s="15">
        <v>0</v>
      </c>
      <c r="J2" s="15">
        <v>0</v>
      </c>
      <c r="K2" s="15">
        <v>0</v>
      </c>
      <c r="L2" s="16">
        <f t="shared" ref="L2:L33" si="0">SUM(F2:K2)</f>
        <v>0</v>
      </c>
    </row>
    <row r="3" spans="1:12" x14ac:dyDescent="0.2">
      <c r="A3" s="15" t="s">
        <v>276</v>
      </c>
      <c r="B3" s="15" t="s">
        <v>327</v>
      </c>
      <c r="C3" s="15" t="s">
        <v>328</v>
      </c>
      <c r="D3" s="15" t="s">
        <v>913</v>
      </c>
      <c r="E3" s="15"/>
      <c r="F3" s="15"/>
      <c r="G3" s="15"/>
      <c r="H3" s="15"/>
      <c r="I3" s="15"/>
      <c r="J3" s="15"/>
      <c r="K3" s="15"/>
      <c r="L3" s="16">
        <f t="shared" si="0"/>
        <v>0</v>
      </c>
    </row>
    <row r="4" spans="1:12" x14ac:dyDescent="0.2">
      <c r="A4" s="15" t="s">
        <v>380</v>
      </c>
      <c r="B4" s="15" t="s">
        <v>407</v>
      </c>
      <c r="C4" s="15" t="s">
        <v>408</v>
      </c>
      <c r="D4" s="15" t="s">
        <v>913</v>
      </c>
      <c r="E4" s="15"/>
      <c r="F4" s="15"/>
      <c r="G4" s="15"/>
      <c r="H4" s="15"/>
      <c r="I4" s="15"/>
      <c r="J4" s="15"/>
      <c r="K4" s="15"/>
      <c r="L4" s="16">
        <f t="shared" si="0"/>
        <v>0</v>
      </c>
    </row>
    <row r="5" spans="1:12" x14ac:dyDescent="0.2">
      <c r="A5" s="15" t="s">
        <v>485</v>
      </c>
      <c r="B5" s="15" t="s">
        <v>486</v>
      </c>
      <c r="C5" s="15" t="s">
        <v>487</v>
      </c>
      <c r="D5" s="15" t="s">
        <v>913</v>
      </c>
      <c r="E5" s="15"/>
      <c r="F5" s="15"/>
      <c r="G5" s="15"/>
      <c r="H5" s="15"/>
      <c r="I5" s="15"/>
      <c r="J5" s="15"/>
      <c r="K5" s="15"/>
      <c r="L5" s="16">
        <f t="shared" si="0"/>
        <v>0</v>
      </c>
    </row>
    <row r="6" spans="1:12" x14ac:dyDescent="0.2">
      <c r="A6" s="15" t="s">
        <v>485</v>
      </c>
      <c r="B6" s="15" t="s">
        <v>546</v>
      </c>
      <c r="C6" s="15" t="s">
        <v>547</v>
      </c>
      <c r="D6" s="15" t="s">
        <v>612</v>
      </c>
      <c r="E6" s="15" t="s">
        <v>617</v>
      </c>
      <c r="F6" s="15">
        <v>0</v>
      </c>
      <c r="G6" s="15">
        <v>0</v>
      </c>
      <c r="H6" s="15">
        <v>0</v>
      </c>
      <c r="I6" s="15">
        <v>0</v>
      </c>
      <c r="J6" s="15">
        <v>0</v>
      </c>
      <c r="K6" s="15">
        <v>0</v>
      </c>
      <c r="L6" s="16">
        <f t="shared" si="0"/>
        <v>0</v>
      </c>
    </row>
    <row r="7" spans="1:12" x14ac:dyDescent="0.2">
      <c r="A7" s="5" t="s">
        <v>380</v>
      </c>
      <c r="B7" s="5" t="s">
        <v>399</v>
      </c>
      <c r="C7" s="5" t="s">
        <v>400</v>
      </c>
      <c r="D7" s="5" t="s">
        <v>612</v>
      </c>
      <c r="E7" s="5" t="s">
        <v>617</v>
      </c>
      <c r="F7" s="5">
        <v>0</v>
      </c>
      <c r="G7" s="5">
        <v>8050</v>
      </c>
      <c r="H7" s="5">
        <v>0</v>
      </c>
      <c r="I7" s="5">
        <v>0</v>
      </c>
      <c r="J7" s="5">
        <v>0</v>
      </c>
      <c r="K7" s="5">
        <v>0</v>
      </c>
      <c r="L7" s="14">
        <f t="shared" si="0"/>
        <v>8050</v>
      </c>
    </row>
    <row r="8" spans="1:12" x14ac:dyDescent="0.2">
      <c r="A8" s="5" t="s">
        <v>276</v>
      </c>
      <c r="B8" s="5" t="s">
        <v>288</v>
      </c>
      <c r="C8" s="5" t="s">
        <v>289</v>
      </c>
      <c r="D8" s="5" t="s">
        <v>612</v>
      </c>
      <c r="E8" s="5" t="s">
        <v>617</v>
      </c>
      <c r="F8" s="5">
        <v>0</v>
      </c>
      <c r="G8" s="5">
        <v>0</v>
      </c>
      <c r="H8" s="5">
        <v>0</v>
      </c>
      <c r="I8" s="5">
        <v>18000</v>
      </c>
      <c r="J8" s="5">
        <v>0</v>
      </c>
      <c r="K8" s="5">
        <v>0</v>
      </c>
      <c r="L8" s="14">
        <f t="shared" si="0"/>
        <v>18000</v>
      </c>
    </row>
    <row r="9" spans="1:12" x14ac:dyDescent="0.2">
      <c r="A9" s="5" t="s">
        <v>380</v>
      </c>
      <c r="B9" s="5" t="s">
        <v>390</v>
      </c>
      <c r="C9" s="5" t="s">
        <v>391</v>
      </c>
      <c r="D9" s="5" t="s">
        <v>612</v>
      </c>
      <c r="E9" s="5" t="s">
        <v>617</v>
      </c>
      <c r="F9" s="5">
        <v>0</v>
      </c>
      <c r="G9" s="5">
        <v>0</v>
      </c>
      <c r="H9" s="5">
        <v>0</v>
      </c>
      <c r="I9" s="5">
        <v>18000</v>
      </c>
      <c r="J9" s="5">
        <v>0</v>
      </c>
      <c r="K9" s="5">
        <v>0</v>
      </c>
      <c r="L9" s="14">
        <f t="shared" si="0"/>
        <v>18000</v>
      </c>
    </row>
    <row r="10" spans="1:12" x14ac:dyDescent="0.2">
      <c r="A10" s="5" t="s">
        <v>380</v>
      </c>
      <c r="B10" s="5" t="s">
        <v>390</v>
      </c>
      <c r="C10" s="5" t="s">
        <v>391</v>
      </c>
      <c r="D10" s="5" t="s">
        <v>612</v>
      </c>
      <c r="E10" s="5" t="s">
        <v>617</v>
      </c>
      <c r="F10" s="5">
        <v>0</v>
      </c>
      <c r="G10" s="5">
        <v>0</v>
      </c>
      <c r="H10" s="5">
        <v>0</v>
      </c>
      <c r="I10" s="5">
        <v>18000</v>
      </c>
      <c r="J10" s="5">
        <v>0</v>
      </c>
      <c r="K10" s="5">
        <v>0</v>
      </c>
      <c r="L10" s="14">
        <f t="shared" si="0"/>
        <v>18000</v>
      </c>
    </row>
    <row r="11" spans="1:12" x14ac:dyDescent="0.2">
      <c r="A11" s="5" t="s">
        <v>276</v>
      </c>
      <c r="B11" s="5" t="s">
        <v>337</v>
      </c>
      <c r="C11" s="5" t="s">
        <v>338</v>
      </c>
      <c r="D11" s="5" t="s">
        <v>612</v>
      </c>
      <c r="E11" s="5" t="s">
        <v>617</v>
      </c>
      <c r="F11" s="5">
        <v>10000</v>
      </c>
      <c r="G11" s="5">
        <v>0</v>
      </c>
      <c r="H11" s="5">
        <v>0</v>
      </c>
      <c r="I11" s="5">
        <v>10000</v>
      </c>
      <c r="J11" s="5">
        <v>0</v>
      </c>
      <c r="K11" s="5">
        <v>0</v>
      </c>
      <c r="L11" s="14">
        <f t="shared" si="0"/>
        <v>20000</v>
      </c>
    </row>
    <row r="12" spans="1:12" x14ac:dyDescent="0.2">
      <c r="A12" s="5" t="s">
        <v>276</v>
      </c>
      <c r="B12" s="5" t="s">
        <v>372</v>
      </c>
      <c r="C12" s="5" t="s">
        <v>373</v>
      </c>
      <c r="D12" s="5" t="s">
        <v>612</v>
      </c>
      <c r="E12" s="5" t="s">
        <v>617</v>
      </c>
      <c r="F12" s="5">
        <v>0</v>
      </c>
      <c r="G12" s="5">
        <v>0</v>
      </c>
      <c r="H12" s="5">
        <v>0</v>
      </c>
      <c r="I12" s="5">
        <v>21000</v>
      </c>
      <c r="J12" s="5">
        <v>0</v>
      </c>
      <c r="K12" s="5">
        <v>0</v>
      </c>
      <c r="L12" s="14">
        <f t="shared" si="0"/>
        <v>21000</v>
      </c>
    </row>
    <row r="13" spans="1:12" x14ac:dyDescent="0.2">
      <c r="A13" s="5" t="s">
        <v>276</v>
      </c>
      <c r="B13" s="5" t="s">
        <v>296</v>
      </c>
      <c r="C13" s="5" t="s">
        <v>297</v>
      </c>
      <c r="D13" s="5" t="s">
        <v>612</v>
      </c>
      <c r="E13" s="5" t="s">
        <v>617</v>
      </c>
      <c r="F13" s="5">
        <v>0</v>
      </c>
      <c r="G13" s="5">
        <v>0</v>
      </c>
      <c r="H13" s="5">
        <v>0</v>
      </c>
      <c r="I13" s="5">
        <v>27000</v>
      </c>
      <c r="J13" s="5">
        <v>0</v>
      </c>
      <c r="K13" s="5">
        <v>0</v>
      </c>
      <c r="L13" s="14">
        <f t="shared" si="0"/>
        <v>27000</v>
      </c>
    </row>
    <row r="14" spans="1:12" x14ac:dyDescent="0.2">
      <c r="A14" s="5" t="s">
        <v>70</v>
      </c>
      <c r="B14" s="5" t="s">
        <v>123</v>
      </c>
      <c r="C14" s="5" t="s">
        <v>124</v>
      </c>
      <c r="D14" s="5" t="s">
        <v>612</v>
      </c>
      <c r="E14" s="5" t="s">
        <v>617</v>
      </c>
      <c r="F14" s="5">
        <v>0</v>
      </c>
      <c r="G14" s="5">
        <v>0</v>
      </c>
      <c r="H14" s="5">
        <v>0</v>
      </c>
      <c r="I14" s="5">
        <v>0</v>
      </c>
      <c r="J14" s="5">
        <v>0</v>
      </c>
      <c r="K14" s="5">
        <v>48000</v>
      </c>
      <c r="L14" s="14">
        <f t="shared" si="0"/>
        <v>48000</v>
      </c>
    </row>
    <row r="15" spans="1:12" x14ac:dyDescent="0.2">
      <c r="A15" s="5" t="s">
        <v>276</v>
      </c>
      <c r="B15" s="5" t="s">
        <v>305</v>
      </c>
      <c r="C15" s="5" t="s">
        <v>306</v>
      </c>
      <c r="D15" s="5" t="s">
        <v>612</v>
      </c>
      <c r="E15" s="5" t="s">
        <v>617</v>
      </c>
      <c r="F15" s="5">
        <v>0</v>
      </c>
      <c r="G15" s="5">
        <v>0</v>
      </c>
      <c r="H15" s="5">
        <v>0</v>
      </c>
      <c r="I15" s="5">
        <v>50000</v>
      </c>
      <c r="J15" s="5">
        <v>0</v>
      </c>
      <c r="K15" s="5">
        <v>0</v>
      </c>
      <c r="L15" s="14">
        <f t="shared" si="0"/>
        <v>50000</v>
      </c>
    </row>
    <row r="16" spans="1:12" x14ac:dyDescent="0.2">
      <c r="A16" s="5" t="s">
        <v>276</v>
      </c>
      <c r="B16" s="5" t="s">
        <v>346</v>
      </c>
      <c r="C16" s="5" t="s">
        <v>347</v>
      </c>
      <c r="D16" s="5" t="s">
        <v>612</v>
      </c>
      <c r="E16" s="5" t="s">
        <v>617</v>
      </c>
      <c r="F16" s="5">
        <v>28000</v>
      </c>
      <c r="G16" s="5">
        <v>0</v>
      </c>
      <c r="H16" s="5">
        <v>25000</v>
      </c>
      <c r="I16" s="5">
        <v>0</v>
      </c>
      <c r="J16" s="5">
        <v>0</v>
      </c>
      <c r="K16" s="5">
        <v>0</v>
      </c>
      <c r="L16" s="14">
        <f t="shared" si="0"/>
        <v>53000</v>
      </c>
    </row>
    <row r="17" spans="1:12" x14ac:dyDescent="0.2">
      <c r="A17" s="5" t="s">
        <v>70</v>
      </c>
      <c r="B17" s="5" t="s">
        <v>268</v>
      </c>
      <c r="C17" s="5" t="s">
        <v>269</v>
      </c>
      <c r="D17" s="5" t="s">
        <v>612</v>
      </c>
      <c r="E17" s="5" t="s">
        <v>617</v>
      </c>
      <c r="F17" s="5">
        <v>0</v>
      </c>
      <c r="G17" s="5">
        <v>51083</v>
      </c>
      <c r="H17" s="5">
        <v>0</v>
      </c>
      <c r="I17" s="5">
        <v>0</v>
      </c>
      <c r="J17" s="5">
        <v>0</v>
      </c>
      <c r="K17" s="5">
        <v>8600</v>
      </c>
      <c r="L17" s="14">
        <f t="shared" si="0"/>
        <v>59683</v>
      </c>
    </row>
    <row r="18" spans="1:12" x14ac:dyDescent="0.2">
      <c r="A18" s="5" t="s">
        <v>426</v>
      </c>
      <c r="B18" s="5" t="s">
        <v>460</v>
      </c>
      <c r="C18" s="5" t="s">
        <v>461</v>
      </c>
      <c r="D18" s="5" t="s">
        <v>612</v>
      </c>
      <c r="E18" s="5" t="s">
        <v>617</v>
      </c>
      <c r="F18" s="5">
        <v>0</v>
      </c>
      <c r="G18" s="5">
        <v>0</v>
      </c>
      <c r="H18" s="5">
        <v>0</v>
      </c>
      <c r="I18" s="5">
        <v>60000</v>
      </c>
      <c r="J18" s="5">
        <v>0</v>
      </c>
      <c r="K18" s="5">
        <v>0</v>
      </c>
      <c r="L18" s="14">
        <f t="shared" si="0"/>
        <v>60000</v>
      </c>
    </row>
    <row r="19" spans="1:12" x14ac:dyDescent="0.2">
      <c r="A19" s="5" t="s">
        <v>426</v>
      </c>
      <c r="B19" s="5" t="s">
        <v>452</v>
      </c>
      <c r="C19" s="5" t="s">
        <v>453</v>
      </c>
      <c r="D19" s="5" t="s">
        <v>612</v>
      </c>
      <c r="E19" s="5" t="s">
        <v>617</v>
      </c>
      <c r="F19" s="5">
        <v>0</v>
      </c>
      <c r="G19" s="5">
        <v>12300</v>
      </c>
      <c r="H19" s="5">
        <v>0</v>
      </c>
      <c r="I19" s="5">
        <v>51024</v>
      </c>
      <c r="J19" s="5">
        <v>0</v>
      </c>
      <c r="K19" s="5">
        <v>0</v>
      </c>
      <c r="L19" s="14">
        <f t="shared" si="0"/>
        <v>63324</v>
      </c>
    </row>
    <row r="20" spans="1:12" x14ac:dyDescent="0.2">
      <c r="A20" s="5" t="s">
        <v>70</v>
      </c>
      <c r="B20" s="5" t="s">
        <v>247</v>
      </c>
      <c r="C20" s="5" t="s">
        <v>248</v>
      </c>
      <c r="D20" s="5" t="s">
        <v>612</v>
      </c>
      <c r="E20" s="5" t="s">
        <v>617</v>
      </c>
      <c r="F20" s="5">
        <v>0</v>
      </c>
      <c r="G20" s="5">
        <v>0</v>
      </c>
      <c r="H20" s="5">
        <v>0</v>
      </c>
      <c r="I20" s="5">
        <v>78000</v>
      </c>
      <c r="J20" s="5">
        <v>0</v>
      </c>
      <c r="K20" s="5">
        <v>0</v>
      </c>
      <c r="L20" s="14">
        <f t="shared" si="0"/>
        <v>78000</v>
      </c>
    </row>
    <row r="21" spans="1:12" x14ac:dyDescent="0.2">
      <c r="A21" s="5" t="s">
        <v>380</v>
      </c>
      <c r="B21" s="5" t="s">
        <v>417</v>
      </c>
      <c r="C21" s="5" t="s">
        <v>418</v>
      </c>
      <c r="D21" s="5" t="s">
        <v>612</v>
      </c>
      <c r="E21" s="5" t="s">
        <v>617</v>
      </c>
      <c r="F21" s="5">
        <v>63876</v>
      </c>
      <c r="G21" s="5">
        <v>0</v>
      </c>
      <c r="H21" s="5">
        <v>0</v>
      </c>
      <c r="I21" s="5">
        <v>24000</v>
      </c>
      <c r="J21" s="5">
        <v>0</v>
      </c>
      <c r="K21" s="5">
        <v>0</v>
      </c>
      <c r="L21" s="14">
        <f t="shared" si="0"/>
        <v>87876</v>
      </c>
    </row>
    <row r="22" spans="1:12" x14ac:dyDescent="0.2">
      <c r="A22" s="5" t="s">
        <v>26</v>
      </c>
      <c r="B22" s="5" t="s">
        <v>61</v>
      </c>
      <c r="C22" s="5" t="s">
        <v>62</v>
      </c>
      <c r="D22" s="5" t="s">
        <v>612</v>
      </c>
      <c r="E22" s="5" t="s">
        <v>617</v>
      </c>
      <c r="F22" s="5">
        <v>0</v>
      </c>
      <c r="G22" s="5">
        <v>102026</v>
      </c>
      <c r="H22" s="5">
        <v>0</v>
      </c>
      <c r="I22" s="5">
        <v>8761</v>
      </c>
      <c r="J22" s="5">
        <v>0</v>
      </c>
      <c r="K22" s="5">
        <v>0</v>
      </c>
      <c r="L22" s="14">
        <f t="shared" si="0"/>
        <v>110787</v>
      </c>
    </row>
    <row r="23" spans="1:12" x14ac:dyDescent="0.2">
      <c r="A23" s="5" t="s">
        <v>70</v>
      </c>
      <c r="B23" s="5" t="s">
        <v>200</v>
      </c>
      <c r="C23" s="5" t="s">
        <v>201</v>
      </c>
      <c r="D23" s="5" t="s">
        <v>612</v>
      </c>
      <c r="E23" s="5" t="s">
        <v>617</v>
      </c>
      <c r="F23" s="5">
        <v>72711</v>
      </c>
      <c r="G23" s="5">
        <v>0</v>
      </c>
      <c r="H23" s="5">
        <v>0</v>
      </c>
      <c r="I23" s="5">
        <v>50301</v>
      </c>
      <c r="J23" s="5">
        <v>0</v>
      </c>
      <c r="K23" s="5">
        <v>0</v>
      </c>
      <c r="L23" s="14">
        <f t="shared" si="0"/>
        <v>123012</v>
      </c>
    </row>
    <row r="24" spans="1:12" x14ac:dyDescent="0.2">
      <c r="A24" s="5" t="s">
        <v>426</v>
      </c>
      <c r="B24" s="5" t="s">
        <v>435</v>
      </c>
      <c r="C24" s="5" t="s">
        <v>436</v>
      </c>
      <c r="D24" s="5" t="s">
        <v>612</v>
      </c>
      <c r="E24" s="5" t="s">
        <v>617</v>
      </c>
      <c r="F24" s="5">
        <v>0</v>
      </c>
      <c r="G24" s="5">
        <v>0</v>
      </c>
      <c r="H24" s="5">
        <v>1664</v>
      </c>
      <c r="I24" s="5">
        <v>0</v>
      </c>
      <c r="J24" s="5">
        <v>100344</v>
      </c>
      <c r="K24" s="5">
        <v>21600</v>
      </c>
      <c r="L24" s="14">
        <f t="shared" si="0"/>
        <v>123608</v>
      </c>
    </row>
    <row r="25" spans="1:12" x14ac:dyDescent="0.2">
      <c r="A25" s="5" t="s">
        <v>426</v>
      </c>
      <c r="B25" s="5" t="s">
        <v>435</v>
      </c>
      <c r="C25" s="5" t="s">
        <v>436</v>
      </c>
      <c r="D25" s="5" t="s">
        <v>612</v>
      </c>
      <c r="E25" s="5" t="s">
        <v>617</v>
      </c>
      <c r="F25" s="5">
        <v>0</v>
      </c>
      <c r="G25" s="5">
        <v>0</v>
      </c>
      <c r="H25" s="5">
        <v>1664</v>
      </c>
      <c r="I25" s="5">
        <v>0</v>
      </c>
      <c r="J25" s="5">
        <v>100344</v>
      </c>
      <c r="K25" s="5">
        <v>21600</v>
      </c>
      <c r="L25" s="14">
        <f t="shared" si="0"/>
        <v>123608</v>
      </c>
    </row>
    <row r="26" spans="1:12" x14ac:dyDescent="0.2">
      <c r="A26" s="5" t="s">
        <v>426</v>
      </c>
      <c r="B26" s="5" t="s">
        <v>476</v>
      </c>
      <c r="C26" s="5" t="s">
        <v>477</v>
      </c>
      <c r="D26" s="5" t="s">
        <v>612</v>
      </c>
      <c r="E26" s="5" t="s">
        <v>617</v>
      </c>
      <c r="F26" s="5">
        <v>146880</v>
      </c>
      <c r="G26" s="5">
        <v>0</v>
      </c>
      <c r="H26" s="5">
        <v>0</v>
      </c>
      <c r="I26" s="5">
        <v>0</v>
      </c>
      <c r="J26" s="5">
        <v>0</v>
      </c>
      <c r="K26" s="5">
        <v>0</v>
      </c>
      <c r="L26" s="14">
        <f t="shared" si="0"/>
        <v>146880</v>
      </c>
    </row>
    <row r="27" spans="1:12" x14ac:dyDescent="0.2">
      <c r="A27" s="5" t="s">
        <v>426</v>
      </c>
      <c r="B27" s="5" t="s">
        <v>476</v>
      </c>
      <c r="C27" s="5" t="s">
        <v>477</v>
      </c>
      <c r="D27" s="5" t="s">
        <v>612</v>
      </c>
      <c r="E27" s="5" t="s">
        <v>617</v>
      </c>
      <c r="F27" s="5">
        <v>146880</v>
      </c>
      <c r="G27" s="5">
        <v>0</v>
      </c>
      <c r="H27" s="5">
        <v>0</v>
      </c>
      <c r="I27" s="5">
        <v>0</v>
      </c>
      <c r="J27" s="5">
        <v>0</v>
      </c>
      <c r="K27" s="5">
        <v>0</v>
      </c>
      <c r="L27" s="14">
        <f t="shared" si="0"/>
        <v>146880</v>
      </c>
    </row>
    <row r="28" spans="1:12" x14ac:dyDescent="0.2">
      <c r="A28" s="5" t="s">
        <v>485</v>
      </c>
      <c r="B28" s="5" t="s">
        <v>527</v>
      </c>
      <c r="C28" s="5" t="s">
        <v>528</v>
      </c>
      <c r="D28" s="5" t="s">
        <v>612</v>
      </c>
      <c r="E28" s="5" t="s">
        <v>617</v>
      </c>
      <c r="F28" s="5">
        <v>155267.66</v>
      </c>
      <c r="G28" s="5">
        <v>0</v>
      </c>
      <c r="H28" s="5">
        <v>0</v>
      </c>
      <c r="I28" s="5">
        <v>0</v>
      </c>
      <c r="J28" s="5">
        <v>0</v>
      </c>
      <c r="K28" s="5">
        <v>0</v>
      </c>
      <c r="L28" s="14">
        <f t="shared" si="0"/>
        <v>155267.66</v>
      </c>
    </row>
    <row r="29" spans="1:12" x14ac:dyDescent="0.2">
      <c r="A29" s="5" t="s">
        <v>70</v>
      </c>
      <c r="B29" s="5" t="s">
        <v>93</v>
      </c>
      <c r="C29" s="5" t="s">
        <v>94</v>
      </c>
      <c r="D29" s="5" t="s">
        <v>612</v>
      </c>
      <c r="E29" s="5" t="s">
        <v>617</v>
      </c>
      <c r="F29" s="5">
        <v>115212</v>
      </c>
      <c r="G29" s="5">
        <v>0</v>
      </c>
      <c r="H29" s="5">
        <v>29414</v>
      </c>
      <c r="I29" s="5">
        <v>0</v>
      </c>
      <c r="J29" s="5">
        <v>30000</v>
      </c>
      <c r="K29" s="5">
        <v>0</v>
      </c>
      <c r="L29" s="14">
        <f t="shared" si="0"/>
        <v>174626</v>
      </c>
    </row>
    <row r="30" spans="1:12" x14ac:dyDescent="0.2">
      <c r="A30" s="5" t="s">
        <v>426</v>
      </c>
      <c r="B30" s="5" t="s">
        <v>468</v>
      </c>
      <c r="C30" s="5" t="s">
        <v>469</v>
      </c>
      <c r="D30" s="5" t="s">
        <v>612</v>
      </c>
      <c r="E30" s="5" t="s">
        <v>617</v>
      </c>
      <c r="F30" s="5">
        <v>0</v>
      </c>
      <c r="G30" s="5">
        <v>0</v>
      </c>
      <c r="H30" s="5">
        <v>9000</v>
      </c>
      <c r="I30" s="5">
        <v>0</v>
      </c>
      <c r="J30" s="5">
        <v>0</v>
      </c>
      <c r="K30" s="5">
        <v>168000</v>
      </c>
      <c r="L30" s="14">
        <f t="shared" si="0"/>
        <v>177000</v>
      </c>
    </row>
    <row r="31" spans="1:12" x14ac:dyDescent="0.2">
      <c r="A31" s="5" t="s">
        <v>426</v>
      </c>
      <c r="B31" s="5" t="s">
        <v>427</v>
      </c>
      <c r="C31" s="5" t="s">
        <v>428</v>
      </c>
      <c r="D31" s="5" t="s">
        <v>612</v>
      </c>
      <c r="E31" s="5" t="s">
        <v>617</v>
      </c>
      <c r="F31" s="5">
        <v>0</v>
      </c>
      <c r="G31" s="5">
        <v>181000</v>
      </c>
      <c r="H31" s="5">
        <v>0</v>
      </c>
      <c r="I31" s="5">
        <v>0</v>
      </c>
      <c r="J31" s="5">
        <v>0</v>
      </c>
      <c r="K31" s="5">
        <v>0</v>
      </c>
      <c r="L31" s="14">
        <f t="shared" si="0"/>
        <v>181000</v>
      </c>
    </row>
    <row r="32" spans="1:12" x14ac:dyDescent="0.2">
      <c r="A32" s="5" t="s">
        <v>485</v>
      </c>
      <c r="B32" s="5" t="s">
        <v>511</v>
      </c>
      <c r="C32" s="5" t="s">
        <v>512</v>
      </c>
      <c r="D32" s="5" t="s">
        <v>612</v>
      </c>
      <c r="E32" s="5" t="s">
        <v>617</v>
      </c>
      <c r="F32" s="5">
        <v>187200</v>
      </c>
      <c r="G32" s="5">
        <v>0</v>
      </c>
      <c r="H32" s="5">
        <v>0</v>
      </c>
      <c r="I32" s="5">
        <v>0</v>
      </c>
      <c r="J32" s="5">
        <v>0</v>
      </c>
      <c r="K32" s="5">
        <v>0</v>
      </c>
      <c r="L32" s="14">
        <f t="shared" si="0"/>
        <v>187200</v>
      </c>
    </row>
    <row r="33" spans="1:12" x14ac:dyDescent="0.2">
      <c r="A33" s="5" t="s">
        <v>485</v>
      </c>
      <c r="B33" s="5" t="s">
        <v>503</v>
      </c>
      <c r="C33" s="5" t="s">
        <v>504</v>
      </c>
      <c r="D33" s="5" t="s">
        <v>612</v>
      </c>
      <c r="E33" s="5" t="s">
        <v>617</v>
      </c>
      <c r="F33" s="5">
        <v>127566.24</v>
      </c>
      <c r="G33" s="5">
        <v>0</v>
      </c>
      <c r="H33" s="5">
        <v>0</v>
      </c>
      <c r="I33" s="5">
        <v>57136</v>
      </c>
      <c r="J33" s="5">
        <v>0</v>
      </c>
      <c r="K33" s="5">
        <v>12000</v>
      </c>
      <c r="L33" s="14">
        <f t="shared" si="0"/>
        <v>196702.24</v>
      </c>
    </row>
    <row r="34" spans="1:12" x14ac:dyDescent="0.2">
      <c r="A34" s="5" t="s">
        <v>26</v>
      </c>
      <c r="B34" s="5" t="s">
        <v>27</v>
      </c>
      <c r="C34" s="5" t="s">
        <v>28</v>
      </c>
      <c r="D34" s="5" t="s">
        <v>612</v>
      </c>
      <c r="E34" s="5" t="s">
        <v>617</v>
      </c>
      <c r="F34" s="5">
        <v>63098</v>
      </c>
      <c r="G34" s="5">
        <v>5418</v>
      </c>
      <c r="H34" s="5">
        <v>4000</v>
      </c>
      <c r="I34" s="5">
        <v>144929</v>
      </c>
      <c r="J34" s="5">
        <v>0</v>
      </c>
      <c r="K34" s="5">
        <v>0</v>
      </c>
      <c r="L34" s="14">
        <f t="shared" ref="L34:L65" si="1">SUM(F34:K34)</f>
        <v>217445</v>
      </c>
    </row>
    <row r="35" spans="1:12" x14ac:dyDescent="0.2">
      <c r="A35" s="5" t="s">
        <v>70</v>
      </c>
      <c r="B35" s="5" t="s">
        <v>193</v>
      </c>
      <c r="C35" s="5" t="s">
        <v>194</v>
      </c>
      <c r="D35" s="5" t="s">
        <v>612</v>
      </c>
      <c r="E35" s="5" t="s">
        <v>617</v>
      </c>
      <c r="F35" s="5">
        <v>220688</v>
      </c>
      <c r="G35" s="5">
        <v>0</v>
      </c>
      <c r="H35" s="5">
        <v>0</v>
      </c>
      <c r="I35" s="5">
        <v>0</v>
      </c>
      <c r="J35" s="5">
        <v>0</v>
      </c>
      <c r="K35" s="5">
        <v>0</v>
      </c>
      <c r="L35" s="14">
        <f t="shared" si="1"/>
        <v>220688</v>
      </c>
    </row>
    <row r="36" spans="1:12" x14ac:dyDescent="0.2">
      <c r="A36" s="5" t="s">
        <v>70</v>
      </c>
      <c r="B36" s="5" t="s">
        <v>229</v>
      </c>
      <c r="C36" s="5" t="s">
        <v>230</v>
      </c>
      <c r="D36" s="5" t="s">
        <v>612</v>
      </c>
      <c r="E36" s="5" t="s">
        <v>617</v>
      </c>
      <c r="F36" s="5">
        <v>0</v>
      </c>
      <c r="G36" s="5">
        <v>0</v>
      </c>
      <c r="H36" s="5">
        <v>0</v>
      </c>
      <c r="I36" s="5">
        <v>174020</v>
      </c>
      <c r="J36" s="5">
        <v>0</v>
      </c>
      <c r="K36" s="5">
        <v>57266</v>
      </c>
      <c r="L36" s="14">
        <f t="shared" si="1"/>
        <v>231286</v>
      </c>
    </row>
    <row r="37" spans="1:12" x14ac:dyDescent="0.2">
      <c r="A37" s="5" t="s">
        <v>485</v>
      </c>
      <c r="B37" s="5" t="s">
        <v>494</v>
      </c>
      <c r="C37" s="5" t="s">
        <v>495</v>
      </c>
      <c r="D37" s="5" t="s">
        <v>612</v>
      </c>
      <c r="E37" s="5" t="s">
        <v>617</v>
      </c>
      <c r="F37" s="5">
        <v>85628</v>
      </c>
      <c r="G37" s="5">
        <v>23097</v>
      </c>
      <c r="H37" s="5">
        <v>39000</v>
      </c>
      <c r="I37" s="5">
        <v>76317</v>
      </c>
      <c r="J37" s="5">
        <v>9100</v>
      </c>
      <c r="K37" s="5">
        <v>0</v>
      </c>
      <c r="L37" s="14">
        <f t="shared" si="1"/>
        <v>233142</v>
      </c>
    </row>
    <row r="38" spans="1:12" x14ac:dyDescent="0.2">
      <c r="A38" s="5" t="s">
        <v>70</v>
      </c>
      <c r="B38" s="5" t="s">
        <v>238</v>
      </c>
      <c r="C38" s="5" t="s">
        <v>239</v>
      </c>
      <c r="D38" s="5" t="s">
        <v>612</v>
      </c>
      <c r="E38" s="5" t="s">
        <v>617</v>
      </c>
      <c r="F38" s="5">
        <v>164286</v>
      </c>
      <c r="G38" s="5">
        <v>0</v>
      </c>
      <c r="H38" s="5">
        <v>0</v>
      </c>
      <c r="I38" s="5">
        <v>0</v>
      </c>
      <c r="J38" s="5">
        <v>0</v>
      </c>
      <c r="K38" s="5">
        <v>73596</v>
      </c>
      <c r="L38" s="14">
        <f t="shared" si="1"/>
        <v>237882</v>
      </c>
    </row>
    <row r="39" spans="1:12" x14ac:dyDescent="0.2">
      <c r="A39" s="5" t="s">
        <v>485</v>
      </c>
      <c r="B39" s="5" t="s">
        <v>537</v>
      </c>
      <c r="C39" s="5" t="s">
        <v>538</v>
      </c>
      <c r="D39" s="5" t="s">
        <v>612</v>
      </c>
      <c r="E39" s="5" t="s">
        <v>617</v>
      </c>
      <c r="F39" s="5">
        <v>187200</v>
      </c>
      <c r="G39" s="5">
        <v>0</v>
      </c>
      <c r="H39" s="5">
        <v>0</v>
      </c>
      <c r="I39" s="5">
        <v>0</v>
      </c>
      <c r="J39" s="5">
        <v>50728.72</v>
      </c>
      <c r="K39" s="5">
        <v>0</v>
      </c>
      <c r="L39" s="14">
        <f t="shared" si="1"/>
        <v>237928.72</v>
      </c>
    </row>
    <row r="40" spans="1:12" x14ac:dyDescent="0.2">
      <c r="A40" s="5" t="s">
        <v>380</v>
      </c>
      <c r="B40" s="5" t="s">
        <v>381</v>
      </c>
      <c r="C40" s="5" t="s">
        <v>382</v>
      </c>
      <c r="D40" s="5" t="s">
        <v>612</v>
      </c>
      <c r="E40" s="5" t="s">
        <v>617</v>
      </c>
      <c r="F40" s="5">
        <v>210168.29</v>
      </c>
      <c r="G40" s="5">
        <v>0</v>
      </c>
      <c r="H40" s="5">
        <v>0</v>
      </c>
      <c r="I40" s="5">
        <v>0</v>
      </c>
      <c r="J40" s="5">
        <v>36936</v>
      </c>
      <c r="K40" s="5">
        <v>0</v>
      </c>
      <c r="L40" s="14">
        <f t="shared" si="1"/>
        <v>247104.29</v>
      </c>
    </row>
    <row r="41" spans="1:12" x14ac:dyDescent="0.2">
      <c r="A41" s="5" t="s">
        <v>70</v>
      </c>
      <c r="B41" s="5" t="s">
        <v>154</v>
      </c>
      <c r="C41" s="5" t="s">
        <v>155</v>
      </c>
      <c r="D41" s="5" t="s">
        <v>612</v>
      </c>
      <c r="E41" s="5" t="s">
        <v>617</v>
      </c>
      <c r="F41" s="5">
        <v>221208</v>
      </c>
      <c r="G41" s="5">
        <v>0</v>
      </c>
      <c r="H41" s="5">
        <v>0</v>
      </c>
      <c r="I41" s="5">
        <v>35500</v>
      </c>
      <c r="J41" s="5">
        <v>0</v>
      </c>
      <c r="K41" s="5">
        <v>0</v>
      </c>
      <c r="L41" s="14">
        <f t="shared" si="1"/>
        <v>256708</v>
      </c>
    </row>
    <row r="42" spans="1:12" x14ac:dyDescent="0.2">
      <c r="A42" s="5" t="s">
        <v>70</v>
      </c>
      <c r="B42" s="5" t="s">
        <v>112</v>
      </c>
      <c r="C42" s="5" t="s">
        <v>113</v>
      </c>
      <c r="D42" s="5" t="s">
        <v>612</v>
      </c>
      <c r="E42" s="5" t="s">
        <v>617</v>
      </c>
      <c r="F42" s="5">
        <v>336950</v>
      </c>
      <c r="G42" s="5">
        <v>0</v>
      </c>
      <c r="H42" s="5">
        <v>0</v>
      </c>
      <c r="I42" s="5">
        <v>0</v>
      </c>
      <c r="J42" s="5">
        <v>0</v>
      </c>
      <c r="K42" s="5">
        <v>0</v>
      </c>
      <c r="L42" s="14">
        <f t="shared" si="1"/>
        <v>336950</v>
      </c>
    </row>
    <row r="43" spans="1:12" x14ac:dyDescent="0.2">
      <c r="A43" s="5" t="s">
        <v>70</v>
      </c>
      <c r="B43" s="5" t="s">
        <v>184</v>
      </c>
      <c r="C43" s="5" t="s">
        <v>185</v>
      </c>
      <c r="D43" s="5" t="s">
        <v>612</v>
      </c>
      <c r="E43" s="5" t="s">
        <v>617</v>
      </c>
      <c r="F43" s="5">
        <v>153157.32</v>
      </c>
      <c r="G43" s="5">
        <v>9700</v>
      </c>
      <c r="H43" s="5">
        <v>0</v>
      </c>
      <c r="I43" s="5">
        <v>700</v>
      </c>
      <c r="J43" s="5">
        <v>182766.24</v>
      </c>
      <c r="K43" s="5">
        <v>0</v>
      </c>
      <c r="L43" s="14">
        <f t="shared" si="1"/>
        <v>346323.56</v>
      </c>
    </row>
    <row r="44" spans="1:12" x14ac:dyDescent="0.2">
      <c r="A44" s="5" t="s">
        <v>26</v>
      </c>
      <c r="B44" s="5" t="s">
        <v>40</v>
      </c>
      <c r="C44" s="5" t="s">
        <v>41</v>
      </c>
      <c r="D44" s="5" t="s">
        <v>612</v>
      </c>
      <c r="E44" s="5" t="s">
        <v>617</v>
      </c>
      <c r="F44" s="5">
        <v>350000</v>
      </c>
      <c r="G44" s="5">
        <v>0</v>
      </c>
      <c r="H44" s="5">
        <v>0</v>
      </c>
      <c r="I44" s="5">
        <v>0</v>
      </c>
      <c r="J44" s="5">
        <v>0</v>
      </c>
      <c r="K44" s="5">
        <v>0</v>
      </c>
      <c r="L44" s="14">
        <f t="shared" si="1"/>
        <v>350000</v>
      </c>
    </row>
    <row r="45" spans="1:12" x14ac:dyDescent="0.2">
      <c r="A45" s="5" t="s">
        <v>26</v>
      </c>
      <c r="B45" s="5" t="s">
        <v>40</v>
      </c>
      <c r="C45" s="5" t="s">
        <v>41</v>
      </c>
      <c r="D45" s="5" t="s">
        <v>612</v>
      </c>
      <c r="E45" s="5" t="s">
        <v>617</v>
      </c>
      <c r="F45" s="5">
        <v>350000</v>
      </c>
      <c r="G45" s="5">
        <v>0</v>
      </c>
      <c r="H45" s="5">
        <v>0</v>
      </c>
      <c r="I45" s="5">
        <v>0</v>
      </c>
      <c r="J45" s="5">
        <v>0</v>
      </c>
      <c r="K45" s="5">
        <v>0</v>
      </c>
      <c r="L45" s="14">
        <f t="shared" si="1"/>
        <v>350000</v>
      </c>
    </row>
    <row r="46" spans="1:12" x14ac:dyDescent="0.2">
      <c r="A46" s="5" t="s">
        <v>426</v>
      </c>
      <c r="B46" s="5" t="s">
        <v>444</v>
      </c>
      <c r="C46" s="5" t="s">
        <v>445</v>
      </c>
      <c r="D46" s="5" t="s">
        <v>612</v>
      </c>
      <c r="E46" s="5" t="s">
        <v>617</v>
      </c>
      <c r="F46" s="5">
        <v>0</v>
      </c>
      <c r="G46" s="5">
        <v>356283</v>
      </c>
      <c r="H46" s="5">
        <v>0</v>
      </c>
      <c r="I46" s="5">
        <v>0</v>
      </c>
      <c r="J46" s="5">
        <v>0</v>
      </c>
      <c r="K46" s="5">
        <v>0</v>
      </c>
      <c r="L46" s="14">
        <f t="shared" si="1"/>
        <v>356283</v>
      </c>
    </row>
    <row r="47" spans="1:12" x14ac:dyDescent="0.2">
      <c r="A47" s="5" t="s">
        <v>70</v>
      </c>
      <c r="B47" s="5" t="s">
        <v>82</v>
      </c>
      <c r="C47" s="5" t="s">
        <v>83</v>
      </c>
      <c r="D47" s="5" t="s">
        <v>612</v>
      </c>
      <c r="E47" s="5" t="s">
        <v>617</v>
      </c>
      <c r="F47" s="5">
        <v>0</v>
      </c>
      <c r="G47" s="5">
        <v>0</v>
      </c>
      <c r="H47" s="5">
        <v>385500</v>
      </c>
      <c r="I47" s="5">
        <v>0</v>
      </c>
      <c r="J47" s="5">
        <v>0</v>
      </c>
      <c r="K47" s="5">
        <v>0</v>
      </c>
      <c r="L47" s="14">
        <f t="shared" si="1"/>
        <v>385500</v>
      </c>
    </row>
    <row r="48" spans="1:12" x14ac:dyDescent="0.2">
      <c r="A48" s="5" t="s">
        <v>70</v>
      </c>
      <c r="B48" s="5" t="s">
        <v>221</v>
      </c>
      <c r="C48" s="5" t="s">
        <v>222</v>
      </c>
      <c r="D48" s="5" t="s">
        <v>612</v>
      </c>
      <c r="E48" s="5" t="s">
        <v>617</v>
      </c>
      <c r="F48" s="5">
        <v>387825</v>
      </c>
      <c r="G48" s="5">
        <v>0</v>
      </c>
      <c r="H48" s="5">
        <v>0</v>
      </c>
      <c r="I48" s="5">
        <v>0</v>
      </c>
      <c r="J48" s="5">
        <v>0</v>
      </c>
      <c r="K48" s="5">
        <v>0</v>
      </c>
      <c r="L48" s="14">
        <f t="shared" si="1"/>
        <v>387825</v>
      </c>
    </row>
    <row r="49" spans="1:12" x14ac:dyDescent="0.2">
      <c r="A49" s="5" t="s">
        <v>26</v>
      </c>
      <c r="B49" s="5" t="s">
        <v>50</v>
      </c>
      <c r="C49" s="5" t="s">
        <v>51</v>
      </c>
      <c r="D49" s="5" t="s">
        <v>612</v>
      </c>
      <c r="E49" s="5" t="s">
        <v>617</v>
      </c>
      <c r="F49" s="5">
        <v>0</v>
      </c>
      <c r="G49" s="5">
        <v>394363</v>
      </c>
      <c r="H49" s="5">
        <v>0</v>
      </c>
      <c r="I49" s="5">
        <v>0</v>
      </c>
      <c r="J49" s="5">
        <v>0</v>
      </c>
      <c r="K49" s="5">
        <v>0</v>
      </c>
      <c r="L49" s="14">
        <f t="shared" si="1"/>
        <v>394363</v>
      </c>
    </row>
    <row r="50" spans="1:12" x14ac:dyDescent="0.2">
      <c r="A50" s="5" t="s">
        <v>70</v>
      </c>
      <c r="B50" s="5" t="s">
        <v>71</v>
      </c>
      <c r="C50" s="5" t="s">
        <v>72</v>
      </c>
      <c r="D50" s="5" t="s">
        <v>612</v>
      </c>
      <c r="E50" s="5" t="s">
        <v>617</v>
      </c>
      <c r="F50" s="5">
        <v>403153</v>
      </c>
      <c r="G50" s="5">
        <v>0</v>
      </c>
      <c r="H50" s="5">
        <v>0</v>
      </c>
      <c r="I50" s="5">
        <v>0</v>
      </c>
      <c r="J50" s="5">
        <v>0</v>
      </c>
      <c r="K50" s="5">
        <v>0</v>
      </c>
      <c r="L50" s="14">
        <f t="shared" si="1"/>
        <v>403153</v>
      </c>
    </row>
    <row r="51" spans="1:12" x14ac:dyDescent="0.2">
      <c r="A51" s="5" t="s">
        <v>70</v>
      </c>
      <c r="B51" s="5" t="s">
        <v>257</v>
      </c>
      <c r="C51" s="5" t="s">
        <v>258</v>
      </c>
      <c r="D51" s="5" t="s">
        <v>612</v>
      </c>
      <c r="E51" s="5" t="s">
        <v>617</v>
      </c>
      <c r="F51" s="5">
        <v>420712.71</v>
      </c>
      <c r="G51" s="5">
        <v>0</v>
      </c>
      <c r="H51" s="5">
        <v>0</v>
      </c>
      <c r="I51" s="5">
        <v>0</v>
      </c>
      <c r="J51" s="5">
        <v>0</v>
      </c>
      <c r="K51" s="5">
        <v>0</v>
      </c>
      <c r="L51" s="14">
        <f t="shared" si="1"/>
        <v>420712.71</v>
      </c>
    </row>
    <row r="52" spans="1:12" x14ac:dyDescent="0.2">
      <c r="A52" s="5" t="s">
        <v>276</v>
      </c>
      <c r="B52" s="5" t="s">
        <v>316</v>
      </c>
      <c r="C52" s="5" t="s">
        <v>317</v>
      </c>
      <c r="D52" s="5" t="s">
        <v>612</v>
      </c>
      <c r="E52" s="5" t="s">
        <v>617</v>
      </c>
      <c r="F52" s="5">
        <v>427206.27</v>
      </c>
      <c r="G52" s="5">
        <v>0</v>
      </c>
      <c r="H52" s="5">
        <v>0</v>
      </c>
      <c r="I52" s="5">
        <v>0</v>
      </c>
      <c r="J52" s="5">
        <v>0</v>
      </c>
      <c r="K52" s="5">
        <v>0</v>
      </c>
      <c r="L52" s="14">
        <f t="shared" si="1"/>
        <v>427206.27</v>
      </c>
    </row>
    <row r="53" spans="1:12" x14ac:dyDescent="0.2">
      <c r="A53" s="5" t="s">
        <v>276</v>
      </c>
      <c r="B53" s="5" t="s">
        <v>355</v>
      </c>
      <c r="C53" s="5" t="s">
        <v>356</v>
      </c>
      <c r="D53" s="5" t="s">
        <v>612</v>
      </c>
      <c r="E53" s="5" t="s">
        <v>617</v>
      </c>
      <c r="F53" s="5">
        <v>427206.27</v>
      </c>
      <c r="G53" s="5">
        <v>0</v>
      </c>
      <c r="H53" s="5">
        <v>0</v>
      </c>
      <c r="I53" s="5">
        <v>0</v>
      </c>
      <c r="J53" s="5">
        <v>0</v>
      </c>
      <c r="K53" s="5">
        <v>0</v>
      </c>
      <c r="L53" s="14">
        <f t="shared" si="1"/>
        <v>427206.27</v>
      </c>
    </row>
    <row r="54" spans="1:12" x14ac:dyDescent="0.2">
      <c r="A54" s="5" t="s">
        <v>276</v>
      </c>
      <c r="B54" s="5" t="s">
        <v>363</v>
      </c>
      <c r="C54" s="5" t="s">
        <v>364</v>
      </c>
      <c r="D54" s="5" t="s">
        <v>612</v>
      </c>
      <c r="E54" s="5" t="s">
        <v>617</v>
      </c>
      <c r="F54" s="5">
        <v>187200</v>
      </c>
      <c r="G54" s="5">
        <v>0</v>
      </c>
      <c r="H54" s="5">
        <v>0</v>
      </c>
      <c r="I54" s="5">
        <v>0</v>
      </c>
      <c r="J54" s="5">
        <v>250213.31</v>
      </c>
      <c r="K54" s="5">
        <v>0</v>
      </c>
      <c r="L54" s="14">
        <f t="shared" si="1"/>
        <v>437413.31</v>
      </c>
    </row>
    <row r="55" spans="1:12" x14ac:dyDescent="0.2">
      <c r="A55" s="5" t="s">
        <v>70</v>
      </c>
      <c r="B55" s="5" t="s">
        <v>102</v>
      </c>
      <c r="C55" s="5" t="s">
        <v>103</v>
      </c>
      <c r="D55" s="5" t="s">
        <v>612</v>
      </c>
      <c r="E55" s="5" t="s">
        <v>617</v>
      </c>
      <c r="F55" s="5">
        <v>427249.6</v>
      </c>
      <c r="G55" s="5">
        <v>0</v>
      </c>
      <c r="H55" s="5">
        <v>0</v>
      </c>
      <c r="I55" s="5">
        <v>0</v>
      </c>
      <c r="J55" s="5">
        <v>0</v>
      </c>
      <c r="K55" s="5">
        <v>12000</v>
      </c>
      <c r="L55" s="14">
        <f t="shared" si="1"/>
        <v>439249.6</v>
      </c>
    </row>
    <row r="56" spans="1:12" x14ac:dyDescent="0.2">
      <c r="A56" s="5" t="s">
        <v>70</v>
      </c>
      <c r="B56" s="5" t="s">
        <v>176</v>
      </c>
      <c r="C56" s="5" t="s">
        <v>177</v>
      </c>
      <c r="D56" s="5" t="s">
        <v>612</v>
      </c>
      <c r="E56" s="5" t="s">
        <v>617</v>
      </c>
      <c r="F56" s="5">
        <v>221375</v>
      </c>
      <c r="G56" s="5">
        <v>382888.76</v>
      </c>
      <c r="H56" s="5">
        <v>2500</v>
      </c>
      <c r="I56" s="5">
        <v>41066</v>
      </c>
      <c r="J56" s="5">
        <v>0</v>
      </c>
      <c r="K56" s="5">
        <v>0</v>
      </c>
      <c r="L56" s="14">
        <f t="shared" si="1"/>
        <v>647829.76000000001</v>
      </c>
    </row>
    <row r="57" spans="1:12" x14ac:dyDescent="0.2">
      <c r="A57" s="5" t="s">
        <v>70</v>
      </c>
      <c r="B57" s="5" t="s">
        <v>134</v>
      </c>
      <c r="C57" s="5" t="s">
        <v>135</v>
      </c>
      <c r="D57" s="5" t="s">
        <v>612</v>
      </c>
      <c r="E57" s="5" t="s">
        <v>617</v>
      </c>
      <c r="F57" s="5">
        <v>425361.44</v>
      </c>
      <c r="G57" s="5">
        <v>0</v>
      </c>
      <c r="H57" s="5">
        <v>0</v>
      </c>
      <c r="I57" s="5">
        <v>0</v>
      </c>
      <c r="J57" s="5">
        <v>0</v>
      </c>
      <c r="K57" s="5">
        <v>281500</v>
      </c>
      <c r="L57" s="14">
        <f t="shared" si="1"/>
        <v>706861.44</v>
      </c>
    </row>
    <row r="58" spans="1:12" x14ac:dyDescent="0.2">
      <c r="A58" s="5" t="s">
        <v>70</v>
      </c>
      <c r="B58" s="5" t="s">
        <v>144</v>
      </c>
      <c r="C58" s="5" t="s">
        <v>145</v>
      </c>
      <c r="D58" s="5" t="s">
        <v>612</v>
      </c>
      <c r="E58" s="5" t="s">
        <v>617</v>
      </c>
      <c r="F58" s="5">
        <v>220688</v>
      </c>
      <c r="G58" s="5">
        <v>0</v>
      </c>
      <c r="H58" s="5">
        <v>0</v>
      </c>
      <c r="I58" s="5">
        <v>0</v>
      </c>
      <c r="J58" s="5">
        <v>0</v>
      </c>
      <c r="K58" s="5">
        <v>960000</v>
      </c>
      <c r="L58" s="14">
        <f t="shared" si="1"/>
        <v>1180688</v>
      </c>
    </row>
    <row r="59" spans="1:12" x14ac:dyDescent="0.2">
      <c r="A59" s="5" t="s">
        <v>485</v>
      </c>
      <c r="B59" s="5" t="s">
        <v>519</v>
      </c>
      <c r="C59" s="5" t="s">
        <v>520</v>
      </c>
      <c r="D59" s="5" t="s">
        <v>612</v>
      </c>
      <c r="E59" s="5" t="s">
        <v>617</v>
      </c>
      <c r="F59" s="5">
        <v>0</v>
      </c>
      <c r="G59" s="5">
        <v>0</v>
      </c>
      <c r="H59" s="5">
        <v>0</v>
      </c>
      <c r="I59" s="5">
        <v>0</v>
      </c>
      <c r="J59" s="5">
        <v>0</v>
      </c>
      <c r="K59" s="5">
        <v>1897374</v>
      </c>
      <c r="L59" s="14">
        <f t="shared" si="1"/>
        <v>1897374</v>
      </c>
    </row>
    <row r="60" spans="1:12" x14ac:dyDescent="0.2">
      <c r="A60" s="5" t="s">
        <v>485</v>
      </c>
      <c r="B60" s="5" t="s">
        <v>519</v>
      </c>
      <c r="C60" s="5" t="s">
        <v>520</v>
      </c>
      <c r="D60" s="5" t="s">
        <v>612</v>
      </c>
      <c r="E60" s="5" t="s">
        <v>617</v>
      </c>
      <c r="F60" s="5">
        <v>0</v>
      </c>
      <c r="G60" s="5">
        <v>0</v>
      </c>
      <c r="H60" s="5">
        <v>0</v>
      </c>
      <c r="I60" s="5">
        <v>0</v>
      </c>
      <c r="J60" s="5">
        <v>0</v>
      </c>
      <c r="K60" s="5">
        <v>1897374</v>
      </c>
      <c r="L60" s="14">
        <f t="shared" si="1"/>
        <v>1897374</v>
      </c>
    </row>
    <row r="61" spans="1:12" x14ac:dyDescent="0.2">
      <c r="A61" s="5" t="s">
        <v>70</v>
      </c>
      <c r="B61" s="5" t="s">
        <v>211</v>
      </c>
      <c r="C61" s="5" t="s">
        <v>212</v>
      </c>
      <c r="D61" s="5" t="s">
        <v>612</v>
      </c>
      <c r="E61" s="5" t="s">
        <v>617</v>
      </c>
      <c r="F61" s="5">
        <v>0</v>
      </c>
      <c r="G61" s="5">
        <v>24307</v>
      </c>
      <c r="H61" s="5">
        <v>0</v>
      </c>
      <c r="I61" s="5">
        <v>0</v>
      </c>
      <c r="J61" s="5">
        <v>0</v>
      </c>
      <c r="K61" s="5">
        <v>3577770</v>
      </c>
      <c r="L61" s="14">
        <f t="shared" si="1"/>
        <v>3602077</v>
      </c>
    </row>
    <row r="62" spans="1:12" x14ac:dyDescent="0.2">
      <c r="A62" s="5" t="s">
        <v>70</v>
      </c>
      <c r="B62" s="5" t="s">
        <v>165</v>
      </c>
      <c r="C62" s="5" t="s">
        <v>166</v>
      </c>
      <c r="D62" s="5" t="s">
        <v>612</v>
      </c>
      <c r="E62" s="5" t="s">
        <v>617</v>
      </c>
      <c r="F62" s="5">
        <v>0</v>
      </c>
      <c r="G62" s="5">
        <v>0</v>
      </c>
      <c r="H62" s="5">
        <v>0</v>
      </c>
      <c r="I62" s="5">
        <v>0</v>
      </c>
      <c r="J62" s="5">
        <v>0</v>
      </c>
      <c r="K62" s="5">
        <v>5882870</v>
      </c>
      <c r="L62" s="14">
        <f t="shared" si="1"/>
        <v>5882870</v>
      </c>
    </row>
    <row r="63" spans="1:12" x14ac:dyDescent="0.2">
      <c r="L63" s="14"/>
    </row>
    <row r="64" spans="1:12" x14ac:dyDescent="0.2">
      <c r="L64" s="14"/>
    </row>
    <row r="65" spans="12:12" x14ac:dyDescent="0.2">
      <c r="L65" s="14"/>
    </row>
    <row r="66" spans="12:12" x14ac:dyDescent="0.2">
      <c r="L66" s="14"/>
    </row>
    <row r="67" spans="12:12" x14ac:dyDescent="0.2">
      <c r="L67" s="14"/>
    </row>
    <row r="68" spans="12:12" x14ac:dyDescent="0.2">
      <c r="L68" s="14"/>
    </row>
    <row r="69" spans="12:12" x14ac:dyDescent="0.2">
      <c r="L69" s="14"/>
    </row>
    <row r="70" spans="12:12" x14ac:dyDescent="0.2">
      <c r="L70" s="14"/>
    </row>
    <row r="71" spans="12:12" x14ac:dyDescent="0.2">
      <c r="L71" s="14"/>
    </row>
    <row r="72" spans="12:12" x14ac:dyDescent="0.2">
      <c r="L72" s="14"/>
    </row>
    <row r="73" spans="12:12" x14ac:dyDescent="0.2">
      <c r="L73" s="14"/>
    </row>
    <row r="74" spans="12:12" x14ac:dyDescent="0.2">
      <c r="L74" s="14"/>
    </row>
    <row r="75" spans="12:12" x14ac:dyDescent="0.2">
      <c r="L75" s="14"/>
    </row>
    <row r="76" spans="12:12" x14ac:dyDescent="0.2">
      <c r="L76" s="14"/>
    </row>
    <row r="77" spans="12:12" x14ac:dyDescent="0.2">
      <c r="L77" s="14"/>
    </row>
    <row r="78" spans="12:12" x14ac:dyDescent="0.2">
      <c r="L78" s="14"/>
    </row>
    <row r="79" spans="12:12" x14ac:dyDescent="0.2">
      <c r="L79" s="14"/>
    </row>
    <row r="80" spans="12:12" x14ac:dyDescent="0.2">
      <c r="L80" s="14"/>
    </row>
    <row r="81" spans="12:12" x14ac:dyDescent="0.2">
      <c r="L81" s="14"/>
    </row>
    <row r="82" spans="12:12" x14ac:dyDescent="0.2">
      <c r="L82" s="14"/>
    </row>
    <row r="83" spans="12:12" x14ac:dyDescent="0.2">
      <c r="L83" s="14"/>
    </row>
    <row r="84" spans="12:12" x14ac:dyDescent="0.2">
      <c r="L84" s="14"/>
    </row>
    <row r="85" spans="12:12" x14ac:dyDescent="0.2">
      <c r="L85" s="14"/>
    </row>
    <row r="86" spans="12:12" x14ac:dyDescent="0.2">
      <c r="L86" s="14"/>
    </row>
    <row r="87" spans="12:12" x14ac:dyDescent="0.2">
      <c r="L87" s="14"/>
    </row>
    <row r="88" spans="12:12" x14ac:dyDescent="0.2">
      <c r="L88" s="14"/>
    </row>
    <row r="89" spans="12:12" x14ac:dyDescent="0.2">
      <c r="L89" s="14"/>
    </row>
    <row r="90" spans="12:12" x14ac:dyDescent="0.2">
      <c r="L90" s="14"/>
    </row>
    <row r="91" spans="12:12" x14ac:dyDescent="0.2">
      <c r="L91" s="14"/>
    </row>
    <row r="92" spans="12:12" x14ac:dyDescent="0.2">
      <c r="L92" s="14"/>
    </row>
    <row r="93" spans="12:12" x14ac:dyDescent="0.2">
      <c r="L93" s="14"/>
    </row>
    <row r="94" spans="12:12" x14ac:dyDescent="0.2">
      <c r="L94" s="14"/>
    </row>
    <row r="95" spans="12:12" x14ac:dyDescent="0.2">
      <c r="L95" s="14"/>
    </row>
    <row r="96" spans="12:12" x14ac:dyDescent="0.2">
      <c r="L96" s="14"/>
    </row>
    <row r="97" spans="12:12" x14ac:dyDescent="0.2">
      <c r="L97" s="14"/>
    </row>
    <row r="98" spans="12:12" x14ac:dyDescent="0.2">
      <c r="L98" s="14"/>
    </row>
    <row r="99" spans="12:12" x14ac:dyDescent="0.2">
      <c r="L99" s="14"/>
    </row>
    <row r="100" spans="12:12" x14ac:dyDescent="0.2">
      <c r="L100" s="14"/>
    </row>
    <row r="101" spans="12:12" x14ac:dyDescent="0.2">
      <c r="L101" s="14"/>
    </row>
    <row r="102" spans="12:12" x14ac:dyDescent="0.2">
      <c r="L102" s="14"/>
    </row>
    <row r="103" spans="12:12" x14ac:dyDescent="0.2">
      <c r="L103" s="14"/>
    </row>
    <row r="104" spans="12:12" x14ac:dyDescent="0.2">
      <c r="L104" s="14"/>
    </row>
    <row r="105" spans="12:12" x14ac:dyDescent="0.2">
      <c r="L105" s="14"/>
    </row>
    <row r="106" spans="12:12" x14ac:dyDescent="0.2">
      <c r="L106" s="14"/>
    </row>
    <row r="107" spans="12:12" x14ac:dyDescent="0.2">
      <c r="L107" s="14"/>
    </row>
    <row r="108" spans="12:12" x14ac:dyDescent="0.2">
      <c r="L108" s="14"/>
    </row>
    <row r="109" spans="12:12" x14ac:dyDescent="0.2">
      <c r="L109" s="14"/>
    </row>
    <row r="110" spans="12:12" x14ac:dyDescent="0.2">
      <c r="L110" s="14"/>
    </row>
    <row r="111" spans="12:12" x14ac:dyDescent="0.2">
      <c r="L111" s="14"/>
    </row>
    <row r="112" spans="12:12" x14ac:dyDescent="0.2">
      <c r="L112" s="14"/>
    </row>
    <row r="113" spans="12:12" x14ac:dyDescent="0.2">
      <c r="L113" s="14"/>
    </row>
    <row r="114" spans="12:12" x14ac:dyDescent="0.2">
      <c r="L114" s="14"/>
    </row>
    <row r="115" spans="12:12" x14ac:dyDescent="0.2">
      <c r="L115" s="14"/>
    </row>
    <row r="116" spans="12:12" x14ac:dyDescent="0.2">
      <c r="L116" s="14"/>
    </row>
    <row r="117" spans="12:12" x14ac:dyDescent="0.2">
      <c r="L117" s="14"/>
    </row>
    <row r="118" spans="12:12" x14ac:dyDescent="0.2">
      <c r="L118" s="14"/>
    </row>
    <row r="119" spans="12:12" x14ac:dyDescent="0.2">
      <c r="L119" s="14"/>
    </row>
    <row r="120" spans="12:12" x14ac:dyDescent="0.2">
      <c r="L120" s="14"/>
    </row>
    <row r="121" spans="12:12" x14ac:dyDescent="0.2">
      <c r="L121" s="14"/>
    </row>
    <row r="122" spans="12:12" x14ac:dyDescent="0.2">
      <c r="L122" s="14"/>
    </row>
    <row r="123" spans="12:12" x14ac:dyDescent="0.2">
      <c r="L123" s="14"/>
    </row>
    <row r="124" spans="12:12" x14ac:dyDescent="0.2">
      <c r="L124" s="14"/>
    </row>
    <row r="125" spans="12:12" x14ac:dyDescent="0.2">
      <c r="L125" s="14"/>
    </row>
    <row r="126" spans="12:12" x14ac:dyDescent="0.2">
      <c r="L126" s="14"/>
    </row>
    <row r="127" spans="12:12" x14ac:dyDescent="0.2">
      <c r="L127" s="14"/>
    </row>
    <row r="128" spans="12:12" x14ac:dyDescent="0.2">
      <c r="L128" s="14"/>
    </row>
    <row r="129" spans="12:12" x14ac:dyDescent="0.2">
      <c r="L129" s="14"/>
    </row>
    <row r="130" spans="12:12" x14ac:dyDescent="0.2">
      <c r="L130" s="14"/>
    </row>
    <row r="131" spans="12:12" x14ac:dyDescent="0.2">
      <c r="L131" s="14"/>
    </row>
    <row r="132" spans="12:12" x14ac:dyDescent="0.2">
      <c r="L132" s="14"/>
    </row>
    <row r="133" spans="12:12" x14ac:dyDescent="0.2">
      <c r="L133" s="14"/>
    </row>
    <row r="134" spans="12:12" x14ac:dyDescent="0.2">
      <c r="L134" s="14"/>
    </row>
    <row r="135" spans="12:12" x14ac:dyDescent="0.2">
      <c r="L135" s="14"/>
    </row>
    <row r="136" spans="12:12" x14ac:dyDescent="0.2">
      <c r="L136" s="14"/>
    </row>
    <row r="137" spans="12:12" x14ac:dyDescent="0.2">
      <c r="L137" s="14"/>
    </row>
    <row r="138" spans="12:12" x14ac:dyDescent="0.2">
      <c r="L138" s="14"/>
    </row>
    <row r="139" spans="12:12" x14ac:dyDescent="0.2">
      <c r="L139" s="14"/>
    </row>
    <row r="140" spans="12:12" x14ac:dyDescent="0.2">
      <c r="L140" s="14"/>
    </row>
    <row r="141" spans="12:12" x14ac:dyDescent="0.2">
      <c r="L141" s="14"/>
    </row>
    <row r="142" spans="12:12" x14ac:dyDescent="0.2">
      <c r="L142" s="14"/>
    </row>
    <row r="143" spans="12:12" x14ac:dyDescent="0.2">
      <c r="L143" s="14"/>
    </row>
    <row r="144" spans="12:12" x14ac:dyDescent="0.2">
      <c r="L144" s="14"/>
    </row>
    <row r="145" spans="12:12" x14ac:dyDescent="0.2">
      <c r="L145" s="14"/>
    </row>
    <row r="146" spans="12:12" x14ac:dyDescent="0.2">
      <c r="L146" s="14"/>
    </row>
    <row r="147" spans="12:12" x14ac:dyDescent="0.2">
      <c r="L147" s="14"/>
    </row>
    <row r="148" spans="12:12" x14ac:dyDescent="0.2">
      <c r="L148" s="14"/>
    </row>
    <row r="149" spans="12:12" x14ac:dyDescent="0.2">
      <c r="L149" s="14"/>
    </row>
    <row r="150" spans="12:12" x14ac:dyDescent="0.2">
      <c r="L150" s="14"/>
    </row>
    <row r="151" spans="12:12" x14ac:dyDescent="0.2">
      <c r="L151" s="14"/>
    </row>
    <row r="152" spans="12:12" x14ac:dyDescent="0.2">
      <c r="L152" s="14"/>
    </row>
    <row r="153" spans="12:12" x14ac:dyDescent="0.2">
      <c r="L153" s="14"/>
    </row>
    <row r="154" spans="12:12" x14ac:dyDescent="0.2">
      <c r="L154" s="14"/>
    </row>
    <row r="155" spans="12:12" x14ac:dyDescent="0.2">
      <c r="L155" s="14"/>
    </row>
    <row r="156" spans="12:12" x14ac:dyDescent="0.2">
      <c r="L156" s="14"/>
    </row>
    <row r="157" spans="12:12" x14ac:dyDescent="0.2">
      <c r="L157" s="14"/>
    </row>
    <row r="158" spans="12:12" x14ac:dyDescent="0.2">
      <c r="L158" s="14"/>
    </row>
    <row r="159" spans="12:12" x14ac:dyDescent="0.2">
      <c r="L159" s="14"/>
    </row>
    <row r="160" spans="12:12" x14ac:dyDescent="0.2">
      <c r="L160" s="14"/>
    </row>
    <row r="161" spans="12:12" x14ac:dyDescent="0.2">
      <c r="L161" s="14"/>
    </row>
    <row r="162" spans="12:12" x14ac:dyDescent="0.2">
      <c r="L162" s="14"/>
    </row>
    <row r="163" spans="12:12" x14ac:dyDescent="0.2">
      <c r="L163" s="14"/>
    </row>
    <row r="164" spans="12:12" x14ac:dyDescent="0.2">
      <c r="L164" s="14"/>
    </row>
    <row r="165" spans="12:12" x14ac:dyDescent="0.2">
      <c r="L165" s="14"/>
    </row>
    <row r="166" spans="12:12" x14ac:dyDescent="0.2">
      <c r="L166" s="14"/>
    </row>
    <row r="167" spans="12:12" x14ac:dyDescent="0.2">
      <c r="L167" s="14"/>
    </row>
    <row r="168" spans="12:12" x14ac:dyDescent="0.2">
      <c r="L168" s="14"/>
    </row>
    <row r="169" spans="12:12" x14ac:dyDescent="0.2">
      <c r="L169" s="14"/>
    </row>
    <row r="170" spans="12:12" x14ac:dyDescent="0.2">
      <c r="L170" s="14"/>
    </row>
    <row r="171" spans="12:12" x14ac:dyDescent="0.2">
      <c r="L171" s="14"/>
    </row>
    <row r="172" spans="12:12" x14ac:dyDescent="0.2">
      <c r="L172" s="14"/>
    </row>
    <row r="173" spans="12:12" x14ac:dyDescent="0.2">
      <c r="L173" s="14"/>
    </row>
    <row r="174" spans="12:12" x14ac:dyDescent="0.2">
      <c r="L174" s="14"/>
    </row>
    <row r="175" spans="12:12" x14ac:dyDescent="0.2">
      <c r="L175" s="14"/>
    </row>
    <row r="176" spans="12:12" x14ac:dyDescent="0.2">
      <c r="L176" s="14"/>
    </row>
    <row r="177" spans="12:12" x14ac:dyDescent="0.2">
      <c r="L177" s="14"/>
    </row>
    <row r="178" spans="12:12" x14ac:dyDescent="0.2">
      <c r="L178" s="14"/>
    </row>
    <row r="179" spans="12:12" x14ac:dyDescent="0.2">
      <c r="L179" s="14"/>
    </row>
    <row r="180" spans="12:12" x14ac:dyDescent="0.2">
      <c r="L180" s="14"/>
    </row>
    <row r="181" spans="12:12" x14ac:dyDescent="0.2">
      <c r="L181" s="14"/>
    </row>
    <row r="182" spans="12:12" x14ac:dyDescent="0.2">
      <c r="L182" s="14"/>
    </row>
    <row r="183" spans="12:12" x14ac:dyDescent="0.2">
      <c r="L183" s="14"/>
    </row>
    <row r="184" spans="12:12" x14ac:dyDescent="0.2">
      <c r="L184" s="14"/>
    </row>
    <row r="185" spans="12:12" x14ac:dyDescent="0.2">
      <c r="L185" s="14"/>
    </row>
    <row r="186" spans="12:12" x14ac:dyDescent="0.2">
      <c r="L186" s="14"/>
    </row>
    <row r="187" spans="12:12" x14ac:dyDescent="0.2">
      <c r="L187" s="14"/>
    </row>
    <row r="188" spans="12:12" x14ac:dyDescent="0.2">
      <c r="L188" s="14"/>
    </row>
    <row r="189" spans="12:12" x14ac:dyDescent="0.2">
      <c r="L189" s="14"/>
    </row>
    <row r="190" spans="12:12" x14ac:dyDescent="0.2">
      <c r="L190" s="14"/>
    </row>
    <row r="191" spans="12:12" x14ac:dyDescent="0.2">
      <c r="L191" s="14"/>
    </row>
    <row r="192" spans="12:12" x14ac:dyDescent="0.2">
      <c r="L192" s="14"/>
    </row>
    <row r="193" spans="12:12" x14ac:dyDescent="0.2">
      <c r="L193" s="14"/>
    </row>
    <row r="194" spans="12:12" x14ac:dyDescent="0.2">
      <c r="L194" s="14"/>
    </row>
    <row r="195" spans="12:12" x14ac:dyDescent="0.2">
      <c r="L195" s="14"/>
    </row>
    <row r="196" spans="12:12" x14ac:dyDescent="0.2">
      <c r="L196" s="14"/>
    </row>
    <row r="197" spans="12:12" x14ac:dyDescent="0.2">
      <c r="L197" s="14"/>
    </row>
    <row r="198" spans="12:12" x14ac:dyDescent="0.2">
      <c r="L198" s="14"/>
    </row>
    <row r="199" spans="12:12" x14ac:dyDescent="0.2">
      <c r="L199" s="14"/>
    </row>
    <row r="200" spans="12:12" x14ac:dyDescent="0.2">
      <c r="L200" s="14"/>
    </row>
    <row r="201" spans="12:12" x14ac:dyDescent="0.2">
      <c r="L201" s="14"/>
    </row>
    <row r="202" spans="12:12" x14ac:dyDescent="0.2">
      <c r="L202" s="14"/>
    </row>
    <row r="203" spans="12:12" x14ac:dyDescent="0.2">
      <c r="L203" s="14"/>
    </row>
    <row r="204" spans="12:12" x14ac:dyDescent="0.2">
      <c r="L204" s="14"/>
    </row>
    <row r="205" spans="12:12" x14ac:dyDescent="0.2">
      <c r="L205" s="14"/>
    </row>
    <row r="206" spans="12:12" x14ac:dyDescent="0.2">
      <c r="L206" s="14"/>
    </row>
    <row r="207" spans="12:12" x14ac:dyDescent="0.2">
      <c r="L207" s="14"/>
    </row>
    <row r="208" spans="12:12" x14ac:dyDescent="0.2">
      <c r="L208" s="14"/>
    </row>
    <row r="209" spans="12:12" x14ac:dyDescent="0.2">
      <c r="L209" s="14"/>
    </row>
    <row r="210" spans="12:12" x14ac:dyDescent="0.2">
      <c r="L210" s="14"/>
    </row>
    <row r="211" spans="12:12" x14ac:dyDescent="0.2">
      <c r="L211" s="14"/>
    </row>
    <row r="212" spans="12:12" x14ac:dyDescent="0.2">
      <c r="L212" s="14"/>
    </row>
    <row r="213" spans="12:12" x14ac:dyDescent="0.2">
      <c r="L213" s="14"/>
    </row>
    <row r="214" spans="12:12" x14ac:dyDescent="0.2">
      <c r="L214" s="14"/>
    </row>
    <row r="215" spans="12:12" x14ac:dyDescent="0.2">
      <c r="L215" s="14"/>
    </row>
    <row r="216" spans="12:12" x14ac:dyDescent="0.2">
      <c r="L216" s="14"/>
    </row>
    <row r="217" spans="12:12" x14ac:dyDescent="0.2">
      <c r="L217" s="14"/>
    </row>
    <row r="218" spans="12:12" x14ac:dyDescent="0.2">
      <c r="L218" s="14"/>
    </row>
    <row r="219" spans="12:12" x14ac:dyDescent="0.2">
      <c r="L219" s="14"/>
    </row>
    <row r="220" spans="12:12" x14ac:dyDescent="0.2">
      <c r="L220" s="14"/>
    </row>
    <row r="221" spans="12:12" x14ac:dyDescent="0.2">
      <c r="L221" s="14"/>
    </row>
    <row r="222" spans="12:12" x14ac:dyDescent="0.2">
      <c r="L222" s="14"/>
    </row>
    <row r="223" spans="12:12" x14ac:dyDescent="0.2">
      <c r="L223" s="14"/>
    </row>
    <row r="224" spans="12:12" x14ac:dyDescent="0.2">
      <c r="L224" s="14"/>
    </row>
    <row r="225" spans="12:12" x14ac:dyDescent="0.2">
      <c r="L225" s="14"/>
    </row>
    <row r="226" spans="12:12" x14ac:dyDescent="0.2">
      <c r="L226" s="14"/>
    </row>
    <row r="227" spans="12:12" x14ac:dyDescent="0.2">
      <c r="L227" s="14"/>
    </row>
    <row r="228" spans="12:12" x14ac:dyDescent="0.2">
      <c r="L228" s="14"/>
    </row>
    <row r="229" spans="12:12" x14ac:dyDescent="0.2">
      <c r="L229" s="14"/>
    </row>
    <row r="230" spans="12:12" x14ac:dyDescent="0.2">
      <c r="L230" s="14"/>
    </row>
    <row r="231" spans="12:12" x14ac:dyDescent="0.2">
      <c r="L231" s="14"/>
    </row>
    <row r="232" spans="12:12" x14ac:dyDescent="0.2">
      <c r="L232" s="14"/>
    </row>
    <row r="233" spans="12:12" x14ac:dyDescent="0.2">
      <c r="L233" s="14"/>
    </row>
    <row r="234" spans="12:12" x14ac:dyDescent="0.2">
      <c r="L234" s="14"/>
    </row>
    <row r="235" spans="12:12" x14ac:dyDescent="0.2">
      <c r="L235" s="14"/>
    </row>
    <row r="236" spans="12:12" x14ac:dyDescent="0.2">
      <c r="L236" s="14"/>
    </row>
    <row r="237" spans="12:12" x14ac:dyDescent="0.2">
      <c r="L237" s="14"/>
    </row>
    <row r="238" spans="12:12" x14ac:dyDescent="0.2">
      <c r="L238" s="14"/>
    </row>
    <row r="239" spans="12:12" x14ac:dyDescent="0.2">
      <c r="L239" s="14"/>
    </row>
    <row r="240" spans="12:12" x14ac:dyDescent="0.2">
      <c r="L240" s="14"/>
    </row>
    <row r="241" spans="12:12" x14ac:dyDescent="0.2">
      <c r="L241" s="14"/>
    </row>
    <row r="242" spans="12:12" x14ac:dyDescent="0.2">
      <c r="L242" s="14"/>
    </row>
    <row r="243" spans="12:12" x14ac:dyDescent="0.2">
      <c r="L243" s="14"/>
    </row>
    <row r="244" spans="12:12" x14ac:dyDescent="0.2">
      <c r="L244" s="14"/>
    </row>
    <row r="245" spans="12:12" x14ac:dyDescent="0.2">
      <c r="L245" s="14"/>
    </row>
    <row r="246" spans="12:12" x14ac:dyDescent="0.2">
      <c r="L246" s="14"/>
    </row>
    <row r="247" spans="12:12" x14ac:dyDescent="0.2">
      <c r="L247" s="14"/>
    </row>
    <row r="248" spans="12:12" x14ac:dyDescent="0.2">
      <c r="L248" s="14"/>
    </row>
    <row r="249" spans="12:12" x14ac:dyDescent="0.2">
      <c r="L249" s="14"/>
    </row>
    <row r="250" spans="12:12" x14ac:dyDescent="0.2">
      <c r="L250" s="14"/>
    </row>
    <row r="251" spans="12:12" x14ac:dyDescent="0.2">
      <c r="L251" s="14"/>
    </row>
    <row r="252" spans="12:12" x14ac:dyDescent="0.2">
      <c r="L252" s="14"/>
    </row>
    <row r="253" spans="12:12" x14ac:dyDescent="0.2">
      <c r="L253" s="14"/>
    </row>
    <row r="254" spans="12:12" x14ac:dyDescent="0.2">
      <c r="L254" s="14"/>
    </row>
    <row r="255" spans="12:12" x14ac:dyDescent="0.2">
      <c r="L255" s="14"/>
    </row>
    <row r="256" spans="12:12" x14ac:dyDescent="0.2">
      <c r="L256" s="14"/>
    </row>
    <row r="257" spans="12:12" x14ac:dyDescent="0.2">
      <c r="L257" s="14"/>
    </row>
    <row r="258" spans="12:12" x14ac:dyDescent="0.2">
      <c r="L258" s="14"/>
    </row>
    <row r="259" spans="12:12" x14ac:dyDescent="0.2">
      <c r="L259" s="14"/>
    </row>
    <row r="260" spans="12:12" x14ac:dyDescent="0.2">
      <c r="L260" s="14"/>
    </row>
    <row r="261" spans="12:12" x14ac:dyDescent="0.2">
      <c r="L261" s="14"/>
    </row>
    <row r="262" spans="12:12" x14ac:dyDescent="0.2">
      <c r="L262" s="14"/>
    </row>
    <row r="263" spans="12:12" x14ac:dyDescent="0.2">
      <c r="L263" s="14"/>
    </row>
    <row r="264" spans="12:12" x14ac:dyDescent="0.2">
      <c r="L264" s="14"/>
    </row>
    <row r="265" spans="12:12" x14ac:dyDescent="0.2">
      <c r="L265" s="14"/>
    </row>
    <row r="266" spans="12:12" x14ac:dyDescent="0.2">
      <c r="L266" s="14"/>
    </row>
    <row r="267" spans="12:12" x14ac:dyDescent="0.2">
      <c r="L267" s="14"/>
    </row>
    <row r="268" spans="12:12" x14ac:dyDescent="0.2">
      <c r="L268" s="14"/>
    </row>
    <row r="269" spans="12:12" x14ac:dyDescent="0.2">
      <c r="L269" s="14"/>
    </row>
    <row r="270" spans="12:12" x14ac:dyDescent="0.2">
      <c r="L270" s="14"/>
    </row>
    <row r="271" spans="12:12" x14ac:dyDescent="0.2">
      <c r="L271" s="14"/>
    </row>
    <row r="272" spans="12:12" x14ac:dyDescent="0.2">
      <c r="L272" s="14"/>
    </row>
    <row r="273" spans="12:12" x14ac:dyDescent="0.2">
      <c r="L273" s="14"/>
    </row>
    <row r="274" spans="12:12" x14ac:dyDescent="0.2">
      <c r="L274" s="14"/>
    </row>
    <row r="275" spans="12:12" x14ac:dyDescent="0.2">
      <c r="L275" s="14"/>
    </row>
    <row r="276" spans="12:12" x14ac:dyDescent="0.2">
      <c r="L276" s="14"/>
    </row>
    <row r="277" spans="12:12" x14ac:dyDescent="0.2">
      <c r="L277" s="14"/>
    </row>
    <row r="278" spans="12:12" x14ac:dyDescent="0.2">
      <c r="L278" s="14"/>
    </row>
    <row r="279" spans="12:12" x14ac:dyDescent="0.2">
      <c r="L279" s="14"/>
    </row>
    <row r="280" spans="12:12" x14ac:dyDescent="0.2">
      <c r="L280" s="14"/>
    </row>
    <row r="281" spans="12:12" x14ac:dyDescent="0.2">
      <c r="L281" s="14"/>
    </row>
    <row r="282" spans="12:12" x14ac:dyDescent="0.2">
      <c r="L282" s="14"/>
    </row>
    <row r="283" spans="12:12" x14ac:dyDescent="0.2">
      <c r="L283" s="14"/>
    </row>
    <row r="284" spans="12:12" x14ac:dyDescent="0.2">
      <c r="L284" s="14"/>
    </row>
    <row r="285" spans="12:12" x14ac:dyDescent="0.2">
      <c r="L285" s="14"/>
    </row>
    <row r="286" spans="12:12" x14ac:dyDescent="0.2">
      <c r="L286" s="14"/>
    </row>
    <row r="287" spans="12:12" x14ac:dyDescent="0.2">
      <c r="L287" s="14"/>
    </row>
    <row r="288" spans="12:12" x14ac:dyDescent="0.2">
      <c r="L288" s="14"/>
    </row>
    <row r="289" spans="12:12" x14ac:dyDescent="0.2">
      <c r="L289" s="14"/>
    </row>
    <row r="290" spans="12:12" x14ac:dyDescent="0.2">
      <c r="L290" s="14"/>
    </row>
    <row r="291" spans="12:12" x14ac:dyDescent="0.2">
      <c r="L291" s="14"/>
    </row>
    <row r="292" spans="12:12" x14ac:dyDescent="0.2">
      <c r="L292" s="14"/>
    </row>
    <row r="293" spans="12:12" x14ac:dyDescent="0.2">
      <c r="L293" s="14"/>
    </row>
    <row r="294" spans="12:12" x14ac:dyDescent="0.2">
      <c r="L294" s="14"/>
    </row>
    <row r="295" spans="12:12" x14ac:dyDescent="0.2">
      <c r="L295" s="14"/>
    </row>
    <row r="296" spans="12:12" x14ac:dyDescent="0.2">
      <c r="L296" s="14"/>
    </row>
    <row r="297" spans="12:12" x14ac:dyDescent="0.2">
      <c r="L297" s="14"/>
    </row>
    <row r="298" spans="12:12" x14ac:dyDescent="0.2">
      <c r="L298" s="14"/>
    </row>
    <row r="299" spans="12:12" x14ac:dyDescent="0.2">
      <c r="L299" s="14"/>
    </row>
    <row r="300" spans="12:12" x14ac:dyDescent="0.2">
      <c r="L300" s="14"/>
    </row>
    <row r="301" spans="12:12" x14ac:dyDescent="0.2">
      <c r="L301" s="14"/>
    </row>
    <row r="302" spans="12:12" x14ac:dyDescent="0.2">
      <c r="L302" s="14"/>
    </row>
    <row r="303" spans="12:12" x14ac:dyDescent="0.2">
      <c r="L303" s="14"/>
    </row>
    <row r="304" spans="12:12" x14ac:dyDescent="0.2">
      <c r="L304" s="14"/>
    </row>
    <row r="305" spans="12:12" x14ac:dyDescent="0.2">
      <c r="L305" s="14"/>
    </row>
    <row r="306" spans="12:12" x14ac:dyDescent="0.2">
      <c r="L306" s="14"/>
    </row>
    <row r="307" spans="12:12" x14ac:dyDescent="0.2">
      <c r="L307" s="14"/>
    </row>
    <row r="308" spans="12:12" x14ac:dyDescent="0.2">
      <c r="L308" s="14"/>
    </row>
    <row r="309" spans="12:12" x14ac:dyDescent="0.2">
      <c r="L309" s="14"/>
    </row>
    <row r="310" spans="12:12" x14ac:dyDescent="0.2">
      <c r="L310" s="14"/>
    </row>
    <row r="311" spans="12:12" x14ac:dyDescent="0.2">
      <c r="L311" s="14"/>
    </row>
    <row r="312" spans="12:12" x14ac:dyDescent="0.2">
      <c r="L312" s="14"/>
    </row>
    <row r="313" spans="12:12" x14ac:dyDescent="0.2">
      <c r="L313" s="14"/>
    </row>
    <row r="314" spans="12:12" x14ac:dyDescent="0.2">
      <c r="L314" s="14"/>
    </row>
    <row r="315" spans="12:12" x14ac:dyDescent="0.2">
      <c r="L315" s="14"/>
    </row>
    <row r="316" spans="12:12" x14ac:dyDescent="0.2">
      <c r="L316" s="14"/>
    </row>
    <row r="317" spans="12:12" x14ac:dyDescent="0.2">
      <c r="L317" s="14"/>
    </row>
    <row r="318" spans="12:12" x14ac:dyDescent="0.2">
      <c r="L318" s="14"/>
    </row>
    <row r="319" spans="12:12" x14ac:dyDescent="0.2">
      <c r="L319" s="14"/>
    </row>
    <row r="320" spans="12:12" x14ac:dyDescent="0.2">
      <c r="L320" s="14"/>
    </row>
    <row r="321" spans="12:12" x14ac:dyDescent="0.2">
      <c r="L321" s="14"/>
    </row>
    <row r="322" spans="12:12" x14ac:dyDescent="0.2">
      <c r="L322" s="14"/>
    </row>
    <row r="323" spans="12:12" x14ac:dyDescent="0.2">
      <c r="L323" s="14"/>
    </row>
    <row r="324" spans="12:12" x14ac:dyDescent="0.2">
      <c r="L324" s="14"/>
    </row>
    <row r="325" spans="12:12" x14ac:dyDescent="0.2">
      <c r="L325" s="14"/>
    </row>
    <row r="326" spans="12:12" x14ac:dyDescent="0.2">
      <c r="L326" s="14"/>
    </row>
    <row r="327" spans="12:12" x14ac:dyDescent="0.2">
      <c r="L327" s="14"/>
    </row>
    <row r="328" spans="12:12" x14ac:dyDescent="0.2">
      <c r="L328" s="14"/>
    </row>
    <row r="329" spans="12:12" x14ac:dyDescent="0.2">
      <c r="L329" s="14"/>
    </row>
    <row r="330" spans="12:12" x14ac:dyDescent="0.2">
      <c r="L330" s="14"/>
    </row>
    <row r="331" spans="12:12" x14ac:dyDescent="0.2">
      <c r="L331" s="14"/>
    </row>
    <row r="332" spans="12:12" x14ac:dyDescent="0.2">
      <c r="L332" s="14"/>
    </row>
    <row r="333" spans="12:12" x14ac:dyDescent="0.2">
      <c r="L333" s="14"/>
    </row>
    <row r="334" spans="12:12" x14ac:dyDescent="0.2">
      <c r="L334" s="14"/>
    </row>
    <row r="335" spans="12:12" x14ac:dyDescent="0.2">
      <c r="L335" s="14"/>
    </row>
    <row r="336" spans="12:12" x14ac:dyDescent="0.2">
      <c r="L336" s="14"/>
    </row>
    <row r="337" spans="12:12" x14ac:dyDescent="0.2">
      <c r="L337" s="14"/>
    </row>
    <row r="338" spans="12:12" x14ac:dyDescent="0.2">
      <c r="L338" s="14"/>
    </row>
    <row r="339" spans="12:12" x14ac:dyDescent="0.2">
      <c r="L339" s="14"/>
    </row>
    <row r="340" spans="12:12" x14ac:dyDescent="0.2">
      <c r="L340" s="14"/>
    </row>
    <row r="341" spans="12:12" x14ac:dyDescent="0.2">
      <c r="L341" s="14"/>
    </row>
    <row r="342" spans="12:12" x14ac:dyDescent="0.2">
      <c r="L342" s="14"/>
    </row>
    <row r="343" spans="12:12" x14ac:dyDescent="0.2">
      <c r="L343" s="14"/>
    </row>
    <row r="344" spans="12:12" x14ac:dyDescent="0.2">
      <c r="L344" s="14"/>
    </row>
    <row r="345" spans="12:12" x14ac:dyDescent="0.2">
      <c r="L345" s="14"/>
    </row>
    <row r="346" spans="12:12" x14ac:dyDescent="0.2">
      <c r="L346" s="14"/>
    </row>
    <row r="347" spans="12:12" x14ac:dyDescent="0.2">
      <c r="L347" s="14"/>
    </row>
    <row r="348" spans="12:12" x14ac:dyDescent="0.2">
      <c r="L348" s="14"/>
    </row>
    <row r="349" spans="12:12" x14ac:dyDescent="0.2">
      <c r="L349" s="14"/>
    </row>
    <row r="350" spans="12:12" x14ac:dyDescent="0.2">
      <c r="L350" s="14"/>
    </row>
    <row r="351" spans="12:12" x14ac:dyDescent="0.2">
      <c r="L351" s="14"/>
    </row>
    <row r="352" spans="12:12" x14ac:dyDescent="0.2">
      <c r="L352" s="14"/>
    </row>
    <row r="353" spans="12:12" x14ac:dyDescent="0.2">
      <c r="L353" s="14"/>
    </row>
    <row r="354" spans="12:12" x14ac:dyDescent="0.2">
      <c r="L354" s="14"/>
    </row>
    <row r="355" spans="12:12" x14ac:dyDescent="0.2">
      <c r="L355" s="14"/>
    </row>
    <row r="356" spans="12:12" x14ac:dyDescent="0.2">
      <c r="L356" s="14"/>
    </row>
    <row r="357" spans="12:12" x14ac:dyDescent="0.2">
      <c r="L357" s="14"/>
    </row>
    <row r="358" spans="12:12" x14ac:dyDescent="0.2">
      <c r="L358" s="14"/>
    </row>
    <row r="359" spans="12:12" x14ac:dyDescent="0.2">
      <c r="L359" s="14"/>
    </row>
    <row r="360" spans="12:12" x14ac:dyDescent="0.2">
      <c r="L360" s="14"/>
    </row>
    <row r="361" spans="12:12" x14ac:dyDescent="0.2">
      <c r="L361" s="14"/>
    </row>
    <row r="362" spans="12:12" x14ac:dyDescent="0.2">
      <c r="L362" s="14"/>
    </row>
    <row r="363" spans="12:12" x14ac:dyDescent="0.2">
      <c r="L363" s="14"/>
    </row>
    <row r="364" spans="12:12" x14ac:dyDescent="0.2">
      <c r="L364" s="14"/>
    </row>
    <row r="365" spans="12:12" x14ac:dyDescent="0.2">
      <c r="L365" s="14"/>
    </row>
    <row r="366" spans="12:12" x14ac:dyDescent="0.2">
      <c r="L366" s="14"/>
    </row>
    <row r="367" spans="12:12" x14ac:dyDescent="0.2">
      <c r="L367" s="14"/>
    </row>
    <row r="368" spans="12:12" x14ac:dyDescent="0.2">
      <c r="L368" s="14"/>
    </row>
    <row r="369" spans="12:12" x14ac:dyDescent="0.2">
      <c r="L369" s="14"/>
    </row>
    <row r="370" spans="12:12" x14ac:dyDescent="0.2">
      <c r="L370" s="14"/>
    </row>
    <row r="371" spans="12:12" x14ac:dyDescent="0.2">
      <c r="L371" s="14"/>
    </row>
    <row r="372" spans="12:12" x14ac:dyDescent="0.2">
      <c r="L372" s="14"/>
    </row>
    <row r="373" spans="12:12" x14ac:dyDescent="0.2">
      <c r="L373" s="14"/>
    </row>
    <row r="374" spans="12:12" x14ac:dyDescent="0.2">
      <c r="L374" s="14"/>
    </row>
    <row r="375" spans="12:12" x14ac:dyDescent="0.2">
      <c r="L375" s="14"/>
    </row>
    <row r="376" spans="12:12" x14ac:dyDescent="0.2">
      <c r="L376" s="14"/>
    </row>
    <row r="377" spans="12:12" x14ac:dyDescent="0.2">
      <c r="L377" s="14"/>
    </row>
    <row r="378" spans="12:12" x14ac:dyDescent="0.2">
      <c r="L378" s="14"/>
    </row>
    <row r="379" spans="12:12" x14ac:dyDescent="0.2">
      <c r="L379" s="14"/>
    </row>
    <row r="380" spans="12:12" x14ac:dyDescent="0.2">
      <c r="L380" s="14"/>
    </row>
    <row r="381" spans="12:12" x14ac:dyDescent="0.2">
      <c r="L381" s="14"/>
    </row>
    <row r="382" spans="12:12" x14ac:dyDescent="0.2">
      <c r="L382" s="14"/>
    </row>
    <row r="383" spans="12:12" x14ac:dyDescent="0.2">
      <c r="L383" s="14"/>
    </row>
    <row r="384" spans="12:12" x14ac:dyDescent="0.2">
      <c r="L384" s="14"/>
    </row>
    <row r="385" spans="12:12" x14ac:dyDescent="0.2">
      <c r="L385" s="14"/>
    </row>
    <row r="386" spans="12:12" x14ac:dyDescent="0.2">
      <c r="L386" s="14"/>
    </row>
    <row r="387" spans="12:12" x14ac:dyDescent="0.2">
      <c r="L387" s="14"/>
    </row>
    <row r="388" spans="12:12" x14ac:dyDescent="0.2">
      <c r="L388" s="14"/>
    </row>
    <row r="389" spans="12:12" x14ac:dyDescent="0.2">
      <c r="L389" s="14"/>
    </row>
    <row r="390" spans="12:12" x14ac:dyDescent="0.2">
      <c r="L390" s="14"/>
    </row>
    <row r="391" spans="12:12" x14ac:dyDescent="0.2">
      <c r="L391" s="14"/>
    </row>
    <row r="392" spans="12:12" x14ac:dyDescent="0.2">
      <c r="L392" s="14"/>
    </row>
    <row r="393" spans="12:12" x14ac:dyDescent="0.2">
      <c r="L393" s="14"/>
    </row>
    <row r="394" spans="12:12" x14ac:dyDescent="0.2">
      <c r="L394" s="14"/>
    </row>
    <row r="395" spans="12:12" x14ac:dyDescent="0.2">
      <c r="L395" s="14"/>
    </row>
    <row r="396" spans="12:12" x14ac:dyDescent="0.2">
      <c r="L396" s="14"/>
    </row>
    <row r="397" spans="12:12" x14ac:dyDescent="0.2">
      <c r="L397" s="14"/>
    </row>
    <row r="398" spans="12:12" x14ac:dyDescent="0.2">
      <c r="L398" s="14"/>
    </row>
    <row r="399" spans="12:12" x14ac:dyDescent="0.2">
      <c r="L399" s="14"/>
    </row>
    <row r="400" spans="12:12" x14ac:dyDescent="0.2">
      <c r="L400" s="14"/>
    </row>
    <row r="401" spans="12:12" x14ac:dyDescent="0.2">
      <c r="L401" s="14"/>
    </row>
    <row r="402" spans="12:12" x14ac:dyDescent="0.2">
      <c r="L402" s="14"/>
    </row>
    <row r="403" spans="12:12" x14ac:dyDescent="0.2">
      <c r="L403" s="14"/>
    </row>
    <row r="404" spans="12:12" x14ac:dyDescent="0.2">
      <c r="L404" s="14"/>
    </row>
    <row r="405" spans="12:12" x14ac:dyDescent="0.2">
      <c r="L405" s="14"/>
    </row>
    <row r="406" spans="12:12" x14ac:dyDescent="0.2">
      <c r="L406" s="14"/>
    </row>
    <row r="407" spans="12:12" x14ac:dyDescent="0.2">
      <c r="L407" s="14"/>
    </row>
    <row r="408" spans="12:12" x14ac:dyDescent="0.2">
      <c r="L408" s="14"/>
    </row>
    <row r="409" spans="12:12" x14ac:dyDescent="0.2">
      <c r="L409" s="14"/>
    </row>
    <row r="410" spans="12:12" x14ac:dyDescent="0.2">
      <c r="L410" s="14"/>
    </row>
    <row r="411" spans="12:12" x14ac:dyDescent="0.2">
      <c r="L411" s="14"/>
    </row>
    <row r="412" spans="12:12" x14ac:dyDescent="0.2">
      <c r="L412" s="14"/>
    </row>
    <row r="413" spans="12:12" x14ac:dyDescent="0.2">
      <c r="L413" s="14"/>
    </row>
    <row r="414" spans="12:12" x14ac:dyDescent="0.2">
      <c r="L414" s="14"/>
    </row>
    <row r="415" spans="12:12" x14ac:dyDescent="0.2">
      <c r="L415" s="14"/>
    </row>
    <row r="416" spans="12:12" x14ac:dyDescent="0.2">
      <c r="L416" s="14"/>
    </row>
    <row r="417" spans="12:12" x14ac:dyDescent="0.2">
      <c r="L417" s="14"/>
    </row>
    <row r="418" spans="12:12" x14ac:dyDescent="0.2">
      <c r="L418" s="14"/>
    </row>
    <row r="419" spans="12:12" x14ac:dyDescent="0.2">
      <c r="L419" s="14"/>
    </row>
    <row r="420" spans="12:12" x14ac:dyDescent="0.2">
      <c r="L420" s="14"/>
    </row>
    <row r="421" spans="12:12" x14ac:dyDescent="0.2">
      <c r="L421" s="14"/>
    </row>
    <row r="422" spans="12:12" x14ac:dyDescent="0.2">
      <c r="L422" s="14"/>
    </row>
    <row r="423" spans="12:12" x14ac:dyDescent="0.2">
      <c r="L423" s="14"/>
    </row>
    <row r="424" spans="12:12" x14ac:dyDescent="0.2">
      <c r="L424" s="14"/>
    </row>
    <row r="425" spans="12:12" x14ac:dyDescent="0.2">
      <c r="L425" s="14"/>
    </row>
    <row r="426" spans="12:12" x14ac:dyDescent="0.2">
      <c r="L426" s="14"/>
    </row>
    <row r="427" spans="12:12" x14ac:dyDescent="0.2">
      <c r="L427" s="14"/>
    </row>
    <row r="428" spans="12:12" x14ac:dyDescent="0.2">
      <c r="L428" s="14"/>
    </row>
    <row r="429" spans="12:12" x14ac:dyDescent="0.2">
      <c r="L429" s="14"/>
    </row>
    <row r="430" spans="12:12" x14ac:dyDescent="0.2">
      <c r="L430" s="14"/>
    </row>
    <row r="431" spans="12:12" x14ac:dyDescent="0.2">
      <c r="L431" s="14"/>
    </row>
    <row r="432" spans="12:12" x14ac:dyDescent="0.2">
      <c r="L432" s="14"/>
    </row>
    <row r="433" spans="12:12" x14ac:dyDescent="0.2">
      <c r="L433" s="14"/>
    </row>
    <row r="434" spans="12:12" x14ac:dyDescent="0.2">
      <c r="L434" s="14"/>
    </row>
    <row r="435" spans="12:12" x14ac:dyDescent="0.2">
      <c r="L435" s="14"/>
    </row>
    <row r="436" spans="12:12" x14ac:dyDescent="0.2">
      <c r="L436" s="14"/>
    </row>
    <row r="437" spans="12:12" x14ac:dyDescent="0.2">
      <c r="L437" s="14"/>
    </row>
    <row r="438" spans="12:12" x14ac:dyDescent="0.2">
      <c r="L438" s="14"/>
    </row>
    <row r="439" spans="12:12" x14ac:dyDescent="0.2">
      <c r="L439" s="14"/>
    </row>
    <row r="440" spans="12:12" x14ac:dyDescent="0.2">
      <c r="L440" s="14"/>
    </row>
    <row r="441" spans="12:12" x14ac:dyDescent="0.2">
      <c r="L441" s="14"/>
    </row>
    <row r="442" spans="12:12" x14ac:dyDescent="0.2">
      <c r="L442" s="14"/>
    </row>
    <row r="443" spans="12:12" x14ac:dyDescent="0.2">
      <c r="L443" s="14"/>
    </row>
    <row r="444" spans="12:12" x14ac:dyDescent="0.2">
      <c r="L444" s="14"/>
    </row>
    <row r="445" spans="12:12" x14ac:dyDescent="0.2">
      <c r="L445" s="14"/>
    </row>
    <row r="446" spans="12:12" x14ac:dyDescent="0.2">
      <c r="L446" s="14"/>
    </row>
    <row r="447" spans="12:12" x14ac:dyDescent="0.2">
      <c r="L447" s="14"/>
    </row>
    <row r="448" spans="12:12" x14ac:dyDescent="0.2">
      <c r="L448" s="14"/>
    </row>
    <row r="449" spans="12:12" x14ac:dyDescent="0.2">
      <c r="L449" s="14"/>
    </row>
    <row r="450" spans="12:12" x14ac:dyDescent="0.2">
      <c r="L450" s="14"/>
    </row>
    <row r="451" spans="12:12" x14ac:dyDescent="0.2">
      <c r="L451" s="14"/>
    </row>
    <row r="452" spans="12:12" x14ac:dyDescent="0.2">
      <c r="L452" s="14"/>
    </row>
    <row r="453" spans="12:12" x14ac:dyDescent="0.2">
      <c r="L453" s="14"/>
    </row>
    <row r="454" spans="12:12" x14ac:dyDescent="0.2">
      <c r="L454" s="14"/>
    </row>
    <row r="455" spans="12:12" x14ac:dyDescent="0.2">
      <c r="L455" s="14"/>
    </row>
    <row r="456" spans="12:12" x14ac:dyDescent="0.2">
      <c r="L456" s="14"/>
    </row>
    <row r="457" spans="12:12" x14ac:dyDescent="0.2">
      <c r="L457" s="14"/>
    </row>
    <row r="458" spans="12:12" x14ac:dyDescent="0.2">
      <c r="L458" s="14"/>
    </row>
    <row r="459" spans="12:12" x14ac:dyDescent="0.2">
      <c r="L459" s="14"/>
    </row>
    <row r="460" spans="12:12" x14ac:dyDescent="0.2">
      <c r="L460" s="14"/>
    </row>
    <row r="461" spans="12:12" x14ac:dyDescent="0.2">
      <c r="L461" s="14"/>
    </row>
    <row r="462" spans="12:12" x14ac:dyDescent="0.2">
      <c r="L462" s="14"/>
    </row>
    <row r="463" spans="12:12" x14ac:dyDescent="0.2">
      <c r="L463" s="14"/>
    </row>
    <row r="464" spans="12:12" x14ac:dyDescent="0.2">
      <c r="L464" s="14"/>
    </row>
    <row r="465" spans="12:12" x14ac:dyDescent="0.2">
      <c r="L465" s="14"/>
    </row>
    <row r="466" spans="12:12" x14ac:dyDescent="0.2">
      <c r="L466" s="14"/>
    </row>
    <row r="467" spans="12:12" x14ac:dyDescent="0.2">
      <c r="L467" s="14"/>
    </row>
    <row r="468" spans="12:12" x14ac:dyDescent="0.2">
      <c r="L468" s="14"/>
    </row>
    <row r="469" spans="12:12" x14ac:dyDescent="0.2">
      <c r="L469" s="14"/>
    </row>
    <row r="470" spans="12:12" x14ac:dyDescent="0.2">
      <c r="L470" s="14"/>
    </row>
    <row r="471" spans="12:12" x14ac:dyDescent="0.2">
      <c r="L471" s="14"/>
    </row>
    <row r="472" spans="12:12" x14ac:dyDescent="0.2">
      <c r="L472" s="14"/>
    </row>
    <row r="473" spans="12:12" x14ac:dyDescent="0.2">
      <c r="L473" s="14"/>
    </row>
    <row r="474" spans="12:12" x14ac:dyDescent="0.2">
      <c r="L474" s="14"/>
    </row>
    <row r="475" spans="12:12" x14ac:dyDescent="0.2">
      <c r="L475" s="14"/>
    </row>
    <row r="476" spans="12:12" x14ac:dyDescent="0.2">
      <c r="L476" s="14"/>
    </row>
    <row r="477" spans="12:12" x14ac:dyDescent="0.2">
      <c r="L477" s="14"/>
    </row>
    <row r="478" spans="12:12" x14ac:dyDescent="0.2">
      <c r="L478" s="14"/>
    </row>
    <row r="479" spans="12:12" x14ac:dyDescent="0.2">
      <c r="L479" s="14"/>
    </row>
    <row r="480" spans="12:12" x14ac:dyDescent="0.2">
      <c r="L480" s="14"/>
    </row>
    <row r="481" spans="12:12" x14ac:dyDescent="0.2">
      <c r="L481" s="14"/>
    </row>
    <row r="482" spans="12:12" x14ac:dyDescent="0.2">
      <c r="L482" s="14"/>
    </row>
    <row r="483" spans="12:12" x14ac:dyDescent="0.2">
      <c r="L483" s="14"/>
    </row>
    <row r="484" spans="12:12" x14ac:dyDescent="0.2">
      <c r="L484" s="14"/>
    </row>
    <row r="485" spans="12:12" x14ac:dyDescent="0.2">
      <c r="L485" s="14"/>
    </row>
    <row r="486" spans="12:12" x14ac:dyDescent="0.2">
      <c r="L486" s="14"/>
    </row>
    <row r="487" spans="12:12" x14ac:dyDescent="0.2">
      <c r="L487" s="14"/>
    </row>
    <row r="488" spans="12:12" x14ac:dyDescent="0.2">
      <c r="L488" s="14"/>
    </row>
    <row r="489" spans="12:12" x14ac:dyDescent="0.2">
      <c r="L489" s="14"/>
    </row>
    <row r="490" spans="12:12" x14ac:dyDescent="0.2">
      <c r="L490" s="14"/>
    </row>
    <row r="491" spans="12:12" x14ac:dyDescent="0.2">
      <c r="L491" s="14"/>
    </row>
    <row r="492" spans="12:12" x14ac:dyDescent="0.2">
      <c r="L492" s="14"/>
    </row>
    <row r="493" spans="12:12" x14ac:dyDescent="0.2">
      <c r="L493" s="14"/>
    </row>
    <row r="494" spans="12:12" x14ac:dyDescent="0.2">
      <c r="L494" s="14"/>
    </row>
    <row r="495" spans="12:12" x14ac:dyDescent="0.2">
      <c r="L495" s="14"/>
    </row>
    <row r="496" spans="12:12" x14ac:dyDescent="0.2">
      <c r="L496" s="14"/>
    </row>
    <row r="497" spans="12:12" x14ac:dyDescent="0.2">
      <c r="L497" s="14"/>
    </row>
    <row r="498" spans="12:12" x14ac:dyDescent="0.2">
      <c r="L498" s="14"/>
    </row>
    <row r="499" spans="12:12" x14ac:dyDescent="0.2">
      <c r="L499" s="14"/>
    </row>
    <row r="500" spans="12:12" x14ac:dyDescent="0.2">
      <c r="L500" s="14"/>
    </row>
    <row r="501" spans="12:12" x14ac:dyDescent="0.2">
      <c r="L501" s="14"/>
    </row>
    <row r="502" spans="12:12" x14ac:dyDescent="0.2">
      <c r="L502" s="14"/>
    </row>
    <row r="503" spans="12:12" x14ac:dyDescent="0.2">
      <c r="L503" s="14"/>
    </row>
    <row r="504" spans="12:12" x14ac:dyDescent="0.2">
      <c r="L504" s="14"/>
    </row>
    <row r="505" spans="12:12" x14ac:dyDescent="0.2">
      <c r="L505" s="14"/>
    </row>
    <row r="506" spans="12:12" x14ac:dyDescent="0.2">
      <c r="L506" s="14"/>
    </row>
    <row r="507" spans="12:12" x14ac:dyDescent="0.2">
      <c r="L507" s="14"/>
    </row>
    <row r="508" spans="12:12" x14ac:dyDescent="0.2">
      <c r="L508" s="14"/>
    </row>
    <row r="509" spans="12:12" x14ac:dyDescent="0.2">
      <c r="L509" s="14"/>
    </row>
    <row r="510" spans="12:12" x14ac:dyDescent="0.2">
      <c r="L510" s="14"/>
    </row>
    <row r="511" spans="12:12" x14ac:dyDescent="0.2">
      <c r="L511" s="14"/>
    </row>
    <row r="512" spans="12:12" x14ac:dyDescent="0.2">
      <c r="L512" s="14"/>
    </row>
    <row r="513" spans="12:12" x14ac:dyDescent="0.2">
      <c r="L513" s="14"/>
    </row>
    <row r="514" spans="12:12" x14ac:dyDescent="0.2">
      <c r="L514" s="14"/>
    </row>
    <row r="515" spans="12:12" x14ac:dyDescent="0.2">
      <c r="L515" s="14"/>
    </row>
    <row r="516" spans="12:12" x14ac:dyDescent="0.2">
      <c r="L516" s="14"/>
    </row>
    <row r="517" spans="12:12" x14ac:dyDescent="0.2">
      <c r="L517" s="14"/>
    </row>
    <row r="518" spans="12:12" x14ac:dyDescent="0.2">
      <c r="L518" s="14"/>
    </row>
    <row r="519" spans="12:12" x14ac:dyDescent="0.2">
      <c r="L519" s="14"/>
    </row>
    <row r="520" spans="12:12" x14ac:dyDescent="0.2">
      <c r="L520" s="14"/>
    </row>
    <row r="521" spans="12:12" x14ac:dyDescent="0.2">
      <c r="L521" s="14"/>
    </row>
    <row r="522" spans="12:12" x14ac:dyDescent="0.2">
      <c r="L522" s="14"/>
    </row>
    <row r="523" spans="12:12" x14ac:dyDescent="0.2">
      <c r="L523" s="14"/>
    </row>
    <row r="524" spans="12:12" x14ac:dyDescent="0.2">
      <c r="L524" s="14"/>
    </row>
    <row r="525" spans="12:12" x14ac:dyDescent="0.2">
      <c r="L525" s="14"/>
    </row>
    <row r="526" spans="12:12" x14ac:dyDescent="0.2">
      <c r="L526" s="14"/>
    </row>
    <row r="527" spans="12:12" x14ac:dyDescent="0.2">
      <c r="L527" s="14"/>
    </row>
    <row r="528" spans="12:12" x14ac:dyDescent="0.2">
      <c r="L528" s="14"/>
    </row>
    <row r="529" spans="12:12" x14ac:dyDescent="0.2">
      <c r="L529" s="14"/>
    </row>
    <row r="530" spans="12:12" x14ac:dyDescent="0.2">
      <c r="L530" s="14"/>
    </row>
    <row r="531" spans="12:12" x14ac:dyDescent="0.2">
      <c r="L531" s="14"/>
    </row>
    <row r="532" spans="12:12" x14ac:dyDescent="0.2">
      <c r="L532" s="14"/>
    </row>
    <row r="533" spans="12:12" x14ac:dyDescent="0.2">
      <c r="L533" s="14"/>
    </row>
    <row r="534" spans="12:12" x14ac:dyDescent="0.2">
      <c r="L534" s="14"/>
    </row>
    <row r="535" spans="12:12" x14ac:dyDescent="0.2">
      <c r="L535" s="14"/>
    </row>
    <row r="536" spans="12:12" x14ac:dyDescent="0.2">
      <c r="L536" s="14"/>
    </row>
    <row r="537" spans="12:12" x14ac:dyDescent="0.2">
      <c r="L537" s="14"/>
    </row>
    <row r="538" spans="12:12" x14ac:dyDescent="0.2">
      <c r="L538" s="14"/>
    </row>
    <row r="539" spans="12:12" x14ac:dyDescent="0.2">
      <c r="L539" s="14"/>
    </row>
    <row r="540" spans="12:12" x14ac:dyDescent="0.2">
      <c r="L540" s="14"/>
    </row>
    <row r="541" spans="12:12" x14ac:dyDescent="0.2">
      <c r="L541" s="14"/>
    </row>
    <row r="542" spans="12:12" x14ac:dyDescent="0.2">
      <c r="L542" s="14"/>
    </row>
    <row r="543" spans="12:12" x14ac:dyDescent="0.2">
      <c r="L543" s="14"/>
    </row>
    <row r="544" spans="12:12" x14ac:dyDescent="0.2">
      <c r="L544" s="14"/>
    </row>
    <row r="545" spans="12:12" x14ac:dyDescent="0.2">
      <c r="L545" s="14"/>
    </row>
    <row r="546" spans="12:12" x14ac:dyDescent="0.2">
      <c r="L546" s="14"/>
    </row>
    <row r="547" spans="12:12" x14ac:dyDescent="0.2">
      <c r="L547" s="14"/>
    </row>
    <row r="548" spans="12:12" x14ac:dyDescent="0.2">
      <c r="L548" s="14"/>
    </row>
    <row r="549" spans="12:12" x14ac:dyDescent="0.2">
      <c r="L549" s="14"/>
    </row>
    <row r="550" spans="12:12" x14ac:dyDescent="0.2">
      <c r="L550" s="14"/>
    </row>
    <row r="551" spans="12:12" x14ac:dyDescent="0.2">
      <c r="L551" s="14"/>
    </row>
    <row r="552" spans="12:12" x14ac:dyDescent="0.2">
      <c r="L552" s="14"/>
    </row>
    <row r="553" spans="12:12" x14ac:dyDescent="0.2">
      <c r="L553" s="14"/>
    </row>
    <row r="554" spans="12:12" x14ac:dyDescent="0.2">
      <c r="L554" s="14"/>
    </row>
    <row r="555" spans="12:12" x14ac:dyDescent="0.2">
      <c r="L555" s="14"/>
    </row>
    <row r="556" spans="12:12" x14ac:dyDescent="0.2">
      <c r="L556" s="14"/>
    </row>
    <row r="557" spans="12:12" x14ac:dyDescent="0.2">
      <c r="L557" s="14"/>
    </row>
    <row r="558" spans="12:12" x14ac:dyDescent="0.2">
      <c r="L558" s="14"/>
    </row>
    <row r="559" spans="12:12" x14ac:dyDescent="0.2">
      <c r="L559" s="14"/>
    </row>
    <row r="560" spans="12:12" x14ac:dyDescent="0.2">
      <c r="L560" s="14"/>
    </row>
    <row r="561" spans="12:12" x14ac:dyDescent="0.2">
      <c r="L561" s="14"/>
    </row>
    <row r="562" spans="12:12" x14ac:dyDescent="0.2">
      <c r="L562" s="14"/>
    </row>
    <row r="563" spans="12:12" x14ac:dyDescent="0.2">
      <c r="L563" s="14"/>
    </row>
    <row r="564" spans="12:12" x14ac:dyDescent="0.2">
      <c r="L564" s="14"/>
    </row>
    <row r="565" spans="12:12" x14ac:dyDescent="0.2">
      <c r="L565" s="14"/>
    </row>
    <row r="566" spans="12:12" x14ac:dyDescent="0.2">
      <c r="L566" s="14"/>
    </row>
    <row r="567" spans="12:12" x14ac:dyDescent="0.2">
      <c r="L567" s="14"/>
    </row>
    <row r="568" spans="12:12" x14ac:dyDescent="0.2">
      <c r="L568" s="14"/>
    </row>
    <row r="569" spans="12:12" x14ac:dyDescent="0.2">
      <c r="L569" s="14"/>
    </row>
    <row r="570" spans="12:12" x14ac:dyDescent="0.2">
      <c r="L570" s="14"/>
    </row>
    <row r="571" spans="12:12" x14ac:dyDescent="0.2">
      <c r="L571" s="14"/>
    </row>
    <row r="572" spans="12:12" x14ac:dyDescent="0.2">
      <c r="L572" s="14"/>
    </row>
    <row r="573" spans="12:12" x14ac:dyDescent="0.2">
      <c r="L573" s="14"/>
    </row>
    <row r="574" spans="12:12" x14ac:dyDescent="0.2">
      <c r="L574" s="14"/>
    </row>
    <row r="575" spans="12:12" x14ac:dyDescent="0.2">
      <c r="L575" s="14"/>
    </row>
    <row r="576" spans="12:12" x14ac:dyDescent="0.2">
      <c r="L576" s="14"/>
    </row>
    <row r="577" spans="12:12" x14ac:dyDescent="0.2">
      <c r="L577" s="14"/>
    </row>
    <row r="578" spans="12:12" x14ac:dyDescent="0.2">
      <c r="L578" s="14"/>
    </row>
    <row r="579" spans="12:12" x14ac:dyDescent="0.2">
      <c r="L579" s="14"/>
    </row>
    <row r="580" spans="12:12" x14ac:dyDescent="0.2">
      <c r="L580" s="14"/>
    </row>
    <row r="581" spans="12:12" x14ac:dyDescent="0.2">
      <c r="L581" s="14"/>
    </row>
    <row r="582" spans="12:12" x14ac:dyDescent="0.2">
      <c r="L582" s="14"/>
    </row>
    <row r="583" spans="12:12" x14ac:dyDescent="0.2">
      <c r="L583" s="14"/>
    </row>
    <row r="584" spans="12:12" x14ac:dyDescent="0.2">
      <c r="L584" s="14"/>
    </row>
    <row r="585" spans="12:12" x14ac:dyDescent="0.2">
      <c r="L585" s="14"/>
    </row>
    <row r="586" spans="12:12" x14ac:dyDescent="0.2">
      <c r="L586" s="14"/>
    </row>
    <row r="587" spans="12:12" x14ac:dyDescent="0.2">
      <c r="L587" s="14"/>
    </row>
    <row r="588" spans="12:12" x14ac:dyDescent="0.2">
      <c r="L588" s="14"/>
    </row>
    <row r="589" spans="12:12" x14ac:dyDescent="0.2">
      <c r="L589" s="14"/>
    </row>
    <row r="590" spans="12:12" x14ac:dyDescent="0.2">
      <c r="L590" s="14"/>
    </row>
    <row r="591" spans="12:12" x14ac:dyDescent="0.2">
      <c r="L591" s="14"/>
    </row>
    <row r="592" spans="12:12" x14ac:dyDescent="0.2">
      <c r="L592" s="14"/>
    </row>
    <row r="593" spans="12:12" x14ac:dyDescent="0.2">
      <c r="L593" s="14"/>
    </row>
    <row r="594" spans="12:12" x14ac:dyDescent="0.2">
      <c r="L594" s="14"/>
    </row>
    <row r="595" spans="12:12" x14ac:dyDescent="0.2">
      <c r="L595" s="14"/>
    </row>
    <row r="596" spans="12:12" x14ac:dyDescent="0.2">
      <c r="L596" s="14"/>
    </row>
    <row r="597" spans="12:12" x14ac:dyDescent="0.2">
      <c r="L597" s="14"/>
    </row>
    <row r="598" spans="12:12" x14ac:dyDescent="0.2">
      <c r="L598" s="14"/>
    </row>
    <row r="599" spans="12:12" x14ac:dyDescent="0.2">
      <c r="L599" s="14"/>
    </row>
    <row r="600" spans="12:12" x14ac:dyDescent="0.2">
      <c r="L600" s="14"/>
    </row>
    <row r="601" spans="12:12" x14ac:dyDescent="0.2">
      <c r="L601" s="14"/>
    </row>
    <row r="602" spans="12:12" x14ac:dyDescent="0.2">
      <c r="L602" s="14"/>
    </row>
    <row r="603" spans="12:12" x14ac:dyDescent="0.2">
      <c r="L603" s="14"/>
    </row>
    <row r="604" spans="12:12" x14ac:dyDescent="0.2">
      <c r="L604" s="14"/>
    </row>
    <row r="605" spans="12:12" x14ac:dyDescent="0.2">
      <c r="L605" s="14"/>
    </row>
    <row r="606" spans="12:12" x14ac:dyDescent="0.2">
      <c r="L606" s="14"/>
    </row>
    <row r="607" spans="12:12" x14ac:dyDescent="0.2">
      <c r="L607" s="14"/>
    </row>
    <row r="608" spans="12:12" x14ac:dyDescent="0.2">
      <c r="L608" s="14"/>
    </row>
    <row r="609" spans="12:12" x14ac:dyDescent="0.2">
      <c r="L609" s="14"/>
    </row>
    <row r="610" spans="12:12" x14ac:dyDescent="0.2">
      <c r="L610" s="14"/>
    </row>
    <row r="611" spans="12:12" x14ac:dyDescent="0.2">
      <c r="L611" s="14"/>
    </row>
    <row r="612" spans="12:12" x14ac:dyDescent="0.2">
      <c r="L612" s="14"/>
    </row>
    <row r="613" spans="12:12" x14ac:dyDescent="0.2">
      <c r="L613" s="14"/>
    </row>
    <row r="614" spans="12:12" x14ac:dyDescent="0.2">
      <c r="L614" s="14"/>
    </row>
    <row r="615" spans="12:12" x14ac:dyDescent="0.2">
      <c r="L615" s="14"/>
    </row>
    <row r="616" spans="12:12" x14ac:dyDescent="0.2">
      <c r="L616" s="14"/>
    </row>
    <row r="617" spans="12:12" x14ac:dyDescent="0.2">
      <c r="L617" s="14"/>
    </row>
    <row r="618" spans="12:12" x14ac:dyDescent="0.2">
      <c r="L618" s="14"/>
    </row>
    <row r="619" spans="12:12" x14ac:dyDescent="0.2">
      <c r="L619" s="14"/>
    </row>
    <row r="620" spans="12:12" x14ac:dyDescent="0.2">
      <c r="L620" s="14"/>
    </row>
    <row r="621" spans="12:12" x14ac:dyDescent="0.2">
      <c r="L621" s="14"/>
    </row>
    <row r="622" spans="12:12" x14ac:dyDescent="0.2">
      <c r="L622" s="14"/>
    </row>
    <row r="623" spans="12:12" x14ac:dyDescent="0.2">
      <c r="L623" s="14"/>
    </row>
    <row r="624" spans="12:12" x14ac:dyDescent="0.2">
      <c r="L624" s="14"/>
    </row>
    <row r="625" spans="12:12" x14ac:dyDescent="0.2">
      <c r="L625" s="14"/>
    </row>
    <row r="626" spans="12:12" x14ac:dyDescent="0.2">
      <c r="L626" s="14"/>
    </row>
    <row r="627" spans="12:12" x14ac:dyDescent="0.2">
      <c r="L627" s="14"/>
    </row>
    <row r="628" spans="12:12" x14ac:dyDescent="0.2">
      <c r="L628" s="14"/>
    </row>
    <row r="629" spans="12:12" x14ac:dyDescent="0.2">
      <c r="L629" s="14"/>
    </row>
    <row r="630" spans="12:12" x14ac:dyDescent="0.2">
      <c r="L630" s="14"/>
    </row>
    <row r="631" spans="12:12" x14ac:dyDescent="0.2">
      <c r="L631" s="14"/>
    </row>
    <row r="632" spans="12:12" x14ac:dyDescent="0.2">
      <c r="L632" s="14"/>
    </row>
    <row r="633" spans="12:12" x14ac:dyDescent="0.2">
      <c r="L633" s="14"/>
    </row>
    <row r="634" spans="12:12" x14ac:dyDescent="0.2">
      <c r="L634" s="14"/>
    </row>
    <row r="635" spans="12:12" x14ac:dyDescent="0.2">
      <c r="L635" s="14"/>
    </row>
    <row r="636" spans="12:12" x14ac:dyDescent="0.2">
      <c r="L636" s="14"/>
    </row>
    <row r="637" spans="12:12" x14ac:dyDescent="0.2">
      <c r="L637" s="14"/>
    </row>
    <row r="638" spans="12:12" x14ac:dyDescent="0.2">
      <c r="L638" s="14"/>
    </row>
    <row r="639" spans="12:12" x14ac:dyDescent="0.2">
      <c r="L639" s="14"/>
    </row>
    <row r="640" spans="12:12" x14ac:dyDescent="0.2">
      <c r="L640" s="14"/>
    </row>
    <row r="641" spans="12:12" x14ac:dyDescent="0.2">
      <c r="L641" s="14"/>
    </row>
    <row r="642" spans="12:12" x14ac:dyDescent="0.2">
      <c r="L642" s="14"/>
    </row>
    <row r="643" spans="12:12" x14ac:dyDescent="0.2">
      <c r="L643" s="14"/>
    </row>
    <row r="644" spans="12:12" x14ac:dyDescent="0.2">
      <c r="L644" s="14"/>
    </row>
    <row r="645" spans="12:12" x14ac:dyDescent="0.2">
      <c r="L645" s="14"/>
    </row>
    <row r="646" spans="12:12" x14ac:dyDescent="0.2">
      <c r="L646" s="14"/>
    </row>
    <row r="647" spans="12:12" x14ac:dyDescent="0.2">
      <c r="L647" s="14"/>
    </row>
    <row r="648" spans="12:12" x14ac:dyDescent="0.2">
      <c r="L648" s="14"/>
    </row>
    <row r="649" spans="12:12" x14ac:dyDescent="0.2">
      <c r="L649" s="14"/>
    </row>
    <row r="650" spans="12:12" x14ac:dyDescent="0.2">
      <c r="L650" s="14"/>
    </row>
    <row r="651" spans="12:12" x14ac:dyDescent="0.2">
      <c r="L651" s="14"/>
    </row>
    <row r="652" spans="12:12" x14ac:dyDescent="0.2">
      <c r="L652" s="14"/>
    </row>
    <row r="653" spans="12:12" x14ac:dyDescent="0.2">
      <c r="L653" s="14"/>
    </row>
    <row r="654" spans="12:12" x14ac:dyDescent="0.2">
      <c r="L654" s="14"/>
    </row>
    <row r="655" spans="12:12" x14ac:dyDescent="0.2">
      <c r="L655" s="14"/>
    </row>
    <row r="656" spans="12:12" x14ac:dyDescent="0.2">
      <c r="L656" s="14"/>
    </row>
    <row r="657" spans="12:12" x14ac:dyDescent="0.2">
      <c r="L657" s="14"/>
    </row>
    <row r="658" spans="12:12" x14ac:dyDescent="0.2">
      <c r="L658" s="14"/>
    </row>
    <row r="659" spans="12:12" x14ac:dyDescent="0.2">
      <c r="L659" s="14"/>
    </row>
    <row r="660" spans="12:12" x14ac:dyDescent="0.2">
      <c r="L660" s="14"/>
    </row>
    <row r="661" spans="12:12" x14ac:dyDescent="0.2">
      <c r="L661" s="14"/>
    </row>
    <row r="662" spans="12:12" x14ac:dyDescent="0.2">
      <c r="L662" s="14"/>
    </row>
    <row r="663" spans="12:12" x14ac:dyDescent="0.2">
      <c r="L663" s="14"/>
    </row>
    <row r="664" spans="12:12" x14ac:dyDescent="0.2">
      <c r="L664" s="14"/>
    </row>
    <row r="665" spans="12:12" x14ac:dyDescent="0.2">
      <c r="L665" s="14"/>
    </row>
    <row r="666" spans="12:12" x14ac:dyDescent="0.2">
      <c r="L666" s="14"/>
    </row>
    <row r="667" spans="12:12" x14ac:dyDescent="0.2">
      <c r="L667" s="14"/>
    </row>
    <row r="668" spans="12:12" x14ac:dyDescent="0.2">
      <c r="L668" s="14"/>
    </row>
    <row r="669" spans="12:12" x14ac:dyDescent="0.2">
      <c r="L669" s="14"/>
    </row>
    <row r="670" spans="12:12" x14ac:dyDescent="0.2">
      <c r="L670" s="14"/>
    </row>
    <row r="671" spans="12:12" x14ac:dyDescent="0.2">
      <c r="L671" s="14"/>
    </row>
    <row r="672" spans="12:12" x14ac:dyDescent="0.2">
      <c r="L672" s="14"/>
    </row>
    <row r="673" spans="12:12" x14ac:dyDescent="0.2">
      <c r="L673" s="14"/>
    </row>
    <row r="674" spans="12:12" x14ac:dyDescent="0.2">
      <c r="L674" s="14"/>
    </row>
    <row r="675" spans="12:12" x14ac:dyDescent="0.2">
      <c r="L675" s="14"/>
    </row>
    <row r="676" spans="12:12" x14ac:dyDescent="0.2">
      <c r="L676" s="14"/>
    </row>
    <row r="677" spans="12:12" x14ac:dyDescent="0.2">
      <c r="L677" s="14"/>
    </row>
    <row r="678" spans="12:12" x14ac:dyDescent="0.2">
      <c r="L678" s="14"/>
    </row>
    <row r="679" spans="12:12" x14ac:dyDescent="0.2">
      <c r="L679" s="14"/>
    </row>
    <row r="680" spans="12:12" x14ac:dyDescent="0.2">
      <c r="L680" s="14"/>
    </row>
    <row r="681" spans="12:12" x14ac:dyDescent="0.2">
      <c r="L681" s="14"/>
    </row>
    <row r="682" spans="12:12" x14ac:dyDescent="0.2">
      <c r="L682" s="14"/>
    </row>
    <row r="683" spans="12:12" x14ac:dyDescent="0.2">
      <c r="L683" s="14"/>
    </row>
    <row r="684" spans="12:12" x14ac:dyDescent="0.2">
      <c r="L684" s="14"/>
    </row>
    <row r="685" spans="12:12" x14ac:dyDescent="0.2">
      <c r="L685" s="14"/>
    </row>
    <row r="686" spans="12:12" x14ac:dyDescent="0.2">
      <c r="L686" s="14"/>
    </row>
    <row r="687" spans="12:12" x14ac:dyDescent="0.2">
      <c r="L687" s="14"/>
    </row>
    <row r="688" spans="12:12" x14ac:dyDescent="0.2">
      <c r="L688" s="14"/>
    </row>
    <row r="689" spans="12:12" x14ac:dyDescent="0.2">
      <c r="L689" s="14"/>
    </row>
    <row r="690" spans="12:12" x14ac:dyDescent="0.2">
      <c r="L690" s="14"/>
    </row>
    <row r="691" spans="12:12" x14ac:dyDescent="0.2">
      <c r="L691" s="14"/>
    </row>
    <row r="692" spans="12:12" x14ac:dyDescent="0.2">
      <c r="L692" s="14"/>
    </row>
    <row r="693" spans="12:12" x14ac:dyDescent="0.2">
      <c r="L693" s="14"/>
    </row>
    <row r="694" spans="12:12" x14ac:dyDescent="0.2">
      <c r="L694" s="14"/>
    </row>
    <row r="695" spans="12:12" x14ac:dyDescent="0.2">
      <c r="L695" s="14"/>
    </row>
    <row r="696" spans="12:12" x14ac:dyDescent="0.2">
      <c r="L696" s="14"/>
    </row>
    <row r="697" spans="12:12" x14ac:dyDescent="0.2">
      <c r="L697" s="14"/>
    </row>
    <row r="698" spans="12:12" x14ac:dyDescent="0.2">
      <c r="L698" s="14"/>
    </row>
    <row r="699" spans="12:12" x14ac:dyDescent="0.2">
      <c r="L699" s="14"/>
    </row>
    <row r="700" spans="12:12" x14ac:dyDescent="0.2">
      <c r="L700" s="14"/>
    </row>
    <row r="701" spans="12:12" x14ac:dyDescent="0.2">
      <c r="L701" s="14"/>
    </row>
    <row r="702" spans="12:12" x14ac:dyDescent="0.2">
      <c r="L702" s="14"/>
    </row>
    <row r="703" spans="12:12" x14ac:dyDescent="0.2">
      <c r="L703" s="14"/>
    </row>
    <row r="704" spans="12:12" x14ac:dyDescent="0.2">
      <c r="L704" s="14"/>
    </row>
    <row r="705" spans="12:12" x14ac:dyDescent="0.2">
      <c r="L705" s="14"/>
    </row>
    <row r="706" spans="12:12" x14ac:dyDescent="0.2">
      <c r="L706" s="14"/>
    </row>
    <row r="707" spans="12:12" x14ac:dyDescent="0.2">
      <c r="L707" s="14"/>
    </row>
    <row r="708" spans="12:12" x14ac:dyDescent="0.2">
      <c r="L708" s="14"/>
    </row>
    <row r="709" spans="12:12" x14ac:dyDescent="0.2">
      <c r="L709" s="14"/>
    </row>
    <row r="710" spans="12:12" x14ac:dyDescent="0.2">
      <c r="L710" s="14"/>
    </row>
    <row r="711" spans="12:12" x14ac:dyDescent="0.2">
      <c r="L711" s="14"/>
    </row>
    <row r="712" spans="12:12" x14ac:dyDescent="0.2">
      <c r="L712" s="14"/>
    </row>
    <row r="713" spans="12:12" x14ac:dyDescent="0.2">
      <c r="L713" s="14"/>
    </row>
    <row r="714" spans="12:12" x14ac:dyDescent="0.2">
      <c r="L714" s="14"/>
    </row>
    <row r="715" spans="12:12" x14ac:dyDescent="0.2">
      <c r="L715" s="14"/>
    </row>
    <row r="716" spans="12:12" x14ac:dyDescent="0.2">
      <c r="L716" s="14"/>
    </row>
    <row r="717" spans="12:12" x14ac:dyDescent="0.2">
      <c r="L717" s="14"/>
    </row>
    <row r="718" spans="12:12" x14ac:dyDescent="0.2">
      <c r="L718" s="14"/>
    </row>
    <row r="719" spans="12:12" x14ac:dyDescent="0.2">
      <c r="L719" s="14"/>
    </row>
    <row r="720" spans="12:12" x14ac:dyDescent="0.2">
      <c r="L720" s="14"/>
    </row>
    <row r="721" spans="12:12" x14ac:dyDescent="0.2">
      <c r="L721" s="14"/>
    </row>
    <row r="722" spans="12:12" x14ac:dyDescent="0.2">
      <c r="L722" s="14"/>
    </row>
    <row r="723" spans="12:12" x14ac:dyDescent="0.2">
      <c r="L723" s="14"/>
    </row>
    <row r="724" spans="12:12" x14ac:dyDescent="0.2">
      <c r="L724" s="14"/>
    </row>
    <row r="725" spans="12:12" x14ac:dyDescent="0.2">
      <c r="L725" s="14"/>
    </row>
    <row r="726" spans="12:12" x14ac:dyDescent="0.2">
      <c r="L726" s="14"/>
    </row>
    <row r="727" spans="12:12" x14ac:dyDescent="0.2">
      <c r="L727" s="14"/>
    </row>
    <row r="728" spans="12:12" x14ac:dyDescent="0.2">
      <c r="L728" s="14"/>
    </row>
    <row r="729" spans="12:12" x14ac:dyDescent="0.2">
      <c r="L729" s="14"/>
    </row>
    <row r="730" spans="12:12" x14ac:dyDescent="0.2">
      <c r="L730" s="14"/>
    </row>
    <row r="731" spans="12:12" x14ac:dyDescent="0.2">
      <c r="L731" s="14"/>
    </row>
    <row r="732" spans="12:12" x14ac:dyDescent="0.2">
      <c r="L732" s="14"/>
    </row>
    <row r="733" spans="12:12" x14ac:dyDescent="0.2">
      <c r="L733" s="14"/>
    </row>
    <row r="734" spans="12:12" x14ac:dyDescent="0.2">
      <c r="L734" s="14"/>
    </row>
    <row r="735" spans="12:12" x14ac:dyDescent="0.2">
      <c r="L735" s="14"/>
    </row>
    <row r="736" spans="12:12" x14ac:dyDescent="0.2">
      <c r="L736" s="14"/>
    </row>
    <row r="737" spans="12:12" x14ac:dyDescent="0.2">
      <c r="L737" s="14"/>
    </row>
    <row r="738" spans="12:12" x14ac:dyDescent="0.2">
      <c r="L738" s="14"/>
    </row>
    <row r="739" spans="12:12" x14ac:dyDescent="0.2">
      <c r="L739" s="14"/>
    </row>
    <row r="740" spans="12:12" x14ac:dyDescent="0.2">
      <c r="L740" s="14"/>
    </row>
    <row r="741" spans="12:12" x14ac:dyDescent="0.2">
      <c r="L741" s="14"/>
    </row>
    <row r="742" spans="12:12" x14ac:dyDescent="0.2">
      <c r="L742" s="14"/>
    </row>
    <row r="743" spans="12:12" x14ac:dyDescent="0.2">
      <c r="L743" s="14"/>
    </row>
    <row r="744" spans="12:12" x14ac:dyDescent="0.2">
      <c r="L744" s="14"/>
    </row>
    <row r="745" spans="12:12" x14ac:dyDescent="0.2">
      <c r="L745" s="14"/>
    </row>
    <row r="746" spans="12:12" x14ac:dyDescent="0.2">
      <c r="L746" s="14"/>
    </row>
    <row r="747" spans="12:12" x14ac:dyDescent="0.2">
      <c r="L747" s="14"/>
    </row>
    <row r="748" spans="12:12" x14ac:dyDescent="0.2">
      <c r="L748" s="14"/>
    </row>
    <row r="749" spans="12:12" x14ac:dyDescent="0.2">
      <c r="L749" s="14"/>
    </row>
    <row r="750" spans="12:12" x14ac:dyDescent="0.2">
      <c r="L750" s="14"/>
    </row>
    <row r="751" spans="12:12" x14ac:dyDescent="0.2">
      <c r="L751" s="14"/>
    </row>
    <row r="752" spans="12:12" x14ac:dyDescent="0.2">
      <c r="L752" s="14"/>
    </row>
    <row r="753" spans="12:12" x14ac:dyDescent="0.2">
      <c r="L753" s="14"/>
    </row>
    <row r="754" spans="12:12" x14ac:dyDescent="0.2">
      <c r="L754" s="14"/>
    </row>
    <row r="755" spans="12:12" x14ac:dyDescent="0.2">
      <c r="L755" s="14"/>
    </row>
    <row r="756" spans="12:12" x14ac:dyDescent="0.2">
      <c r="L756" s="14"/>
    </row>
    <row r="757" spans="12:12" x14ac:dyDescent="0.2">
      <c r="L757" s="14"/>
    </row>
    <row r="758" spans="12:12" x14ac:dyDescent="0.2">
      <c r="L758" s="14"/>
    </row>
    <row r="759" spans="12:12" x14ac:dyDescent="0.2">
      <c r="L759" s="14"/>
    </row>
    <row r="760" spans="12:12" x14ac:dyDescent="0.2">
      <c r="L760" s="14"/>
    </row>
    <row r="761" spans="12:12" x14ac:dyDescent="0.2">
      <c r="L761" s="14"/>
    </row>
    <row r="762" spans="12:12" x14ac:dyDescent="0.2">
      <c r="L762" s="14"/>
    </row>
    <row r="763" spans="12:12" x14ac:dyDescent="0.2">
      <c r="L763" s="14"/>
    </row>
    <row r="764" spans="12:12" x14ac:dyDescent="0.2">
      <c r="L764" s="14"/>
    </row>
    <row r="765" spans="12:12" x14ac:dyDescent="0.2">
      <c r="L765" s="14"/>
    </row>
    <row r="766" spans="12:12" x14ac:dyDescent="0.2">
      <c r="L766" s="14"/>
    </row>
    <row r="767" spans="12:12" x14ac:dyDescent="0.2">
      <c r="L767" s="14"/>
    </row>
    <row r="768" spans="12:12" x14ac:dyDescent="0.2">
      <c r="L768" s="14"/>
    </row>
    <row r="769" spans="12:12" x14ac:dyDescent="0.2">
      <c r="L769" s="14"/>
    </row>
    <row r="770" spans="12:12" x14ac:dyDescent="0.2">
      <c r="L770" s="14"/>
    </row>
    <row r="771" spans="12:12" x14ac:dyDescent="0.2">
      <c r="L771" s="14"/>
    </row>
    <row r="772" spans="12:12" x14ac:dyDescent="0.2">
      <c r="L772" s="14"/>
    </row>
    <row r="773" spans="12:12" x14ac:dyDescent="0.2">
      <c r="L773" s="14"/>
    </row>
    <row r="774" spans="12:12" x14ac:dyDescent="0.2">
      <c r="L774" s="14"/>
    </row>
    <row r="775" spans="12:12" x14ac:dyDescent="0.2">
      <c r="L775" s="14"/>
    </row>
    <row r="776" spans="12:12" x14ac:dyDescent="0.2">
      <c r="L776" s="14"/>
    </row>
    <row r="777" spans="12:12" x14ac:dyDescent="0.2">
      <c r="L777" s="14"/>
    </row>
    <row r="778" spans="12:12" x14ac:dyDescent="0.2">
      <c r="L778" s="14"/>
    </row>
    <row r="779" spans="12:12" x14ac:dyDescent="0.2">
      <c r="L779" s="14"/>
    </row>
    <row r="780" spans="12:12" x14ac:dyDescent="0.2">
      <c r="L780" s="14"/>
    </row>
    <row r="781" spans="12:12" x14ac:dyDescent="0.2">
      <c r="L781" s="14"/>
    </row>
    <row r="782" spans="12:12" x14ac:dyDescent="0.2">
      <c r="L782" s="14"/>
    </row>
    <row r="783" spans="12:12" x14ac:dyDescent="0.2">
      <c r="L783" s="14"/>
    </row>
    <row r="784" spans="12:12" x14ac:dyDescent="0.2">
      <c r="L784" s="14"/>
    </row>
    <row r="785" spans="12:12" x14ac:dyDescent="0.2">
      <c r="L785" s="14"/>
    </row>
    <row r="786" spans="12:12" x14ac:dyDescent="0.2">
      <c r="L786" s="14"/>
    </row>
    <row r="787" spans="12:12" x14ac:dyDescent="0.2">
      <c r="L787" s="14"/>
    </row>
    <row r="788" spans="12:12" x14ac:dyDescent="0.2">
      <c r="L788" s="14"/>
    </row>
    <row r="789" spans="12:12" x14ac:dyDescent="0.2">
      <c r="L789" s="14"/>
    </row>
    <row r="790" spans="12:12" x14ac:dyDescent="0.2">
      <c r="L790" s="14"/>
    </row>
    <row r="791" spans="12:12" x14ac:dyDescent="0.2">
      <c r="L791" s="14"/>
    </row>
    <row r="792" spans="12:12" x14ac:dyDescent="0.2">
      <c r="L792" s="14"/>
    </row>
    <row r="793" spans="12:12" x14ac:dyDescent="0.2">
      <c r="L793" s="14"/>
    </row>
    <row r="794" spans="12:12" x14ac:dyDescent="0.2">
      <c r="L794" s="14"/>
    </row>
    <row r="795" spans="12:12" x14ac:dyDescent="0.2">
      <c r="L795" s="14"/>
    </row>
    <row r="796" spans="12:12" x14ac:dyDescent="0.2">
      <c r="L796" s="14"/>
    </row>
    <row r="797" spans="12:12" x14ac:dyDescent="0.2">
      <c r="L797" s="14"/>
    </row>
    <row r="798" spans="12:12" x14ac:dyDescent="0.2">
      <c r="L798" s="14"/>
    </row>
    <row r="799" spans="12:12" x14ac:dyDescent="0.2">
      <c r="L799" s="14"/>
    </row>
    <row r="800" spans="12:12" x14ac:dyDescent="0.2">
      <c r="L800" s="14"/>
    </row>
    <row r="801" spans="12:12" x14ac:dyDescent="0.2">
      <c r="L801" s="14"/>
    </row>
    <row r="802" spans="12:12" x14ac:dyDescent="0.2">
      <c r="L802" s="14"/>
    </row>
    <row r="803" spans="12:12" x14ac:dyDescent="0.2">
      <c r="L803" s="14"/>
    </row>
    <row r="804" spans="12:12" x14ac:dyDescent="0.2">
      <c r="L804" s="14"/>
    </row>
    <row r="805" spans="12:12" x14ac:dyDescent="0.2">
      <c r="L805" s="14"/>
    </row>
    <row r="806" spans="12:12" x14ac:dyDescent="0.2">
      <c r="L806" s="14"/>
    </row>
    <row r="807" spans="12:12" x14ac:dyDescent="0.2">
      <c r="L807" s="14"/>
    </row>
    <row r="808" spans="12:12" x14ac:dyDescent="0.2">
      <c r="L808" s="14"/>
    </row>
    <row r="809" spans="12:12" x14ac:dyDescent="0.2">
      <c r="L809" s="14"/>
    </row>
    <row r="810" spans="12:12" x14ac:dyDescent="0.2">
      <c r="L810" s="14"/>
    </row>
    <row r="811" spans="12:12" x14ac:dyDescent="0.2">
      <c r="L811" s="14"/>
    </row>
    <row r="812" spans="12:12" x14ac:dyDescent="0.2">
      <c r="L812" s="14"/>
    </row>
    <row r="813" spans="12:12" x14ac:dyDescent="0.2">
      <c r="L813" s="14"/>
    </row>
    <row r="814" spans="12:12" x14ac:dyDescent="0.2">
      <c r="L814" s="14"/>
    </row>
    <row r="815" spans="12:12" x14ac:dyDescent="0.2">
      <c r="L815" s="14"/>
    </row>
    <row r="816" spans="12:12" x14ac:dyDescent="0.2">
      <c r="L816" s="14"/>
    </row>
    <row r="817" spans="12:12" x14ac:dyDescent="0.2">
      <c r="L817" s="14"/>
    </row>
    <row r="818" spans="12:12" x14ac:dyDescent="0.2">
      <c r="L818" s="14"/>
    </row>
    <row r="819" spans="12:12" x14ac:dyDescent="0.2">
      <c r="L819" s="14"/>
    </row>
    <row r="820" spans="12:12" x14ac:dyDescent="0.2">
      <c r="L820" s="14"/>
    </row>
    <row r="821" spans="12:12" x14ac:dyDescent="0.2">
      <c r="L821" s="14"/>
    </row>
    <row r="822" spans="12:12" x14ac:dyDescent="0.2">
      <c r="L822" s="14"/>
    </row>
    <row r="823" spans="12:12" x14ac:dyDescent="0.2">
      <c r="L823" s="14"/>
    </row>
    <row r="824" spans="12:12" x14ac:dyDescent="0.2">
      <c r="L824" s="14"/>
    </row>
    <row r="825" spans="12:12" x14ac:dyDescent="0.2">
      <c r="L825" s="14"/>
    </row>
    <row r="826" spans="12:12" x14ac:dyDescent="0.2">
      <c r="L826" s="14"/>
    </row>
    <row r="827" spans="12:12" x14ac:dyDescent="0.2">
      <c r="L827" s="14"/>
    </row>
    <row r="828" spans="12:12" x14ac:dyDescent="0.2">
      <c r="L828" s="14"/>
    </row>
    <row r="829" spans="12:12" x14ac:dyDescent="0.2">
      <c r="L829" s="14"/>
    </row>
    <row r="830" spans="12:12" x14ac:dyDescent="0.2">
      <c r="L830" s="14"/>
    </row>
    <row r="831" spans="12:12" x14ac:dyDescent="0.2">
      <c r="L831" s="14"/>
    </row>
    <row r="832" spans="12:12" x14ac:dyDescent="0.2">
      <c r="L832" s="14"/>
    </row>
    <row r="833" spans="12:12" x14ac:dyDescent="0.2">
      <c r="L833" s="14"/>
    </row>
    <row r="834" spans="12:12" x14ac:dyDescent="0.2">
      <c r="L834" s="14"/>
    </row>
    <row r="835" spans="12:12" x14ac:dyDescent="0.2">
      <c r="L835" s="14"/>
    </row>
    <row r="836" spans="12:12" x14ac:dyDescent="0.2">
      <c r="L836" s="14"/>
    </row>
    <row r="837" spans="12:12" x14ac:dyDescent="0.2">
      <c r="L837" s="14"/>
    </row>
    <row r="838" spans="12:12" x14ac:dyDescent="0.2">
      <c r="L838" s="14"/>
    </row>
    <row r="839" spans="12:12" x14ac:dyDescent="0.2">
      <c r="L839" s="14"/>
    </row>
    <row r="840" spans="12:12" x14ac:dyDescent="0.2">
      <c r="L840" s="14"/>
    </row>
    <row r="841" spans="12:12" x14ac:dyDescent="0.2">
      <c r="L841" s="14"/>
    </row>
    <row r="842" spans="12:12" x14ac:dyDescent="0.2">
      <c r="L842" s="14"/>
    </row>
    <row r="843" spans="12:12" x14ac:dyDescent="0.2">
      <c r="L843" s="14"/>
    </row>
    <row r="844" spans="12:12" x14ac:dyDescent="0.2">
      <c r="L844" s="14"/>
    </row>
    <row r="845" spans="12:12" x14ac:dyDescent="0.2">
      <c r="L845" s="14"/>
    </row>
    <row r="846" spans="12:12" x14ac:dyDescent="0.2">
      <c r="L846" s="14"/>
    </row>
    <row r="847" spans="12:12" x14ac:dyDescent="0.2">
      <c r="L847" s="14"/>
    </row>
    <row r="848" spans="12:12" x14ac:dyDescent="0.2">
      <c r="L848" s="14"/>
    </row>
    <row r="849" spans="12:12" x14ac:dyDescent="0.2">
      <c r="L849" s="14"/>
    </row>
    <row r="850" spans="12:12" x14ac:dyDescent="0.2">
      <c r="L850" s="14"/>
    </row>
    <row r="851" spans="12:12" x14ac:dyDescent="0.2">
      <c r="L851" s="14"/>
    </row>
    <row r="852" spans="12:12" x14ac:dyDescent="0.2">
      <c r="L852" s="14"/>
    </row>
    <row r="853" spans="12:12" x14ac:dyDescent="0.2">
      <c r="L853" s="14"/>
    </row>
    <row r="854" spans="12:12" x14ac:dyDescent="0.2">
      <c r="L854" s="14"/>
    </row>
    <row r="855" spans="12:12" x14ac:dyDescent="0.2">
      <c r="L855" s="14"/>
    </row>
    <row r="856" spans="12:12" x14ac:dyDescent="0.2">
      <c r="L856" s="14"/>
    </row>
    <row r="857" spans="12:12" x14ac:dyDescent="0.2">
      <c r="L857" s="14"/>
    </row>
    <row r="858" spans="12:12" x14ac:dyDescent="0.2">
      <c r="L858" s="14"/>
    </row>
    <row r="859" spans="12:12" x14ac:dyDescent="0.2">
      <c r="L859" s="14"/>
    </row>
    <row r="860" spans="12:12" x14ac:dyDescent="0.2">
      <c r="L860" s="14"/>
    </row>
    <row r="861" spans="12:12" x14ac:dyDescent="0.2">
      <c r="L861" s="14"/>
    </row>
    <row r="862" spans="12:12" x14ac:dyDescent="0.2">
      <c r="L862" s="14"/>
    </row>
    <row r="863" spans="12:12" x14ac:dyDescent="0.2">
      <c r="L863" s="14"/>
    </row>
    <row r="864" spans="12:12" x14ac:dyDescent="0.2">
      <c r="L864" s="14"/>
    </row>
    <row r="865" spans="12:12" x14ac:dyDescent="0.2">
      <c r="L865" s="14"/>
    </row>
    <row r="866" spans="12:12" x14ac:dyDescent="0.2">
      <c r="L866" s="14"/>
    </row>
    <row r="867" spans="12:12" x14ac:dyDescent="0.2">
      <c r="L867" s="14"/>
    </row>
    <row r="868" spans="12:12" x14ac:dyDescent="0.2">
      <c r="L868" s="14"/>
    </row>
    <row r="869" spans="12:12" x14ac:dyDescent="0.2">
      <c r="L869" s="14"/>
    </row>
    <row r="870" spans="12:12" x14ac:dyDescent="0.2">
      <c r="L870" s="14"/>
    </row>
    <row r="871" spans="12:12" x14ac:dyDescent="0.2">
      <c r="L871" s="14"/>
    </row>
    <row r="872" spans="12:12" x14ac:dyDescent="0.2">
      <c r="L872" s="14"/>
    </row>
    <row r="873" spans="12:12" x14ac:dyDescent="0.2">
      <c r="L873" s="14"/>
    </row>
    <row r="874" spans="12:12" x14ac:dyDescent="0.2">
      <c r="L874" s="14"/>
    </row>
    <row r="875" spans="12:12" x14ac:dyDescent="0.2">
      <c r="L875" s="14"/>
    </row>
    <row r="876" spans="12:12" x14ac:dyDescent="0.2">
      <c r="L876" s="14"/>
    </row>
    <row r="877" spans="12:12" x14ac:dyDescent="0.2">
      <c r="L877" s="14"/>
    </row>
    <row r="878" spans="12:12" x14ac:dyDescent="0.2">
      <c r="L878" s="14"/>
    </row>
    <row r="879" spans="12:12" x14ac:dyDescent="0.2">
      <c r="L879" s="14"/>
    </row>
    <row r="880" spans="12:12" x14ac:dyDescent="0.2">
      <c r="L880" s="14"/>
    </row>
    <row r="881" spans="12:12" x14ac:dyDescent="0.2">
      <c r="L881" s="14"/>
    </row>
    <row r="882" spans="12:12" x14ac:dyDescent="0.2">
      <c r="L882" s="14"/>
    </row>
    <row r="883" spans="12:12" x14ac:dyDescent="0.2">
      <c r="L883" s="14"/>
    </row>
    <row r="884" spans="12:12" x14ac:dyDescent="0.2">
      <c r="L884" s="14"/>
    </row>
    <row r="885" spans="12:12" x14ac:dyDescent="0.2">
      <c r="L885" s="14"/>
    </row>
    <row r="886" spans="12:12" x14ac:dyDescent="0.2">
      <c r="L886" s="14"/>
    </row>
    <row r="887" spans="12:12" x14ac:dyDescent="0.2">
      <c r="L887" s="14"/>
    </row>
    <row r="888" spans="12:12" x14ac:dyDescent="0.2">
      <c r="L888" s="14"/>
    </row>
    <row r="889" spans="12:12" x14ac:dyDescent="0.2">
      <c r="L889" s="14"/>
    </row>
    <row r="890" spans="12:12" x14ac:dyDescent="0.2">
      <c r="L890" s="14"/>
    </row>
    <row r="891" spans="12:12" x14ac:dyDescent="0.2">
      <c r="L891" s="14"/>
    </row>
    <row r="892" spans="12:12" x14ac:dyDescent="0.2">
      <c r="L892" s="14"/>
    </row>
    <row r="893" spans="12:12" x14ac:dyDescent="0.2">
      <c r="L893" s="14"/>
    </row>
    <row r="894" spans="12:12" x14ac:dyDescent="0.2">
      <c r="L894" s="14"/>
    </row>
    <row r="895" spans="12:12" x14ac:dyDescent="0.2">
      <c r="L895" s="14"/>
    </row>
    <row r="896" spans="12:12" x14ac:dyDescent="0.2">
      <c r="L896" s="14"/>
    </row>
    <row r="897" spans="12:12" x14ac:dyDescent="0.2">
      <c r="L897" s="14"/>
    </row>
    <row r="898" spans="12:12" x14ac:dyDescent="0.2">
      <c r="L898" s="14"/>
    </row>
    <row r="899" spans="12:12" x14ac:dyDescent="0.2">
      <c r="L899" s="14"/>
    </row>
    <row r="900" spans="12:12" x14ac:dyDescent="0.2">
      <c r="L900" s="14"/>
    </row>
    <row r="901" spans="12:12" x14ac:dyDescent="0.2">
      <c r="L901" s="14"/>
    </row>
    <row r="902" spans="12:12" x14ac:dyDescent="0.2">
      <c r="L902" s="14"/>
    </row>
    <row r="903" spans="12:12" x14ac:dyDescent="0.2">
      <c r="L903" s="14"/>
    </row>
    <row r="904" spans="12:12" x14ac:dyDescent="0.2">
      <c r="L904" s="14"/>
    </row>
    <row r="905" spans="12:12" x14ac:dyDescent="0.2">
      <c r="L905" s="14"/>
    </row>
    <row r="906" spans="12:12" x14ac:dyDescent="0.2">
      <c r="L906" s="14"/>
    </row>
    <row r="907" spans="12:12" x14ac:dyDescent="0.2">
      <c r="L907" s="14"/>
    </row>
    <row r="908" spans="12:12" x14ac:dyDescent="0.2">
      <c r="L908" s="14"/>
    </row>
    <row r="909" spans="12:12" x14ac:dyDescent="0.2">
      <c r="L909" s="14"/>
    </row>
    <row r="910" spans="12:12" x14ac:dyDescent="0.2">
      <c r="L910" s="14"/>
    </row>
    <row r="911" spans="12:12" x14ac:dyDescent="0.2">
      <c r="L911" s="14"/>
    </row>
    <row r="912" spans="12:12" x14ac:dyDescent="0.2">
      <c r="L912" s="14"/>
    </row>
    <row r="913" spans="12:12" x14ac:dyDescent="0.2">
      <c r="L913" s="14"/>
    </row>
    <row r="914" spans="12:12" x14ac:dyDescent="0.2">
      <c r="L914" s="14"/>
    </row>
    <row r="915" spans="12:12" x14ac:dyDescent="0.2">
      <c r="L915" s="14"/>
    </row>
    <row r="916" spans="12:12" x14ac:dyDescent="0.2">
      <c r="L916" s="14"/>
    </row>
    <row r="917" spans="12:12" x14ac:dyDescent="0.2">
      <c r="L917" s="14"/>
    </row>
    <row r="918" spans="12:12" x14ac:dyDescent="0.2">
      <c r="L918" s="14"/>
    </row>
    <row r="919" spans="12:12" x14ac:dyDescent="0.2">
      <c r="L919" s="14"/>
    </row>
    <row r="920" spans="12:12" x14ac:dyDescent="0.2">
      <c r="L920" s="14"/>
    </row>
    <row r="921" spans="12:12" x14ac:dyDescent="0.2">
      <c r="L921" s="14"/>
    </row>
    <row r="922" spans="12:12" x14ac:dyDescent="0.2">
      <c r="L922" s="14"/>
    </row>
    <row r="923" spans="12:12" x14ac:dyDescent="0.2">
      <c r="L923" s="14"/>
    </row>
    <row r="924" spans="12:12" x14ac:dyDescent="0.2">
      <c r="L924" s="14"/>
    </row>
    <row r="925" spans="12:12" x14ac:dyDescent="0.2">
      <c r="L925" s="14"/>
    </row>
    <row r="926" spans="12:12" x14ac:dyDescent="0.2">
      <c r="L926" s="14"/>
    </row>
    <row r="927" spans="12:12" x14ac:dyDescent="0.2">
      <c r="L927" s="14"/>
    </row>
    <row r="928" spans="12:12" x14ac:dyDescent="0.2">
      <c r="L928" s="14"/>
    </row>
    <row r="929" spans="12:12" x14ac:dyDescent="0.2">
      <c r="L929" s="14"/>
    </row>
    <row r="930" spans="12:12" x14ac:dyDescent="0.2">
      <c r="L930" s="14"/>
    </row>
    <row r="931" spans="12:12" x14ac:dyDescent="0.2">
      <c r="L931" s="14"/>
    </row>
    <row r="932" spans="12:12" x14ac:dyDescent="0.2">
      <c r="L932" s="14"/>
    </row>
    <row r="933" spans="12:12" x14ac:dyDescent="0.2">
      <c r="L933" s="14"/>
    </row>
    <row r="934" spans="12:12" x14ac:dyDescent="0.2">
      <c r="L934" s="14"/>
    </row>
    <row r="935" spans="12:12" x14ac:dyDescent="0.2">
      <c r="L935" s="14"/>
    </row>
    <row r="936" spans="12:12" x14ac:dyDescent="0.2">
      <c r="L936" s="14"/>
    </row>
    <row r="937" spans="12:12" x14ac:dyDescent="0.2">
      <c r="L937" s="14"/>
    </row>
    <row r="938" spans="12:12" x14ac:dyDescent="0.2">
      <c r="L938" s="14"/>
    </row>
    <row r="939" spans="12:12" x14ac:dyDescent="0.2">
      <c r="L939" s="14"/>
    </row>
    <row r="940" spans="12:12" x14ac:dyDescent="0.2">
      <c r="L940" s="14"/>
    </row>
    <row r="941" spans="12:12" x14ac:dyDescent="0.2">
      <c r="L941" s="14"/>
    </row>
    <row r="942" spans="12:12" x14ac:dyDescent="0.2">
      <c r="L942" s="14"/>
    </row>
    <row r="943" spans="12:12" x14ac:dyDescent="0.2">
      <c r="L943" s="14"/>
    </row>
    <row r="944" spans="12:12" x14ac:dyDescent="0.2">
      <c r="L944" s="14"/>
    </row>
    <row r="945" spans="12:12" x14ac:dyDescent="0.2">
      <c r="L945" s="14"/>
    </row>
    <row r="946" spans="12:12" x14ac:dyDescent="0.2">
      <c r="L946" s="14"/>
    </row>
    <row r="947" spans="12:12" x14ac:dyDescent="0.2">
      <c r="L947" s="14"/>
    </row>
    <row r="948" spans="12:12" x14ac:dyDescent="0.2">
      <c r="L948" s="14"/>
    </row>
    <row r="949" spans="12:12" x14ac:dyDescent="0.2">
      <c r="L949" s="14"/>
    </row>
    <row r="950" spans="12:12" x14ac:dyDescent="0.2">
      <c r="L950" s="14"/>
    </row>
    <row r="951" spans="12:12" x14ac:dyDescent="0.2">
      <c r="L951" s="14"/>
    </row>
    <row r="952" spans="12:12" x14ac:dyDescent="0.2">
      <c r="L952" s="14"/>
    </row>
    <row r="953" spans="12:12" x14ac:dyDescent="0.2">
      <c r="L953" s="14"/>
    </row>
    <row r="954" spans="12:12" x14ac:dyDescent="0.2">
      <c r="L954" s="14"/>
    </row>
    <row r="955" spans="12:12" x14ac:dyDescent="0.2">
      <c r="L955" s="14"/>
    </row>
    <row r="956" spans="12:12" x14ac:dyDescent="0.2">
      <c r="L956" s="14"/>
    </row>
    <row r="957" spans="12:12" x14ac:dyDescent="0.2">
      <c r="L957" s="14"/>
    </row>
    <row r="958" spans="12:12" x14ac:dyDescent="0.2">
      <c r="L958" s="14"/>
    </row>
    <row r="959" spans="12:12" x14ac:dyDescent="0.2">
      <c r="L959" s="14"/>
    </row>
    <row r="960" spans="12:12" x14ac:dyDescent="0.2">
      <c r="L960" s="14"/>
    </row>
    <row r="961" spans="12:12" x14ac:dyDescent="0.2">
      <c r="L961" s="14"/>
    </row>
    <row r="962" spans="12:12" x14ac:dyDescent="0.2">
      <c r="L962" s="14"/>
    </row>
    <row r="963" spans="12:12" x14ac:dyDescent="0.2">
      <c r="L963" s="14"/>
    </row>
    <row r="964" spans="12:12" x14ac:dyDescent="0.2">
      <c r="L964" s="14"/>
    </row>
    <row r="965" spans="12:12" x14ac:dyDescent="0.2">
      <c r="L965" s="14"/>
    </row>
    <row r="966" spans="12:12" x14ac:dyDescent="0.2">
      <c r="L966" s="14"/>
    </row>
    <row r="967" spans="12:12" x14ac:dyDescent="0.2">
      <c r="L967" s="14"/>
    </row>
    <row r="968" spans="12:12" x14ac:dyDescent="0.2">
      <c r="L968" s="14"/>
    </row>
    <row r="969" spans="12:12" x14ac:dyDescent="0.2">
      <c r="L969" s="14"/>
    </row>
    <row r="970" spans="12:12" x14ac:dyDescent="0.2">
      <c r="L970" s="14"/>
    </row>
    <row r="971" spans="12:12" x14ac:dyDescent="0.2">
      <c r="L971" s="14"/>
    </row>
    <row r="972" spans="12:12" x14ac:dyDescent="0.2">
      <c r="L972" s="14"/>
    </row>
    <row r="973" spans="12:12" x14ac:dyDescent="0.2">
      <c r="L973" s="14"/>
    </row>
    <row r="974" spans="12:12" x14ac:dyDescent="0.2">
      <c r="L974" s="14"/>
    </row>
    <row r="975" spans="12:12" x14ac:dyDescent="0.2">
      <c r="L975" s="14"/>
    </row>
    <row r="976" spans="12:12" x14ac:dyDescent="0.2">
      <c r="L976" s="14"/>
    </row>
    <row r="977" spans="12:12" x14ac:dyDescent="0.2">
      <c r="L977" s="14"/>
    </row>
    <row r="978" spans="12:12" x14ac:dyDescent="0.2">
      <c r="L978" s="14"/>
    </row>
    <row r="979" spans="12:12" x14ac:dyDescent="0.2">
      <c r="L979" s="14"/>
    </row>
    <row r="980" spans="12:12" x14ac:dyDescent="0.2">
      <c r="L980" s="14"/>
    </row>
    <row r="981" spans="12:12" x14ac:dyDescent="0.2">
      <c r="L981" s="14"/>
    </row>
    <row r="982" spans="12:12" x14ac:dyDescent="0.2">
      <c r="L982" s="14"/>
    </row>
    <row r="983" spans="12:12" x14ac:dyDescent="0.2">
      <c r="L983" s="14"/>
    </row>
    <row r="984" spans="12:12" x14ac:dyDescent="0.2">
      <c r="L984" s="14"/>
    </row>
    <row r="985" spans="12:12" x14ac:dyDescent="0.2">
      <c r="L985" s="14"/>
    </row>
    <row r="986" spans="12:12" x14ac:dyDescent="0.2">
      <c r="L986" s="14"/>
    </row>
    <row r="987" spans="12:12" x14ac:dyDescent="0.2">
      <c r="L987" s="14"/>
    </row>
    <row r="988" spans="12:12" x14ac:dyDescent="0.2">
      <c r="L988" s="14"/>
    </row>
    <row r="989" spans="12:12" x14ac:dyDescent="0.2">
      <c r="L989" s="14"/>
    </row>
    <row r="990" spans="12:12" x14ac:dyDescent="0.2">
      <c r="L990" s="14"/>
    </row>
    <row r="991" spans="12:12" x14ac:dyDescent="0.2">
      <c r="L991" s="14"/>
    </row>
    <row r="992" spans="12:12" x14ac:dyDescent="0.2">
      <c r="L992" s="14"/>
    </row>
    <row r="993" spans="1:12" x14ac:dyDescent="0.2">
      <c r="L993" s="14"/>
    </row>
    <row r="994" spans="1:12" x14ac:dyDescent="0.2">
      <c r="L994" s="14"/>
    </row>
    <row r="995" spans="1:12" x14ac:dyDescent="0.2">
      <c r="L995" s="14"/>
    </row>
    <row r="996" spans="1:12" x14ac:dyDescent="0.2">
      <c r="L996" s="14"/>
    </row>
    <row r="997" spans="1:12" x14ac:dyDescent="0.2">
      <c r="L997" s="14"/>
    </row>
    <row r="998" spans="1:12" x14ac:dyDescent="0.2">
      <c r="L998" s="14"/>
    </row>
    <row r="999" spans="1:12" x14ac:dyDescent="0.2">
      <c r="L999" s="14"/>
    </row>
    <row r="1000" spans="1:12" x14ac:dyDescent="0.2">
      <c r="A1000" t="s">
        <v>70</v>
      </c>
      <c r="B1000" t="s">
        <v>555</v>
      </c>
      <c r="C1000" t="s">
        <v>556</v>
      </c>
      <c r="D1000" t="s">
        <v>612</v>
      </c>
      <c r="E1000" t="s">
        <v>617</v>
      </c>
      <c r="F1000">
        <v>319383.90000000002</v>
      </c>
      <c r="G1000">
        <v>263509.96999999997</v>
      </c>
      <c r="H1000">
        <v>0</v>
      </c>
      <c r="I1000">
        <v>30700</v>
      </c>
      <c r="J1000">
        <v>0</v>
      </c>
      <c r="K1000">
        <v>0</v>
      </c>
      <c r="L1000">
        <f>SUM(F1000:K1000)</f>
        <v>613593.87</v>
      </c>
    </row>
    <row r="1001" spans="1:12" x14ac:dyDescent="0.2">
      <c r="A1001" t="s">
        <v>276</v>
      </c>
      <c r="B1001" t="s">
        <v>562</v>
      </c>
      <c r="C1001" t="s">
        <v>563</v>
      </c>
      <c r="D1001" t="s">
        <v>612</v>
      </c>
      <c r="E1001" t="s">
        <v>617</v>
      </c>
      <c r="F1001">
        <v>44390</v>
      </c>
      <c r="G1001">
        <v>0</v>
      </c>
      <c r="H1001">
        <v>0</v>
      </c>
      <c r="I1001">
        <v>0</v>
      </c>
      <c r="J1001">
        <v>1000</v>
      </c>
      <c r="K1001">
        <v>4800</v>
      </c>
      <c r="L1001">
        <f>SUM(F1001:K1001)</f>
        <v>50190</v>
      </c>
    </row>
    <row r="1002" spans="1:12" x14ac:dyDescent="0.2">
      <c r="A1002" t="s">
        <v>276</v>
      </c>
      <c r="B1002" t="s">
        <v>568</v>
      </c>
      <c r="C1002" t="s">
        <v>569</v>
      </c>
      <c r="D1002" t="s">
        <v>612</v>
      </c>
      <c r="E1002" t="s">
        <v>617</v>
      </c>
      <c r="F1002">
        <v>113986.55</v>
      </c>
      <c r="G1002">
        <v>0</v>
      </c>
      <c r="H1002">
        <v>10010</v>
      </c>
      <c r="I1002">
        <v>0</v>
      </c>
      <c r="J1002">
        <v>1970.28</v>
      </c>
      <c r="K1002">
        <v>0</v>
      </c>
      <c r="L1002">
        <f>SUM(F1002:K1002)</f>
        <v>125966.83</v>
      </c>
    </row>
    <row r="1003" spans="1:12" x14ac:dyDescent="0.2">
      <c r="A1003" t="s">
        <v>276</v>
      </c>
      <c r="B1003" t="s">
        <v>574</v>
      </c>
      <c r="C1003" t="s">
        <v>575</v>
      </c>
      <c r="D1003" t="s">
        <v>612</v>
      </c>
      <c r="E1003" t="s">
        <v>617</v>
      </c>
      <c r="F1003">
        <v>12000</v>
      </c>
      <c r="G1003">
        <v>0</v>
      </c>
      <c r="H1003">
        <v>0</v>
      </c>
      <c r="I1003">
        <v>0</v>
      </c>
      <c r="J1003">
        <v>0</v>
      </c>
      <c r="K1003">
        <v>0</v>
      </c>
      <c r="L1003">
        <f>SUM(F1003:K1003)</f>
        <v>12000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baseColWidth="10" defaultColWidth="14.5" defaultRowHeight="15" customHeight="1" x14ac:dyDescent="0.2"/>
  <cols>
    <col min="1" max="26" width="8.6640625" customWidth="1"/>
  </cols>
  <sheetData>
    <row r="1" spans="1:11" x14ac:dyDescent="0.2">
      <c r="A1" s="1" t="s">
        <v>0</v>
      </c>
      <c r="B1" s="1" t="s">
        <v>1</v>
      </c>
      <c r="C1" s="1" t="s">
        <v>2</v>
      </c>
      <c r="D1" s="1" t="s">
        <v>1678</v>
      </c>
      <c r="E1" s="1" t="s">
        <v>1679</v>
      </c>
      <c r="F1" s="1" t="s">
        <v>603</v>
      </c>
      <c r="G1" s="1" t="s">
        <v>1680</v>
      </c>
      <c r="H1" s="1" t="s">
        <v>1681</v>
      </c>
      <c r="I1" s="1" t="s">
        <v>1682</v>
      </c>
      <c r="J1" s="1" t="s">
        <v>1683</v>
      </c>
      <c r="K1" s="1" t="s">
        <v>16</v>
      </c>
    </row>
    <row r="2" spans="1:11" x14ac:dyDescent="0.2">
      <c r="A2" s="5" t="s">
        <v>26</v>
      </c>
      <c r="B2" s="5" t="s">
        <v>27</v>
      </c>
      <c r="C2" s="5" t="s">
        <v>28</v>
      </c>
      <c r="D2" s="5" t="s">
        <v>913</v>
      </c>
    </row>
    <row r="3" spans="1:11" x14ac:dyDescent="0.2">
      <c r="A3" s="5" t="s">
        <v>26</v>
      </c>
      <c r="B3" s="5" t="s">
        <v>40</v>
      </c>
      <c r="C3" s="5" t="s">
        <v>41</v>
      </c>
      <c r="D3" s="5" t="s">
        <v>612</v>
      </c>
      <c r="E3" s="5" t="s">
        <v>1684</v>
      </c>
      <c r="F3" s="5" t="s">
        <v>1685</v>
      </c>
      <c r="G3" s="5" t="s">
        <v>612</v>
      </c>
      <c r="H3" s="5" t="s">
        <v>1686</v>
      </c>
      <c r="I3" s="5">
        <v>0</v>
      </c>
      <c r="J3" s="5">
        <v>20000</v>
      </c>
      <c r="K3" s="5" t="s">
        <v>1687</v>
      </c>
    </row>
    <row r="4" spans="1:11" x14ac:dyDescent="0.2">
      <c r="A4" s="5" t="s">
        <v>26</v>
      </c>
      <c r="B4" s="5" t="s">
        <v>40</v>
      </c>
      <c r="C4" s="5" t="s">
        <v>41</v>
      </c>
      <c r="D4" s="5" t="s">
        <v>612</v>
      </c>
      <c r="E4" s="5" t="s">
        <v>1684</v>
      </c>
      <c r="F4" s="5" t="s">
        <v>1688</v>
      </c>
      <c r="G4" s="5" t="s">
        <v>612</v>
      </c>
      <c r="H4" s="5" t="s">
        <v>1689</v>
      </c>
      <c r="I4" s="5">
        <v>0</v>
      </c>
      <c r="J4" s="5">
        <v>275000</v>
      </c>
      <c r="K4" s="5" t="s">
        <v>1690</v>
      </c>
    </row>
    <row r="5" spans="1:11" x14ac:dyDescent="0.2">
      <c r="A5" s="5" t="s">
        <v>26</v>
      </c>
      <c r="B5" s="5" t="s">
        <v>40</v>
      </c>
      <c r="C5" s="5" t="s">
        <v>41</v>
      </c>
      <c r="D5" s="5" t="s">
        <v>612</v>
      </c>
      <c r="E5" s="5" t="s">
        <v>1684</v>
      </c>
      <c r="F5" s="5" t="s">
        <v>1685</v>
      </c>
      <c r="G5" s="5" t="s">
        <v>612</v>
      </c>
      <c r="H5" s="5" t="s">
        <v>1686</v>
      </c>
      <c r="I5" s="5">
        <v>0</v>
      </c>
      <c r="J5" s="5">
        <v>20000</v>
      </c>
      <c r="K5" s="5" t="s">
        <v>1687</v>
      </c>
    </row>
    <row r="6" spans="1:11" x14ac:dyDescent="0.2">
      <c r="A6" s="5" t="s">
        <v>26</v>
      </c>
      <c r="B6" s="5" t="s">
        <v>40</v>
      </c>
      <c r="C6" s="5" t="s">
        <v>41</v>
      </c>
      <c r="D6" s="5" t="s">
        <v>612</v>
      </c>
      <c r="E6" s="5" t="s">
        <v>1684</v>
      </c>
      <c r="F6" s="5" t="s">
        <v>1688</v>
      </c>
      <c r="G6" s="5" t="s">
        <v>612</v>
      </c>
      <c r="H6" s="5" t="s">
        <v>1689</v>
      </c>
      <c r="I6" s="5">
        <v>0</v>
      </c>
      <c r="J6" s="5">
        <v>275000</v>
      </c>
      <c r="K6" s="5" t="s">
        <v>1690</v>
      </c>
    </row>
    <row r="7" spans="1:11" x14ac:dyDescent="0.2">
      <c r="A7" s="5" t="s">
        <v>26</v>
      </c>
      <c r="B7" s="5" t="s">
        <v>50</v>
      </c>
      <c r="C7" s="5" t="s">
        <v>51</v>
      </c>
      <c r="D7" s="5" t="s">
        <v>612</v>
      </c>
      <c r="E7" s="5" t="s">
        <v>1684</v>
      </c>
      <c r="F7" s="5" t="s">
        <v>1691</v>
      </c>
      <c r="G7" s="5" t="s">
        <v>612</v>
      </c>
      <c r="H7" s="5" t="s">
        <v>1692</v>
      </c>
      <c r="I7" s="5">
        <v>0</v>
      </c>
      <c r="J7" s="5">
        <v>31270</v>
      </c>
      <c r="K7" s="5" t="s">
        <v>1693</v>
      </c>
    </row>
    <row r="8" spans="1:11" x14ac:dyDescent="0.2">
      <c r="A8" s="5" t="s">
        <v>26</v>
      </c>
      <c r="B8" s="5" t="s">
        <v>50</v>
      </c>
      <c r="C8" s="5" t="s">
        <v>51</v>
      </c>
      <c r="D8" s="5" t="s">
        <v>612</v>
      </c>
      <c r="E8" s="5" t="s">
        <v>1684</v>
      </c>
      <c r="F8" s="5" t="s">
        <v>1694</v>
      </c>
      <c r="G8" s="5" t="s">
        <v>612</v>
      </c>
      <c r="H8" s="5" t="s">
        <v>1695</v>
      </c>
      <c r="I8" s="5">
        <v>394000</v>
      </c>
      <c r="J8" s="5">
        <v>394000</v>
      </c>
      <c r="K8" s="5" t="s">
        <v>1696</v>
      </c>
    </row>
    <row r="9" spans="1:11" x14ac:dyDescent="0.2">
      <c r="A9" s="5" t="s">
        <v>26</v>
      </c>
      <c r="B9" s="5" t="s">
        <v>50</v>
      </c>
      <c r="C9" s="5" t="s">
        <v>51</v>
      </c>
      <c r="D9" s="5" t="s">
        <v>612</v>
      </c>
      <c r="E9" s="5" t="s">
        <v>1684</v>
      </c>
      <c r="F9" s="5" t="s">
        <v>1697</v>
      </c>
      <c r="G9" s="5" t="s">
        <v>612</v>
      </c>
      <c r="H9" s="5" t="s">
        <v>1698</v>
      </c>
      <c r="I9" s="5">
        <v>7000</v>
      </c>
      <c r="J9" s="5">
        <v>7000</v>
      </c>
      <c r="K9" s="5" t="s">
        <v>1699</v>
      </c>
    </row>
    <row r="10" spans="1:11" x14ac:dyDescent="0.2">
      <c r="A10" s="5" t="s">
        <v>26</v>
      </c>
      <c r="B10" s="5" t="s">
        <v>61</v>
      </c>
      <c r="C10" s="5" t="s">
        <v>62</v>
      </c>
      <c r="D10" s="5" t="s">
        <v>612</v>
      </c>
      <c r="E10" s="5" t="s">
        <v>1684</v>
      </c>
      <c r="F10" s="5" t="s">
        <v>1700</v>
      </c>
      <c r="G10" s="5" t="s">
        <v>612</v>
      </c>
      <c r="H10" s="5" t="s">
        <v>1701</v>
      </c>
      <c r="I10" s="5">
        <v>102494.3</v>
      </c>
      <c r="J10" s="5">
        <v>102494.3</v>
      </c>
      <c r="K10" s="5" t="s">
        <v>1702</v>
      </c>
    </row>
    <row r="11" spans="1:11" x14ac:dyDescent="0.2">
      <c r="A11" s="5" t="s">
        <v>26</v>
      </c>
      <c r="B11" s="5" t="s">
        <v>61</v>
      </c>
      <c r="C11" s="5" t="s">
        <v>62</v>
      </c>
      <c r="D11" s="5" t="s">
        <v>612</v>
      </c>
      <c r="E11" s="5" t="s">
        <v>1684</v>
      </c>
      <c r="F11" s="5" t="s">
        <v>1703</v>
      </c>
      <c r="G11" s="5" t="s">
        <v>612</v>
      </c>
      <c r="H11" s="5" t="s">
        <v>1704</v>
      </c>
      <c r="I11" s="5">
        <v>61758</v>
      </c>
      <c r="J11" s="5">
        <v>61758</v>
      </c>
      <c r="K11" s="5" t="s">
        <v>1702</v>
      </c>
    </row>
    <row r="12" spans="1:11" x14ac:dyDescent="0.2">
      <c r="A12" s="5" t="s">
        <v>26</v>
      </c>
      <c r="B12" s="5" t="s">
        <v>61</v>
      </c>
      <c r="C12" s="5" t="s">
        <v>62</v>
      </c>
      <c r="D12" s="5" t="s">
        <v>612</v>
      </c>
      <c r="E12" s="5" t="s">
        <v>1684</v>
      </c>
      <c r="F12" s="5" t="s">
        <v>1705</v>
      </c>
      <c r="G12" s="5" t="s">
        <v>612</v>
      </c>
      <c r="H12" s="5" t="s">
        <v>1706</v>
      </c>
      <c r="I12" s="5">
        <v>656955.57999999996</v>
      </c>
      <c r="J12" s="5">
        <v>656955.57999999996</v>
      </c>
      <c r="K12" s="5" t="s">
        <v>1707</v>
      </c>
    </row>
    <row r="13" spans="1:11" x14ac:dyDescent="0.2">
      <c r="A13" s="5" t="s">
        <v>70</v>
      </c>
      <c r="B13" s="5" t="s">
        <v>71</v>
      </c>
      <c r="C13" s="5" t="s">
        <v>72</v>
      </c>
      <c r="D13" s="5" t="s">
        <v>612</v>
      </c>
      <c r="E13" s="5" t="s">
        <v>1708</v>
      </c>
      <c r="F13" s="5" t="s">
        <v>1709</v>
      </c>
      <c r="G13" s="5" t="s">
        <v>612</v>
      </c>
      <c r="H13" s="5" t="s">
        <v>1710</v>
      </c>
      <c r="I13" s="5">
        <v>16354</v>
      </c>
      <c r="J13" s="5">
        <v>16354</v>
      </c>
      <c r="K13" s="5" t="s">
        <v>1711</v>
      </c>
    </row>
    <row r="14" spans="1:11" x14ac:dyDescent="0.2">
      <c r="A14" s="5" t="s">
        <v>70</v>
      </c>
      <c r="B14" s="5" t="s">
        <v>71</v>
      </c>
      <c r="C14" s="5" t="s">
        <v>72</v>
      </c>
      <c r="D14" s="5" t="s">
        <v>612</v>
      </c>
      <c r="E14" s="5" t="s">
        <v>1712</v>
      </c>
      <c r="F14" s="5" t="s">
        <v>1713</v>
      </c>
      <c r="G14" s="5" t="s">
        <v>612</v>
      </c>
      <c r="H14" s="5" t="s">
        <v>1714</v>
      </c>
      <c r="I14" s="5">
        <v>201077</v>
      </c>
      <c r="J14" s="5">
        <v>201077</v>
      </c>
      <c r="K14" s="5" t="s">
        <v>1711</v>
      </c>
    </row>
    <row r="15" spans="1:11" x14ac:dyDescent="0.2">
      <c r="A15" s="5" t="s">
        <v>70</v>
      </c>
      <c r="B15" s="5" t="s">
        <v>71</v>
      </c>
      <c r="C15" s="5" t="s">
        <v>72</v>
      </c>
      <c r="D15" s="5" t="s">
        <v>612</v>
      </c>
      <c r="E15" s="5" t="s">
        <v>1715</v>
      </c>
      <c r="F15" s="5" t="s">
        <v>1716</v>
      </c>
      <c r="G15" s="5" t="s">
        <v>612</v>
      </c>
      <c r="H15" s="5" t="s">
        <v>1717</v>
      </c>
      <c r="I15" s="5">
        <v>23689</v>
      </c>
      <c r="J15" s="5">
        <v>23689</v>
      </c>
      <c r="K15" s="5" t="s">
        <v>1711</v>
      </c>
    </row>
    <row r="16" spans="1:11" x14ac:dyDescent="0.2">
      <c r="A16" s="5" t="s">
        <v>70</v>
      </c>
      <c r="B16" s="5" t="s">
        <v>82</v>
      </c>
      <c r="C16" s="5" t="s">
        <v>83</v>
      </c>
      <c r="D16" s="5" t="s">
        <v>612</v>
      </c>
      <c r="E16" s="5" t="s">
        <v>1684</v>
      </c>
      <c r="F16" s="5" t="s">
        <v>1718</v>
      </c>
      <c r="G16" s="5" t="s">
        <v>612</v>
      </c>
      <c r="H16" s="5" t="s">
        <v>1719</v>
      </c>
      <c r="I16" s="5">
        <v>0</v>
      </c>
      <c r="J16" s="5">
        <v>0</v>
      </c>
      <c r="K16" s="5" t="s">
        <v>1720</v>
      </c>
    </row>
    <row r="17" spans="1:11" x14ac:dyDescent="0.2">
      <c r="A17" s="5" t="s">
        <v>70</v>
      </c>
      <c r="B17" s="5" t="s">
        <v>93</v>
      </c>
      <c r="C17" s="5" t="s">
        <v>94</v>
      </c>
      <c r="D17" s="5" t="s">
        <v>913</v>
      </c>
    </row>
    <row r="18" spans="1:11" x14ac:dyDescent="0.2">
      <c r="A18" s="5" t="s">
        <v>70</v>
      </c>
      <c r="B18" s="5" t="s">
        <v>102</v>
      </c>
      <c r="C18" s="5" t="s">
        <v>103</v>
      </c>
      <c r="D18" s="5" t="s">
        <v>612</v>
      </c>
      <c r="E18" s="5" t="s">
        <v>1684</v>
      </c>
      <c r="F18" s="5" t="s">
        <v>1721</v>
      </c>
      <c r="G18" s="5" t="s">
        <v>612</v>
      </c>
      <c r="H18" s="5" t="s">
        <v>1722</v>
      </c>
      <c r="I18" s="5">
        <v>44815.07</v>
      </c>
      <c r="J18" s="5">
        <v>44815.07</v>
      </c>
      <c r="K18" s="5" t="s">
        <v>1723</v>
      </c>
    </row>
    <row r="19" spans="1:11" x14ac:dyDescent="0.2">
      <c r="A19" s="5" t="s">
        <v>70</v>
      </c>
      <c r="B19" s="5" t="s">
        <v>102</v>
      </c>
      <c r="C19" s="5" t="s">
        <v>103</v>
      </c>
      <c r="D19" s="5" t="s">
        <v>612</v>
      </c>
      <c r="E19" s="5" t="s">
        <v>1724</v>
      </c>
      <c r="F19" s="5" t="s">
        <v>1725</v>
      </c>
      <c r="G19" s="5" t="s">
        <v>612</v>
      </c>
      <c r="H19" s="5" t="s">
        <v>1726</v>
      </c>
      <c r="I19" s="5">
        <v>48514.67</v>
      </c>
      <c r="J19" s="5">
        <v>50000</v>
      </c>
      <c r="K19" s="5" t="s">
        <v>1727</v>
      </c>
    </row>
    <row r="20" spans="1:11" x14ac:dyDescent="0.2">
      <c r="A20" s="5" t="s">
        <v>70</v>
      </c>
      <c r="B20" s="5" t="s">
        <v>102</v>
      </c>
      <c r="C20" s="5" t="s">
        <v>103</v>
      </c>
      <c r="D20" s="5" t="s">
        <v>612</v>
      </c>
      <c r="E20" s="5" t="s">
        <v>1684</v>
      </c>
      <c r="F20" s="5" t="s">
        <v>1728</v>
      </c>
      <c r="G20" s="5" t="s">
        <v>612</v>
      </c>
      <c r="H20" s="5" t="s">
        <v>1729</v>
      </c>
      <c r="I20" s="5">
        <v>10017</v>
      </c>
      <c r="J20" s="5">
        <v>10017</v>
      </c>
      <c r="K20" s="5" t="s">
        <v>1730</v>
      </c>
    </row>
    <row r="21" spans="1:11" ht="15.75" customHeight="1" x14ac:dyDescent="0.2">
      <c r="A21" s="5" t="s">
        <v>70</v>
      </c>
      <c r="B21" s="5" t="s">
        <v>102</v>
      </c>
      <c r="C21" s="5" t="s">
        <v>103</v>
      </c>
      <c r="D21" s="5" t="s">
        <v>612</v>
      </c>
      <c r="E21" s="5" t="s">
        <v>1684</v>
      </c>
      <c r="F21" s="5" t="s">
        <v>1731</v>
      </c>
      <c r="G21" s="5" t="s">
        <v>612</v>
      </c>
      <c r="H21" s="5" t="s">
        <v>1732</v>
      </c>
      <c r="I21" s="5">
        <v>138667.42000000001</v>
      </c>
      <c r="J21" s="5">
        <v>385000</v>
      </c>
      <c r="K21" s="5" t="s">
        <v>1733</v>
      </c>
    </row>
    <row r="22" spans="1:11" ht="15.75" customHeight="1" x14ac:dyDescent="0.2">
      <c r="A22" s="5" t="s">
        <v>70</v>
      </c>
      <c r="B22" s="5" t="s">
        <v>102</v>
      </c>
      <c r="C22" s="5" t="s">
        <v>103</v>
      </c>
      <c r="D22" s="5" t="s">
        <v>612</v>
      </c>
      <c r="E22" s="5" t="s">
        <v>1734</v>
      </c>
      <c r="F22" s="5" t="s">
        <v>1735</v>
      </c>
      <c r="I22" s="5">
        <v>212138.59</v>
      </c>
      <c r="J22" s="5">
        <v>212138.59</v>
      </c>
      <c r="K22" s="5" t="s">
        <v>1736</v>
      </c>
    </row>
    <row r="23" spans="1:11" ht="15.75" customHeight="1" x14ac:dyDescent="0.2">
      <c r="A23" s="5" t="s">
        <v>70</v>
      </c>
      <c r="B23" s="5" t="s">
        <v>102</v>
      </c>
      <c r="C23" s="5" t="s">
        <v>103</v>
      </c>
      <c r="D23" s="5" t="s">
        <v>612</v>
      </c>
      <c r="E23" s="5" t="s">
        <v>1684</v>
      </c>
      <c r="F23" s="5" t="s">
        <v>1737</v>
      </c>
      <c r="G23" s="5" t="s">
        <v>612</v>
      </c>
      <c r="H23" s="5" t="s">
        <v>1738</v>
      </c>
      <c r="I23" s="5">
        <v>41447.25</v>
      </c>
      <c r="J23" s="5">
        <v>41447.25</v>
      </c>
      <c r="K23" s="5" t="s">
        <v>1739</v>
      </c>
    </row>
    <row r="24" spans="1:11" ht="15.75" customHeight="1" x14ac:dyDescent="0.2">
      <c r="A24" s="5" t="s">
        <v>70</v>
      </c>
      <c r="B24" s="5" t="s">
        <v>112</v>
      </c>
      <c r="C24" s="5" t="s">
        <v>113</v>
      </c>
      <c r="D24" s="5" t="s">
        <v>612</v>
      </c>
      <c r="E24" s="5" t="s">
        <v>1734</v>
      </c>
      <c r="F24" s="5" t="s">
        <v>1740</v>
      </c>
      <c r="I24" s="5">
        <v>98697.33</v>
      </c>
      <c r="J24" s="5">
        <v>98697.33</v>
      </c>
      <c r="K24" s="5" t="s">
        <v>1741</v>
      </c>
    </row>
    <row r="25" spans="1:11" ht="15.75" customHeight="1" x14ac:dyDescent="0.2">
      <c r="A25" s="5" t="s">
        <v>70</v>
      </c>
      <c r="B25" s="5" t="s">
        <v>112</v>
      </c>
      <c r="C25" s="5" t="s">
        <v>113</v>
      </c>
      <c r="D25" s="5" t="s">
        <v>612</v>
      </c>
      <c r="E25" s="5" t="s">
        <v>1734</v>
      </c>
      <c r="F25" s="5" t="s">
        <v>1742</v>
      </c>
      <c r="G25" s="5" t="s">
        <v>612</v>
      </c>
      <c r="H25" s="5" t="s">
        <v>1743</v>
      </c>
      <c r="I25" s="5">
        <v>291120.28000000003</v>
      </c>
      <c r="J25" s="5">
        <v>291120.28000000003</v>
      </c>
      <c r="K25" s="5" t="s">
        <v>1741</v>
      </c>
    </row>
    <row r="26" spans="1:11" ht="15.75" customHeight="1" x14ac:dyDescent="0.2">
      <c r="A26" s="5" t="s">
        <v>70</v>
      </c>
      <c r="B26" s="5" t="s">
        <v>123</v>
      </c>
      <c r="C26" s="5" t="s">
        <v>124</v>
      </c>
      <c r="D26" s="5" t="s">
        <v>612</v>
      </c>
      <c r="E26" s="5" t="s">
        <v>1684</v>
      </c>
      <c r="F26" s="5" t="s">
        <v>1744</v>
      </c>
      <c r="G26" s="5" t="s">
        <v>612</v>
      </c>
      <c r="H26" s="5" t="s">
        <v>1745</v>
      </c>
      <c r="I26" s="5">
        <v>186500.17</v>
      </c>
      <c r="J26" s="5">
        <v>186500.17</v>
      </c>
      <c r="K26" s="5" t="s">
        <v>1746</v>
      </c>
    </row>
    <row r="27" spans="1:11" ht="15.75" customHeight="1" x14ac:dyDescent="0.2">
      <c r="A27" s="5" t="s">
        <v>70</v>
      </c>
      <c r="B27" s="5" t="s">
        <v>134</v>
      </c>
      <c r="C27" s="5" t="s">
        <v>135</v>
      </c>
      <c r="D27" s="5" t="s">
        <v>612</v>
      </c>
      <c r="E27" s="5" t="s">
        <v>1684</v>
      </c>
      <c r="F27" s="5" t="s">
        <v>1747</v>
      </c>
      <c r="G27" s="5" t="s">
        <v>612</v>
      </c>
      <c r="H27" s="5" t="s">
        <v>1748</v>
      </c>
      <c r="I27" s="5">
        <v>7894.5</v>
      </c>
      <c r="J27" s="5">
        <v>7894.5</v>
      </c>
      <c r="K27" s="5" t="s">
        <v>1749</v>
      </c>
    </row>
    <row r="28" spans="1:11" ht="15.75" customHeight="1" x14ac:dyDescent="0.2">
      <c r="A28" s="5" t="s">
        <v>70</v>
      </c>
      <c r="B28" s="5" t="s">
        <v>134</v>
      </c>
      <c r="C28" s="5" t="s">
        <v>135</v>
      </c>
      <c r="D28" s="5" t="s">
        <v>612</v>
      </c>
      <c r="E28" s="5" t="s">
        <v>1750</v>
      </c>
      <c r="F28" s="5" t="s">
        <v>1751</v>
      </c>
      <c r="G28" s="5" t="s">
        <v>612</v>
      </c>
      <c r="H28" s="5" t="s">
        <v>1752</v>
      </c>
      <c r="I28" s="5">
        <v>0</v>
      </c>
      <c r="J28" s="5">
        <v>0</v>
      </c>
      <c r="K28" s="5" t="s">
        <v>1753</v>
      </c>
    </row>
    <row r="29" spans="1:11" ht="15.75" customHeight="1" x14ac:dyDescent="0.2">
      <c r="A29" s="5" t="s">
        <v>70</v>
      </c>
      <c r="B29" s="5" t="s">
        <v>134</v>
      </c>
      <c r="C29" s="5" t="s">
        <v>135</v>
      </c>
      <c r="D29" s="5" t="s">
        <v>612</v>
      </c>
      <c r="E29" s="5" t="s">
        <v>1750</v>
      </c>
      <c r="F29" s="5" t="s">
        <v>1751</v>
      </c>
      <c r="G29" s="5" t="s">
        <v>612</v>
      </c>
      <c r="H29" s="5" t="s">
        <v>1754</v>
      </c>
      <c r="I29" s="5">
        <v>0</v>
      </c>
      <c r="J29" s="5">
        <v>0</v>
      </c>
      <c r="K29" s="5" t="s">
        <v>1755</v>
      </c>
    </row>
    <row r="30" spans="1:11" ht="15.75" customHeight="1" x14ac:dyDescent="0.2">
      <c r="A30" s="5" t="s">
        <v>70</v>
      </c>
      <c r="B30" s="5" t="s">
        <v>134</v>
      </c>
      <c r="C30" s="5" t="s">
        <v>135</v>
      </c>
      <c r="D30" s="5" t="s">
        <v>612</v>
      </c>
      <c r="E30" s="5" t="s">
        <v>1750</v>
      </c>
      <c r="F30" s="5" t="s">
        <v>1751</v>
      </c>
      <c r="G30" s="5" t="s">
        <v>612</v>
      </c>
      <c r="H30" s="5" t="s">
        <v>1756</v>
      </c>
      <c r="I30" s="5">
        <v>0</v>
      </c>
      <c r="J30" s="5">
        <v>0</v>
      </c>
      <c r="K30" s="5" t="s">
        <v>1757</v>
      </c>
    </row>
    <row r="31" spans="1:11" ht="15.75" customHeight="1" x14ac:dyDescent="0.2">
      <c r="A31" s="5" t="s">
        <v>70</v>
      </c>
      <c r="B31" s="5" t="s">
        <v>134</v>
      </c>
      <c r="C31" s="5" t="s">
        <v>135</v>
      </c>
      <c r="D31" s="5" t="s">
        <v>612</v>
      </c>
      <c r="E31" s="5" t="s">
        <v>1750</v>
      </c>
      <c r="F31" s="5" t="s">
        <v>1751</v>
      </c>
      <c r="G31" s="5" t="s">
        <v>612</v>
      </c>
      <c r="H31" s="5" t="s">
        <v>1758</v>
      </c>
      <c r="I31" s="5">
        <v>0</v>
      </c>
      <c r="J31" s="5">
        <v>0</v>
      </c>
      <c r="K31" s="5" t="s">
        <v>1759</v>
      </c>
    </row>
    <row r="32" spans="1:11" ht="15.75" customHeight="1" x14ac:dyDescent="0.2">
      <c r="A32" s="5" t="s">
        <v>70</v>
      </c>
      <c r="B32" s="5" t="s">
        <v>134</v>
      </c>
      <c r="C32" s="5" t="s">
        <v>135</v>
      </c>
      <c r="D32" s="5" t="s">
        <v>612</v>
      </c>
      <c r="E32" s="5" t="s">
        <v>1750</v>
      </c>
      <c r="F32" s="5" t="s">
        <v>1751</v>
      </c>
      <c r="G32" s="5" t="s">
        <v>612</v>
      </c>
      <c r="H32" s="5" t="s">
        <v>1760</v>
      </c>
      <c r="I32" s="5">
        <v>0</v>
      </c>
      <c r="J32" s="5">
        <v>0</v>
      </c>
      <c r="K32" s="5" t="s">
        <v>1761</v>
      </c>
    </row>
    <row r="33" spans="1:11" ht="15.75" customHeight="1" x14ac:dyDescent="0.2">
      <c r="A33" s="5" t="s">
        <v>70</v>
      </c>
      <c r="B33" s="5" t="s">
        <v>134</v>
      </c>
      <c r="C33" s="5" t="s">
        <v>135</v>
      </c>
      <c r="D33" s="5" t="s">
        <v>612</v>
      </c>
      <c r="E33" s="5" t="s">
        <v>1750</v>
      </c>
      <c r="F33" s="5" t="s">
        <v>1751</v>
      </c>
      <c r="G33" s="5" t="s">
        <v>612</v>
      </c>
      <c r="H33" s="5" t="s">
        <v>1760</v>
      </c>
      <c r="I33" s="5">
        <v>0</v>
      </c>
      <c r="J33" s="5">
        <v>0</v>
      </c>
      <c r="K33" s="5" t="s">
        <v>1762</v>
      </c>
    </row>
    <row r="34" spans="1:11" ht="15.75" customHeight="1" x14ac:dyDescent="0.2">
      <c r="A34" s="5" t="s">
        <v>70</v>
      </c>
      <c r="B34" s="5" t="s">
        <v>134</v>
      </c>
      <c r="C34" s="5" t="s">
        <v>135</v>
      </c>
      <c r="D34" s="5" t="s">
        <v>612</v>
      </c>
      <c r="E34" s="5" t="s">
        <v>1750</v>
      </c>
      <c r="F34" s="5" t="s">
        <v>1751</v>
      </c>
      <c r="G34" s="5" t="s">
        <v>612</v>
      </c>
      <c r="H34" s="5" t="s">
        <v>1763</v>
      </c>
      <c r="I34" s="5">
        <v>0</v>
      </c>
      <c r="J34" s="5">
        <v>0</v>
      </c>
      <c r="K34" s="5" t="s">
        <v>1764</v>
      </c>
    </row>
    <row r="35" spans="1:11" ht="15.75" customHeight="1" x14ac:dyDescent="0.2">
      <c r="A35" s="5" t="s">
        <v>70</v>
      </c>
      <c r="B35" s="5" t="s">
        <v>134</v>
      </c>
      <c r="C35" s="5" t="s">
        <v>135</v>
      </c>
      <c r="D35" s="5" t="s">
        <v>612</v>
      </c>
      <c r="E35" s="5" t="s">
        <v>1765</v>
      </c>
      <c r="F35" s="5" t="s">
        <v>1751</v>
      </c>
      <c r="G35" s="5" t="s">
        <v>612</v>
      </c>
      <c r="H35" s="5" t="s">
        <v>1766</v>
      </c>
      <c r="I35" s="5">
        <v>0</v>
      </c>
      <c r="J35" s="5">
        <v>0</v>
      </c>
      <c r="K35" s="5" t="s">
        <v>1767</v>
      </c>
    </row>
    <row r="36" spans="1:11" ht="15.75" customHeight="1" x14ac:dyDescent="0.2">
      <c r="A36" s="5" t="s">
        <v>70</v>
      </c>
      <c r="B36" s="5" t="s">
        <v>134</v>
      </c>
      <c r="C36" s="5" t="s">
        <v>135</v>
      </c>
      <c r="D36" s="5" t="s">
        <v>612</v>
      </c>
      <c r="E36" s="5" t="s">
        <v>1765</v>
      </c>
      <c r="F36" s="5" t="s">
        <v>1751</v>
      </c>
      <c r="G36" s="5" t="s">
        <v>612</v>
      </c>
      <c r="H36" s="5" t="s">
        <v>1768</v>
      </c>
      <c r="I36" s="5">
        <v>0</v>
      </c>
      <c r="J36" s="5">
        <v>0</v>
      </c>
      <c r="K36" s="5" t="s">
        <v>1769</v>
      </c>
    </row>
    <row r="37" spans="1:11" ht="15.75" customHeight="1" x14ac:dyDescent="0.2">
      <c r="A37" s="5" t="s">
        <v>70</v>
      </c>
      <c r="B37" s="5" t="s">
        <v>134</v>
      </c>
      <c r="C37" s="5" t="s">
        <v>135</v>
      </c>
      <c r="D37" s="5" t="s">
        <v>612</v>
      </c>
      <c r="E37" s="5" t="s">
        <v>1750</v>
      </c>
      <c r="F37" s="5" t="s">
        <v>1751</v>
      </c>
      <c r="G37" s="5" t="s">
        <v>612</v>
      </c>
      <c r="H37" s="5" t="s">
        <v>1770</v>
      </c>
      <c r="I37" s="5">
        <v>0</v>
      </c>
      <c r="J37" s="5">
        <v>0</v>
      </c>
      <c r="K37" s="5" t="s">
        <v>1771</v>
      </c>
    </row>
    <row r="38" spans="1:11" ht="15.75" customHeight="1" x14ac:dyDescent="0.2">
      <c r="A38" s="5" t="s">
        <v>70</v>
      </c>
      <c r="B38" s="5" t="s">
        <v>134</v>
      </c>
      <c r="C38" s="5" t="s">
        <v>135</v>
      </c>
      <c r="D38" s="5" t="s">
        <v>612</v>
      </c>
      <c r="E38" s="5" t="s">
        <v>1750</v>
      </c>
      <c r="F38" s="5" t="s">
        <v>1751</v>
      </c>
      <c r="G38" s="5" t="s">
        <v>612</v>
      </c>
      <c r="H38" s="5" t="s">
        <v>1772</v>
      </c>
      <c r="I38" s="5">
        <v>0</v>
      </c>
      <c r="J38" s="5">
        <v>0</v>
      </c>
      <c r="K38" s="5" t="s">
        <v>1773</v>
      </c>
    </row>
    <row r="39" spans="1:11" ht="15.75" customHeight="1" x14ac:dyDescent="0.2">
      <c r="A39" s="5" t="s">
        <v>70</v>
      </c>
      <c r="B39" s="5" t="s">
        <v>134</v>
      </c>
      <c r="C39" s="5" t="s">
        <v>135</v>
      </c>
      <c r="D39" s="5" t="s">
        <v>612</v>
      </c>
      <c r="E39" s="5" t="s">
        <v>1774</v>
      </c>
      <c r="F39" s="5" t="s">
        <v>1775</v>
      </c>
      <c r="I39" s="5">
        <v>19958.400000000001</v>
      </c>
      <c r="J39" s="5">
        <v>19958.400000000001</v>
      </c>
      <c r="K39" s="5" t="s">
        <v>1776</v>
      </c>
    </row>
    <row r="40" spans="1:11" ht="15.75" customHeight="1" x14ac:dyDescent="0.2">
      <c r="A40" s="5" t="s">
        <v>70</v>
      </c>
      <c r="B40" s="5" t="s">
        <v>134</v>
      </c>
      <c r="C40" s="5" t="s">
        <v>135</v>
      </c>
      <c r="D40" s="5" t="s">
        <v>612</v>
      </c>
      <c r="E40" s="5" t="s">
        <v>1774</v>
      </c>
      <c r="F40" s="5" t="s">
        <v>1777</v>
      </c>
      <c r="I40" s="5">
        <v>16650.36</v>
      </c>
      <c r="J40" s="5">
        <v>16650.36</v>
      </c>
      <c r="K40" s="5" t="s">
        <v>1776</v>
      </c>
    </row>
    <row r="41" spans="1:11" ht="15.75" customHeight="1" x14ac:dyDescent="0.2">
      <c r="A41" s="5" t="s">
        <v>70</v>
      </c>
      <c r="B41" s="5" t="s">
        <v>134</v>
      </c>
      <c r="C41" s="5" t="s">
        <v>135</v>
      </c>
      <c r="D41" s="5" t="s">
        <v>612</v>
      </c>
      <c r="E41" s="5" t="s">
        <v>1765</v>
      </c>
      <c r="F41" s="5" t="s">
        <v>1751</v>
      </c>
      <c r="G41" s="5" t="s">
        <v>612</v>
      </c>
      <c r="H41" s="5" t="s">
        <v>1778</v>
      </c>
      <c r="I41" s="5">
        <v>0</v>
      </c>
      <c r="J41" s="5">
        <v>0</v>
      </c>
      <c r="K41" s="5" t="s">
        <v>1779</v>
      </c>
    </row>
    <row r="42" spans="1:11" ht="15.75" customHeight="1" x14ac:dyDescent="0.2">
      <c r="A42" s="5" t="s">
        <v>70</v>
      </c>
      <c r="B42" s="5" t="s">
        <v>134</v>
      </c>
      <c r="C42" s="5" t="s">
        <v>135</v>
      </c>
      <c r="D42" s="5" t="s">
        <v>612</v>
      </c>
      <c r="E42" s="5" t="s">
        <v>1750</v>
      </c>
      <c r="F42" s="5" t="s">
        <v>1751</v>
      </c>
      <c r="G42" s="5" t="s">
        <v>612</v>
      </c>
      <c r="H42" s="5" t="s">
        <v>1780</v>
      </c>
      <c r="I42" s="5">
        <v>0</v>
      </c>
      <c r="J42" s="5">
        <v>0</v>
      </c>
      <c r="K42" s="5" t="s">
        <v>1781</v>
      </c>
    </row>
    <row r="43" spans="1:11" ht="15.75" customHeight="1" x14ac:dyDescent="0.2">
      <c r="A43" s="5" t="s">
        <v>70</v>
      </c>
      <c r="B43" s="5" t="s">
        <v>134</v>
      </c>
      <c r="C43" s="5" t="s">
        <v>135</v>
      </c>
      <c r="D43" s="5" t="s">
        <v>612</v>
      </c>
      <c r="E43" s="5" t="s">
        <v>1750</v>
      </c>
      <c r="F43" s="5" t="s">
        <v>1751</v>
      </c>
      <c r="G43" s="5" t="s">
        <v>612</v>
      </c>
      <c r="H43" s="5" t="s">
        <v>1782</v>
      </c>
      <c r="I43" s="5">
        <v>0</v>
      </c>
      <c r="J43" s="5">
        <v>0</v>
      </c>
      <c r="K43" s="5" t="s">
        <v>1783</v>
      </c>
    </row>
    <row r="44" spans="1:11" ht="15.75" customHeight="1" x14ac:dyDescent="0.2">
      <c r="A44" s="5" t="s">
        <v>70</v>
      </c>
      <c r="B44" s="5" t="s">
        <v>134</v>
      </c>
      <c r="C44" s="5" t="s">
        <v>135</v>
      </c>
      <c r="D44" s="5" t="s">
        <v>612</v>
      </c>
      <c r="E44" s="5" t="s">
        <v>1684</v>
      </c>
      <c r="F44" s="5" t="s">
        <v>1784</v>
      </c>
      <c r="G44" s="5" t="s">
        <v>612</v>
      </c>
      <c r="H44" s="5" t="s">
        <v>1785</v>
      </c>
      <c r="I44" s="5">
        <v>796258.45</v>
      </c>
      <c r="J44" s="5">
        <v>796258.45</v>
      </c>
      <c r="K44" s="5" t="s">
        <v>1749</v>
      </c>
    </row>
    <row r="45" spans="1:11" ht="15.75" customHeight="1" x14ac:dyDescent="0.2">
      <c r="A45" s="5" t="s">
        <v>70</v>
      </c>
      <c r="B45" s="5" t="s">
        <v>134</v>
      </c>
      <c r="C45" s="5" t="s">
        <v>135</v>
      </c>
      <c r="D45" s="5" t="s">
        <v>612</v>
      </c>
      <c r="E45" s="5" t="s">
        <v>1734</v>
      </c>
      <c r="F45" s="5" t="s">
        <v>1786</v>
      </c>
      <c r="G45" s="5" t="s">
        <v>612</v>
      </c>
      <c r="H45" s="5" t="s">
        <v>1787</v>
      </c>
      <c r="I45" s="5">
        <v>65428</v>
      </c>
      <c r="J45" s="5">
        <v>65428</v>
      </c>
      <c r="K45" s="5" t="s">
        <v>1776</v>
      </c>
    </row>
    <row r="46" spans="1:11" ht="15.75" customHeight="1" x14ac:dyDescent="0.2">
      <c r="A46" s="5" t="s">
        <v>70</v>
      </c>
      <c r="B46" s="5" t="s">
        <v>134</v>
      </c>
      <c r="C46" s="5" t="s">
        <v>135</v>
      </c>
      <c r="D46" s="5" t="s">
        <v>612</v>
      </c>
      <c r="E46" s="5" t="s">
        <v>1684</v>
      </c>
      <c r="F46" s="5" t="s">
        <v>1788</v>
      </c>
      <c r="G46" s="5" t="s">
        <v>612</v>
      </c>
      <c r="H46" s="5" t="s">
        <v>1789</v>
      </c>
      <c r="I46" s="5">
        <v>29924.639999999999</v>
      </c>
      <c r="J46" s="5">
        <v>29924.639999999999</v>
      </c>
      <c r="K46" s="5" t="s">
        <v>1776</v>
      </c>
    </row>
    <row r="47" spans="1:11" ht="15.75" customHeight="1" x14ac:dyDescent="0.2">
      <c r="A47" s="5" t="s">
        <v>70</v>
      </c>
      <c r="B47" s="5" t="s">
        <v>134</v>
      </c>
      <c r="C47" s="5" t="s">
        <v>135</v>
      </c>
      <c r="D47" s="5" t="s">
        <v>612</v>
      </c>
      <c r="E47" s="5" t="s">
        <v>1684</v>
      </c>
      <c r="F47" s="5" t="s">
        <v>1790</v>
      </c>
      <c r="G47" s="5" t="s">
        <v>612</v>
      </c>
      <c r="H47" s="5" t="s">
        <v>1791</v>
      </c>
      <c r="I47" s="5">
        <v>44768.41</v>
      </c>
      <c r="J47" s="5">
        <v>44768.41</v>
      </c>
      <c r="K47" s="5" t="s">
        <v>1776</v>
      </c>
    </row>
    <row r="48" spans="1:11" ht="15.75" customHeight="1" x14ac:dyDescent="0.2">
      <c r="A48" s="5" t="s">
        <v>70</v>
      </c>
      <c r="B48" s="5" t="s">
        <v>134</v>
      </c>
      <c r="C48" s="5" t="s">
        <v>135</v>
      </c>
      <c r="D48" s="5" t="s">
        <v>612</v>
      </c>
      <c r="E48" s="5" t="s">
        <v>1684</v>
      </c>
      <c r="F48" s="5" t="s">
        <v>1792</v>
      </c>
      <c r="G48" s="5" t="s">
        <v>612</v>
      </c>
      <c r="H48" s="5" t="s">
        <v>1793</v>
      </c>
      <c r="I48" s="5">
        <v>94690.14</v>
      </c>
      <c r="J48" s="5">
        <v>94690.14</v>
      </c>
      <c r="K48" s="5" t="s">
        <v>1776</v>
      </c>
    </row>
    <row r="49" spans="1:11" ht="15.75" customHeight="1" x14ac:dyDescent="0.2">
      <c r="A49" s="5" t="s">
        <v>70</v>
      </c>
      <c r="B49" s="5" t="s">
        <v>134</v>
      </c>
      <c r="C49" s="5" t="s">
        <v>135</v>
      </c>
      <c r="D49" s="5" t="s">
        <v>612</v>
      </c>
      <c r="E49" s="5" t="s">
        <v>1684</v>
      </c>
      <c r="F49" s="5" t="s">
        <v>1794</v>
      </c>
      <c r="G49" s="5" t="s">
        <v>612</v>
      </c>
      <c r="H49" s="5" t="s">
        <v>1795</v>
      </c>
      <c r="I49" s="5">
        <v>31160.92</v>
      </c>
      <c r="J49" s="5">
        <v>31160.92</v>
      </c>
      <c r="K49" s="5" t="s">
        <v>1776</v>
      </c>
    </row>
    <row r="50" spans="1:11" ht="15.75" customHeight="1" x14ac:dyDescent="0.2">
      <c r="A50" s="5" t="s">
        <v>70</v>
      </c>
      <c r="B50" s="5" t="s">
        <v>134</v>
      </c>
      <c r="C50" s="5" t="s">
        <v>135</v>
      </c>
      <c r="D50" s="5" t="s">
        <v>612</v>
      </c>
      <c r="E50" s="5" t="s">
        <v>1684</v>
      </c>
      <c r="F50" s="5" t="s">
        <v>1796</v>
      </c>
      <c r="G50" s="5" t="s">
        <v>612</v>
      </c>
      <c r="H50" s="5" t="s">
        <v>1797</v>
      </c>
      <c r="I50" s="5">
        <v>37206.18</v>
      </c>
      <c r="J50" s="5">
        <v>37206.18</v>
      </c>
      <c r="K50" s="5" t="s">
        <v>1776</v>
      </c>
    </row>
    <row r="51" spans="1:11" ht="15.75" customHeight="1" x14ac:dyDescent="0.2">
      <c r="A51" s="5" t="s">
        <v>70</v>
      </c>
      <c r="B51" s="5" t="s">
        <v>134</v>
      </c>
      <c r="C51" s="5" t="s">
        <v>135</v>
      </c>
      <c r="D51" s="5" t="s">
        <v>612</v>
      </c>
      <c r="E51" s="5" t="s">
        <v>1684</v>
      </c>
      <c r="F51" s="5" t="s">
        <v>1798</v>
      </c>
      <c r="G51" s="5" t="s">
        <v>612</v>
      </c>
      <c r="H51" s="5" t="s">
        <v>1799</v>
      </c>
      <c r="I51" s="5">
        <v>275651.09000000003</v>
      </c>
      <c r="J51" s="5">
        <v>275651.09000000003</v>
      </c>
      <c r="K51" s="5" t="s">
        <v>1776</v>
      </c>
    </row>
    <row r="52" spans="1:11" ht="15.75" customHeight="1" x14ac:dyDescent="0.2">
      <c r="A52" s="5" t="s">
        <v>70</v>
      </c>
      <c r="B52" s="5" t="s">
        <v>134</v>
      </c>
      <c r="C52" s="5" t="s">
        <v>135</v>
      </c>
      <c r="D52" s="5" t="s">
        <v>612</v>
      </c>
      <c r="E52" s="5" t="s">
        <v>1684</v>
      </c>
      <c r="F52" s="5" t="s">
        <v>1800</v>
      </c>
      <c r="G52" s="5" t="s">
        <v>612</v>
      </c>
      <c r="H52" s="5" t="s">
        <v>1801</v>
      </c>
      <c r="I52" s="5">
        <v>595348.44999999995</v>
      </c>
      <c r="J52" s="5">
        <v>595348.44999999995</v>
      </c>
      <c r="K52" s="5" t="s">
        <v>1802</v>
      </c>
    </row>
    <row r="53" spans="1:11" ht="15.75" customHeight="1" x14ac:dyDescent="0.2">
      <c r="A53" s="5" t="s">
        <v>70</v>
      </c>
      <c r="B53" s="5" t="s">
        <v>134</v>
      </c>
      <c r="C53" s="5" t="s">
        <v>135</v>
      </c>
      <c r="D53" s="5" t="s">
        <v>612</v>
      </c>
      <c r="E53" s="5" t="s">
        <v>1684</v>
      </c>
      <c r="F53" s="5" t="s">
        <v>1803</v>
      </c>
      <c r="G53" s="5" t="s">
        <v>612</v>
      </c>
      <c r="H53" s="5" t="s">
        <v>1804</v>
      </c>
      <c r="I53" s="5">
        <v>67088.850000000006</v>
      </c>
      <c r="J53" s="5">
        <v>67088.850000000006</v>
      </c>
      <c r="K53" s="5" t="s">
        <v>1805</v>
      </c>
    </row>
    <row r="54" spans="1:11" ht="15.75" customHeight="1" x14ac:dyDescent="0.2">
      <c r="A54" s="5" t="s">
        <v>70</v>
      </c>
      <c r="B54" s="5" t="s">
        <v>134</v>
      </c>
      <c r="C54" s="5" t="s">
        <v>135</v>
      </c>
      <c r="D54" s="5" t="s">
        <v>612</v>
      </c>
      <c r="E54" s="5" t="s">
        <v>1724</v>
      </c>
      <c r="F54" s="5" t="s">
        <v>1806</v>
      </c>
      <c r="G54" s="5" t="s">
        <v>612</v>
      </c>
      <c r="H54" s="5" t="s">
        <v>1807</v>
      </c>
      <c r="I54" s="5">
        <v>32617.24</v>
      </c>
      <c r="J54" s="5">
        <v>32617.24</v>
      </c>
      <c r="K54" s="5" t="s">
        <v>1808</v>
      </c>
    </row>
    <row r="55" spans="1:11" ht="15.75" customHeight="1" x14ac:dyDescent="0.2">
      <c r="A55" s="5" t="s">
        <v>70</v>
      </c>
      <c r="B55" s="5" t="s">
        <v>134</v>
      </c>
      <c r="C55" s="5" t="s">
        <v>135</v>
      </c>
      <c r="D55" s="5" t="s">
        <v>612</v>
      </c>
      <c r="E55" s="5" t="s">
        <v>1684</v>
      </c>
      <c r="F55" s="5" t="s">
        <v>1751</v>
      </c>
      <c r="G55" s="5" t="s">
        <v>612</v>
      </c>
      <c r="H55" s="5" t="s">
        <v>1809</v>
      </c>
      <c r="I55" s="5">
        <v>144302.19</v>
      </c>
      <c r="J55" s="5">
        <v>144302.19</v>
      </c>
      <c r="K55" s="5" t="s">
        <v>1810</v>
      </c>
    </row>
    <row r="56" spans="1:11" ht="15.75" customHeight="1" x14ac:dyDescent="0.2">
      <c r="A56" s="5" t="s">
        <v>70</v>
      </c>
      <c r="B56" s="5" t="s">
        <v>134</v>
      </c>
      <c r="C56" s="5" t="s">
        <v>135</v>
      </c>
      <c r="D56" s="5" t="s">
        <v>612</v>
      </c>
      <c r="E56" s="5" t="s">
        <v>1724</v>
      </c>
      <c r="F56" s="5" t="s">
        <v>1811</v>
      </c>
      <c r="G56" s="5" t="s">
        <v>612</v>
      </c>
      <c r="H56" s="5" t="s">
        <v>1812</v>
      </c>
      <c r="I56" s="5">
        <v>177989.53</v>
      </c>
      <c r="J56" s="5">
        <v>177989.53</v>
      </c>
      <c r="K56" s="5" t="s">
        <v>1813</v>
      </c>
    </row>
    <row r="57" spans="1:11" ht="15.75" customHeight="1" x14ac:dyDescent="0.2">
      <c r="A57" s="5" t="s">
        <v>70</v>
      </c>
      <c r="B57" s="5" t="s">
        <v>134</v>
      </c>
      <c r="C57" s="5" t="s">
        <v>135</v>
      </c>
      <c r="D57" s="5" t="s">
        <v>612</v>
      </c>
      <c r="E57" s="5" t="s">
        <v>1684</v>
      </c>
      <c r="F57" s="5" t="s">
        <v>1803</v>
      </c>
      <c r="G57" s="5" t="s">
        <v>612</v>
      </c>
      <c r="H57" s="5" t="s">
        <v>1814</v>
      </c>
      <c r="I57" s="5">
        <v>40537.699999999997</v>
      </c>
      <c r="J57" s="5">
        <v>40537.699999999997</v>
      </c>
      <c r="K57" s="5" t="s">
        <v>1815</v>
      </c>
    </row>
    <row r="58" spans="1:11" ht="15.75" customHeight="1" x14ac:dyDescent="0.2">
      <c r="A58" s="5" t="s">
        <v>70</v>
      </c>
      <c r="B58" s="5" t="s">
        <v>134</v>
      </c>
      <c r="C58" s="5" t="s">
        <v>135</v>
      </c>
      <c r="D58" s="5" t="s">
        <v>612</v>
      </c>
      <c r="E58" s="5" t="s">
        <v>1684</v>
      </c>
      <c r="F58" s="5" t="s">
        <v>1751</v>
      </c>
      <c r="G58" s="5" t="s">
        <v>612</v>
      </c>
      <c r="H58" s="5" t="s">
        <v>1816</v>
      </c>
      <c r="I58" s="5">
        <v>18558</v>
      </c>
      <c r="J58" s="5">
        <v>18558</v>
      </c>
      <c r="K58" s="5" t="s">
        <v>1817</v>
      </c>
    </row>
    <row r="59" spans="1:11" ht="15.75" customHeight="1" x14ac:dyDescent="0.2">
      <c r="A59" s="5" t="s">
        <v>70</v>
      </c>
      <c r="B59" s="5" t="s">
        <v>134</v>
      </c>
      <c r="C59" s="5" t="s">
        <v>135</v>
      </c>
      <c r="D59" s="5" t="s">
        <v>612</v>
      </c>
      <c r="E59" s="5" t="s">
        <v>1724</v>
      </c>
      <c r="F59" s="5" t="s">
        <v>1818</v>
      </c>
      <c r="G59" s="5" t="s">
        <v>612</v>
      </c>
      <c r="H59" s="5" t="s">
        <v>1819</v>
      </c>
      <c r="I59" s="5">
        <v>125809</v>
      </c>
      <c r="J59" s="5">
        <v>125809</v>
      </c>
      <c r="K59" s="5" t="s">
        <v>1820</v>
      </c>
    </row>
    <row r="60" spans="1:11" ht="15.75" customHeight="1" x14ac:dyDescent="0.2">
      <c r="A60" s="5" t="s">
        <v>70</v>
      </c>
      <c r="B60" s="5" t="s">
        <v>144</v>
      </c>
      <c r="C60" s="5" t="s">
        <v>145</v>
      </c>
      <c r="D60" s="5" t="s">
        <v>612</v>
      </c>
      <c r="E60" s="5" t="s">
        <v>1734</v>
      </c>
      <c r="F60" s="5" t="s">
        <v>1821</v>
      </c>
      <c r="G60" s="5" t="s">
        <v>612</v>
      </c>
      <c r="H60" s="5" t="s">
        <v>1822</v>
      </c>
      <c r="I60" s="5">
        <v>524244</v>
      </c>
      <c r="J60" s="5">
        <v>4200000</v>
      </c>
      <c r="K60" s="5" t="s">
        <v>1823</v>
      </c>
    </row>
    <row r="61" spans="1:11" ht="15.75" customHeight="1" x14ac:dyDescent="0.2">
      <c r="A61" s="5" t="s">
        <v>70</v>
      </c>
      <c r="B61" s="5" t="s">
        <v>144</v>
      </c>
      <c r="C61" s="5" t="s">
        <v>145</v>
      </c>
      <c r="D61" s="5" t="s">
        <v>612</v>
      </c>
      <c r="E61" s="5" t="s">
        <v>1734</v>
      </c>
      <c r="F61" s="5" t="s">
        <v>1824</v>
      </c>
      <c r="G61" s="5" t="s">
        <v>612</v>
      </c>
      <c r="H61" s="5" t="s">
        <v>1825</v>
      </c>
      <c r="I61" s="5">
        <v>255018</v>
      </c>
      <c r="J61" s="5">
        <v>2680000</v>
      </c>
      <c r="K61" s="5" t="s">
        <v>1826</v>
      </c>
    </row>
    <row r="62" spans="1:11" ht="15.75" customHeight="1" x14ac:dyDescent="0.2">
      <c r="A62" s="5" t="s">
        <v>70</v>
      </c>
      <c r="B62" s="5" t="s">
        <v>144</v>
      </c>
      <c r="C62" s="5" t="s">
        <v>145</v>
      </c>
      <c r="D62" s="5" t="s">
        <v>612</v>
      </c>
      <c r="E62" s="5" t="s">
        <v>1734</v>
      </c>
      <c r="F62" s="5" t="s">
        <v>1827</v>
      </c>
      <c r="I62" s="5">
        <v>285490</v>
      </c>
      <c r="J62" s="5">
        <v>1750000</v>
      </c>
      <c r="K62" s="5" t="s">
        <v>1828</v>
      </c>
    </row>
    <row r="63" spans="1:11" ht="15.75" customHeight="1" x14ac:dyDescent="0.2">
      <c r="A63" s="5" t="s">
        <v>70</v>
      </c>
      <c r="B63" s="5" t="s">
        <v>154</v>
      </c>
      <c r="C63" s="5" t="s">
        <v>155</v>
      </c>
      <c r="D63" s="5" t="s">
        <v>612</v>
      </c>
      <c r="E63" s="5" t="s">
        <v>1829</v>
      </c>
      <c r="F63" s="5" t="s">
        <v>1830</v>
      </c>
      <c r="G63" s="5" t="s">
        <v>612</v>
      </c>
      <c r="H63" s="5" t="s">
        <v>1831</v>
      </c>
      <c r="I63" s="5">
        <v>14680.84</v>
      </c>
      <c r="J63" s="5">
        <v>14680.84</v>
      </c>
      <c r="K63" s="5" t="s">
        <v>1832</v>
      </c>
    </row>
    <row r="64" spans="1:11" ht="15.75" customHeight="1" x14ac:dyDescent="0.2">
      <c r="A64" s="5" t="s">
        <v>70</v>
      </c>
      <c r="B64" s="5" t="s">
        <v>154</v>
      </c>
      <c r="C64" s="5" t="s">
        <v>155</v>
      </c>
      <c r="D64" s="5" t="s">
        <v>612</v>
      </c>
      <c r="E64" s="5" t="s">
        <v>1829</v>
      </c>
      <c r="F64" s="5" t="s">
        <v>1833</v>
      </c>
      <c r="G64" s="5" t="s">
        <v>612</v>
      </c>
      <c r="H64" s="5" t="s">
        <v>1834</v>
      </c>
      <c r="I64" s="5">
        <v>5385</v>
      </c>
      <c r="J64" s="5">
        <v>5385</v>
      </c>
      <c r="K64" s="5" t="s">
        <v>1832</v>
      </c>
    </row>
    <row r="65" spans="1:11" ht="15.75" customHeight="1" x14ac:dyDescent="0.2">
      <c r="A65" s="5" t="s">
        <v>70</v>
      </c>
      <c r="B65" s="5" t="s">
        <v>154</v>
      </c>
      <c r="C65" s="5" t="s">
        <v>155</v>
      </c>
      <c r="D65" s="5" t="s">
        <v>612</v>
      </c>
      <c r="E65" s="5" t="s">
        <v>1829</v>
      </c>
      <c r="F65" s="5" t="s">
        <v>1835</v>
      </c>
      <c r="G65" s="5" t="s">
        <v>612</v>
      </c>
      <c r="H65" s="5" t="s">
        <v>1836</v>
      </c>
      <c r="I65" s="5">
        <v>35687.279999999999</v>
      </c>
      <c r="J65" s="5">
        <v>35687.279999999999</v>
      </c>
      <c r="K65" s="5" t="s">
        <v>1832</v>
      </c>
    </row>
    <row r="66" spans="1:11" ht="15.75" customHeight="1" x14ac:dyDescent="0.2">
      <c r="A66" s="5" t="s">
        <v>70</v>
      </c>
      <c r="B66" s="5" t="s">
        <v>154</v>
      </c>
      <c r="C66" s="5" t="s">
        <v>155</v>
      </c>
      <c r="D66" s="5" t="s">
        <v>612</v>
      </c>
      <c r="E66" s="5" t="s">
        <v>1837</v>
      </c>
      <c r="F66" s="5" t="s">
        <v>1838</v>
      </c>
      <c r="G66" s="5" t="s">
        <v>612</v>
      </c>
      <c r="H66" s="5" t="s">
        <v>1839</v>
      </c>
      <c r="I66" s="5">
        <v>14945.1</v>
      </c>
      <c r="J66" s="5">
        <v>14945.1</v>
      </c>
      <c r="K66" s="5" t="s">
        <v>1832</v>
      </c>
    </row>
    <row r="67" spans="1:11" ht="15.75" customHeight="1" x14ac:dyDescent="0.2">
      <c r="A67" s="5" t="s">
        <v>70</v>
      </c>
      <c r="B67" s="5" t="s">
        <v>154</v>
      </c>
      <c r="C67" s="5" t="s">
        <v>155</v>
      </c>
      <c r="D67" s="5" t="s">
        <v>612</v>
      </c>
      <c r="E67" s="5" t="s">
        <v>1837</v>
      </c>
      <c r="F67" s="5" t="s">
        <v>1840</v>
      </c>
      <c r="G67" s="5" t="s">
        <v>612</v>
      </c>
      <c r="H67" s="5" t="s">
        <v>1841</v>
      </c>
      <c r="I67" s="5">
        <v>105506.91</v>
      </c>
      <c r="J67" s="5">
        <v>105506.91</v>
      </c>
      <c r="K67" s="5" t="s">
        <v>1832</v>
      </c>
    </row>
    <row r="68" spans="1:11" ht="15.75" customHeight="1" x14ac:dyDescent="0.2">
      <c r="A68" s="5" t="s">
        <v>70</v>
      </c>
      <c r="B68" s="5" t="s">
        <v>154</v>
      </c>
      <c r="C68" s="5" t="s">
        <v>155</v>
      </c>
      <c r="D68" s="5" t="s">
        <v>612</v>
      </c>
      <c r="E68" s="5" t="s">
        <v>1842</v>
      </c>
      <c r="F68" s="5" t="s">
        <v>1843</v>
      </c>
      <c r="G68" s="5" t="s">
        <v>612</v>
      </c>
      <c r="H68" s="5" t="s">
        <v>1844</v>
      </c>
      <c r="I68" s="5">
        <v>34624.32</v>
      </c>
      <c r="J68" s="5">
        <v>34624.32</v>
      </c>
      <c r="K68" s="5" t="s">
        <v>1845</v>
      </c>
    </row>
    <row r="69" spans="1:11" ht="15.75" customHeight="1" x14ac:dyDescent="0.2">
      <c r="A69" s="5" t="s">
        <v>70</v>
      </c>
      <c r="B69" s="5" t="s">
        <v>154</v>
      </c>
      <c r="C69" s="5" t="s">
        <v>155</v>
      </c>
      <c r="D69" s="5" t="s">
        <v>612</v>
      </c>
      <c r="E69" s="5" t="s">
        <v>1837</v>
      </c>
      <c r="F69" s="5" t="s">
        <v>1846</v>
      </c>
      <c r="G69" s="5" t="s">
        <v>612</v>
      </c>
      <c r="H69" s="5" t="s">
        <v>1847</v>
      </c>
      <c r="I69" s="5">
        <v>142095.28</v>
      </c>
      <c r="J69" s="5">
        <v>142095.28</v>
      </c>
      <c r="K69" s="5" t="s">
        <v>1832</v>
      </c>
    </row>
    <row r="70" spans="1:11" ht="15.75" customHeight="1" x14ac:dyDescent="0.2">
      <c r="A70" s="5" t="s">
        <v>70</v>
      </c>
      <c r="B70" s="5" t="s">
        <v>154</v>
      </c>
      <c r="C70" s="5" t="s">
        <v>155</v>
      </c>
      <c r="D70" s="5" t="s">
        <v>612</v>
      </c>
      <c r="E70" s="5" t="s">
        <v>1848</v>
      </c>
      <c r="F70" s="5" t="s">
        <v>1849</v>
      </c>
      <c r="G70" s="5" t="s">
        <v>612</v>
      </c>
      <c r="H70" s="5" t="s">
        <v>1850</v>
      </c>
      <c r="I70" s="5">
        <v>50882.36</v>
      </c>
      <c r="J70" s="5">
        <v>50882.36</v>
      </c>
      <c r="K70" s="5" t="s">
        <v>1832</v>
      </c>
    </row>
    <row r="71" spans="1:11" ht="15.75" customHeight="1" x14ac:dyDescent="0.2">
      <c r="A71" s="5" t="s">
        <v>70</v>
      </c>
      <c r="B71" s="5" t="s">
        <v>154</v>
      </c>
      <c r="C71" s="5" t="s">
        <v>155</v>
      </c>
      <c r="D71" s="5" t="s">
        <v>612</v>
      </c>
      <c r="E71" s="5" t="s">
        <v>1851</v>
      </c>
      <c r="F71" s="5" t="s">
        <v>1852</v>
      </c>
      <c r="G71" s="5" t="s">
        <v>612</v>
      </c>
      <c r="H71" s="5" t="s">
        <v>1853</v>
      </c>
      <c r="I71" s="5">
        <v>835.89</v>
      </c>
      <c r="J71" s="5">
        <v>835.89</v>
      </c>
      <c r="K71" s="5" t="s">
        <v>1832</v>
      </c>
    </row>
    <row r="72" spans="1:11" ht="15.75" customHeight="1" x14ac:dyDescent="0.2">
      <c r="A72" s="5" t="s">
        <v>70</v>
      </c>
      <c r="B72" s="5" t="s">
        <v>165</v>
      </c>
      <c r="C72" s="5" t="s">
        <v>166</v>
      </c>
      <c r="D72" s="5" t="s">
        <v>612</v>
      </c>
      <c r="E72" s="5" t="s">
        <v>1684</v>
      </c>
      <c r="F72" s="5" t="s">
        <v>1854</v>
      </c>
      <c r="G72" s="5" t="s">
        <v>612</v>
      </c>
      <c r="H72" s="5" t="s">
        <v>1855</v>
      </c>
      <c r="I72" s="5">
        <v>656144.79</v>
      </c>
      <c r="J72" s="5">
        <v>1225000</v>
      </c>
      <c r="K72" s="5" t="s">
        <v>1848</v>
      </c>
    </row>
    <row r="73" spans="1:11" ht="15.75" customHeight="1" x14ac:dyDescent="0.2">
      <c r="A73" s="5" t="s">
        <v>70</v>
      </c>
      <c r="B73" s="5" t="s">
        <v>165</v>
      </c>
      <c r="C73" s="5" t="s">
        <v>166</v>
      </c>
      <c r="D73" s="5" t="s">
        <v>612</v>
      </c>
      <c r="E73" s="5" t="s">
        <v>1684</v>
      </c>
      <c r="F73" s="5" t="s">
        <v>1856</v>
      </c>
      <c r="G73" s="5" t="s">
        <v>612</v>
      </c>
      <c r="H73" s="5" t="s">
        <v>1857</v>
      </c>
      <c r="I73" s="5">
        <v>32585.040000000001</v>
      </c>
      <c r="J73" s="5">
        <v>70000</v>
      </c>
      <c r="K73" s="5" t="s">
        <v>1858</v>
      </c>
    </row>
    <row r="74" spans="1:11" ht="15.75" customHeight="1" x14ac:dyDescent="0.2">
      <c r="A74" s="5" t="s">
        <v>70</v>
      </c>
      <c r="B74" s="5" t="s">
        <v>165</v>
      </c>
      <c r="C74" s="5" t="s">
        <v>166</v>
      </c>
      <c r="D74" s="5" t="s">
        <v>612</v>
      </c>
      <c r="E74" s="5" t="s">
        <v>1684</v>
      </c>
      <c r="F74" s="5" t="s">
        <v>1859</v>
      </c>
      <c r="G74" s="5" t="s">
        <v>612</v>
      </c>
      <c r="H74" s="5" t="s">
        <v>1860</v>
      </c>
      <c r="I74" s="5">
        <v>228028.41</v>
      </c>
      <c r="J74" s="5">
        <v>567000</v>
      </c>
      <c r="K74" s="5" t="s">
        <v>1861</v>
      </c>
    </row>
    <row r="75" spans="1:11" ht="15.75" customHeight="1" x14ac:dyDescent="0.2">
      <c r="A75" s="5" t="s">
        <v>70</v>
      </c>
      <c r="B75" s="5" t="s">
        <v>165</v>
      </c>
      <c r="C75" s="5" t="s">
        <v>166</v>
      </c>
      <c r="D75" s="5" t="s">
        <v>612</v>
      </c>
      <c r="E75" s="5" t="s">
        <v>1684</v>
      </c>
      <c r="F75" s="5" t="s">
        <v>1862</v>
      </c>
      <c r="G75" s="5" t="s">
        <v>612</v>
      </c>
      <c r="H75" s="5" t="s">
        <v>1863</v>
      </c>
      <c r="I75" s="5">
        <v>224840.28</v>
      </c>
      <c r="J75" s="5">
        <v>1750000</v>
      </c>
      <c r="K75" s="5" t="s">
        <v>1864</v>
      </c>
    </row>
    <row r="76" spans="1:11" ht="15.75" customHeight="1" x14ac:dyDescent="0.2">
      <c r="A76" s="5" t="s">
        <v>70</v>
      </c>
      <c r="B76" s="5" t="s">
        <v>165</v>
      </c>
      <c r="C76" s="5" t="s">
        <v>166</v>
      </c>
      <c r="D76" s="5" t="s">
        <v>612</v>
      </c>
      <c r="E76" s="5" t="s">
        <v>1684</v>
      </c>
      <c r="F76" s="5" t="s">
        <v>1865</v>
      </c>
      <c r="G76" s="5" t="s">
        <v>612</v>
      </c>
      <c r="H76" s="5" t="s">
        <v>1866</v>
      </c>
      <c r="I76" s="5">
        <v>913027.88</v>
      </c>
      <c r="J76" s="5">
        <v>1610000</v>
      </c>
      <c r="K76" s="5" t="s">
        <v>1848</v>
      </c>
    </row>
    <row r="77" spans="1:11" ht="15.75" customHeight="1" x14ac:dyDescent="0.2">
      <c r="A77" s="5" t="s">
        <v>70</v>
      </c>
      <c r="B77" s="5" t="s">
        <v>165</v>
      </c>
      <c r="C77" s="5" t="s">
        <v>166</v>
      </c>
      <c r="D77" s="5" t="s">
        <v>612</v>
      </c>
      <c r="E77" s="5" t="s">
        <v>1724</v>
      </c>
      <c r="F77" s="5" t="s">
        <v>1867</v>
      </c>
      <c r="G77" s="5" t="s">
        <v>612</v>
      </c>
      <c r="H77" s="5" t="s">
        <v>1868</v>
      </c>
      <c r="I77" s="5">
        <v>11738.44</v>
      </c>
      <c r="J77" s="5">
        <v>42813</v>
      </c>
      <c r="K77" s="5" t="s">
        <v>1869</v>
      </c>
    </row>
    <row r="78" spans="1:11" ht="15.75" customHeight="1" x14ac:dyDescent="0.2">
      <c r="A78" s="5" t="s">
        <v>70</v>
      </c>
      <c r="B78" s="5" t="s">
        <v>165</v>
      </c>
      <c r="C78" s="5" t="s">
        <v>166</v>
      </c>
      <c r="D78" s="5" t="s">
        <v>612</v>
      </c>
      <c r="E78" s="5" t="s">
        <v>1724</v>
      </c>
      <c r="F78" s="5" t="s">
        <v>1870</v>
      </c>
      <c r="G78" s="5" t="s">
        <v>612</v>
      </c>
      <c r="H78" s="5" t="s">
        <v>1871</v>
      </c>
      <c r="I78" s="5">
        <v>1131469.22</v>
      </c>
      <c r="J78" s="5">
        <v>3490323</v>
      </c>
      <c r="K78" s="5" t="s">
        <v>1872</v>
      </c>
    </row>
    <row r="79" spans="1:11" ht="15.75" customHeight="1" x14ac:dyDescent="0.2">
      <c r="A79" s="5" t="s">
        <v>70</v>
      </c>
      <c r="B79" s="5" t="s">
        <v>165</v>
      </c>
      <c r="C79" s="5" t="s">
        <v>166</v>
      </c>
      <c r="D79" s="5" t="s">
        <v>612</v>
      </c>
      <c r="E79" s="5" t="s">
        <v>1724</v>
      </c>
      <c r="F79" s="5" t="s">
        <v>1873</v>
      </c>
      <c r="G79" s="5" t="s">
        <v>612</v>
      </c>
      <c r="H79" s="5" t="s">
        <v>1874</v>
      </c>
      <c r="I79" s="5">
        <v>677294.39</v>
      </c>
      <c r="J79" s="5">
        <v>891700</v>
      </c>
      <c r="K79" s="5" t="s">
        <v>1875</v>
      </c>
    </row>
    <row r="80" spans="1:11" ht="15.75" customHeight="1" x14ac:dyDescent="0.2">
      <c r="A80" s="5" t="s">
        <v>70</v>
      </c>
      <c r="B80" s="5" t="s">
        <v>165</v>
      </c>
      <c r="C80" s="5" t="s">
        <v>166</v>
      </c>
      <c r="D80" s="5" t="s">
        <v>612</v>
      </c>
      <c r="E80" s="5" t="s">
        <v>1724</v>
      </c>
      <c r="F80" s="5" t="s">
        <v>1876</v>
      </c>
      <c r="G80" s="5" t="s">
        <v>612</v>
      </c>
      <c r="H80" s="5" t="s">
        <v>1877</v>
      </c>
      <c r="I80" s="5">
        <v>1300131.69</v>
      </c>
      <c r="J80" s="5">
        <v>7700000</v>
      </c>
      <c r="K80" s="5" t="s">
        <v>1878</v>
      </c>
    </row>
    <row r="81" spans="1:11" ht="15.75" customHeight="1" x14ac:dyDescent="0.2">
      <c r="A81" s="5" t="s">
        <v>70</v>
      </c>
      <c r="B81" s="5" t="s">
        <v>165</v>
      </c>
      <c r="C81" s="5" t="s">
        <v>166</v>
      </c>
      <c r="D81" s="5" t="s">
        <v>612</v>
      </c>
      <c r="E81" s="5" t="s">
        <v>1724</v>
      </c>
      <c r="F81" s="5" t="s">
        <v>1879</v>
      </c>
      <c r="G81" s="5" t="s">
        <v>612</v>
      </c>
      <c r="H81" s="5" t="s">
        <v>1880</v>
      </c>
      <c r="I81" s="5">
        <v>432858.45</v>
      </c>
      <c r="J81" s="5">
        <v>523264</v>
      </c>
      <c r="K81" s="5" t="s">
        <v>1881</v>
      </c>
    </row>
    <row r="82" spans="1:11" ht="15.75" customHeight="1" x14ac:dyDescent="0.2">
      <c r="A82" s="5" t="s">
        <v>70</v>
      </c>
      <c r="B82" s="5" t="s">
        <v>165</v>
      </c>
      <c r="C82" s="5" t="s">
        <v>166</v>
      </c>
      <c r="D82" s="5" t="s">
        <v>612</v>
      </c>
      <c r="E82" s="5" t="s">
        <v>1724</v>
      </c>
      <c r="F82" s="5" t="s">
        <v>1882</v>
      </c>
      <c r="G82" s="5" t="s">
        <v>612</v>
      </c>
      <c r="H82" s="5" t="s">
        <v>1883</v>
      </c>
      <c r="I82" s="5">
        <v>124570.28</v>
      </c>
      <c r="J82" s="5">
        <v>605858</v>
      </c>
      <c r="K82" s="5" t="s">
        <v>1884</v>
      </c>
    </row>
    <row r="83" spans="1:11" ht="15.75" customHeight="1" x14ac:dyDescent="0.2">
      <c r="A83" s="5" t="s">
        <v>70</v>
      </c>
      <c r="B83" s="5" t="s">
        <v>165</v>
      </c>
      <c r="C83" s="5" t="s">
        <v>166</v>
      </c>
      <c r="D83" s="5" t="s">
        <v>612</v>
      </c>
      <c r="E83" s="5" t="s">
        <v>1724</v>
      </c>
      <c r="F83" s="5" t="s">
        <v>1885</v>
      </c>
      <c r="G83" s="5" t="s">
        <v>612</v>
      </c>
      <c r="H83" s="5" t="s">
        <v>1886</v>
      </c>
      <c r="I83" s="5">
        <v>55267.46</v>
      </c>
      <c r="J83" s="5">
        <v>165630</v>
      </c>
      <c r="K83" s="5" t="s">
        <v>1887</v>
      </c>
    </row>
    <row r="84" spans="1:11" ht="15.75" customHeight="1" x14ac:dyDescent="0.2">
      <c r="A84" s="5" t="s">
        <v>70</v>
      </c>
      <c r="B84" s="5" t="s">
        <v>165</v>
      </c>
      <c r="C84" s="5" t="s">
        <v>166</v>
      </c>
      <c r="D84" s="5" t="s">
        <v>612</v>
      </c>
      <c r="E84" s="5" t="s">
        <v>1724</v>
      </c>
      <c r="F84" s="5" t="s">
        <v>1888</v>
      </c>
      <c r="G84" s="5" t="s">
        <v>612</v>
      </c>
      <c r="H84" s="5" t="s">
        <v>1889</v>
      </c>
      <c r="I84" s="5">
        <v>79738.429999999993</v>
      </c>
      <c r="J84" s="5">
        <v>342138</v>
      </c>
      <c r="K84" s="5" t="s">
        <v>1890</v>
      </c>
    </row>
    <row r="85" spans="1:11" ht="15.75" customHeight="1" x14ac:dyDescent="0.2">
      <c r="A85" s="5" t="s">
        <v>70</v>
      </c>
      <c r="B85" s="5" t="s">
        <v>165</v>
      </c>
      <c r="C85" s="5" t="s">
        <v>166</v>
      </c>
      <c r="D85" s="5" t="s">
        <v>612</v>
      </c>
      <c r="E85" s="5" t="s">
        <v>1724</v>
      </c>
      <c r="F85" s="5" t="s">
        <v>1891</v>
      </c>
      <c r="G85" s="5" t="s">
        <v>612</v>
      </c>
      <c r="H85" s="5" t="s">
        <v>1892</v>
      </c>
      <c r="I85" s="5">
        <v>150708.46</v>
      </c>
      <c r="J85" s="5">
        <v>332526</v>
      </c>
      <c r="K85" s="5" t="s">
        <v>1893</v>
      </c>
    </row>
    <row r="86" spans="1:11" ht="15.75" customHeight="1" x14ac:dyDescent="0.2">
      <c r="A86" s="5" t="s">
        <v>70</v>
      </c>
      <c r="B86" s="5" t="s">
        <v>165</v>
      </c>
      <c r="C86" s="5" t="s">
        <v>166</v>
      </c>
      <c r="D86" s="5" t="s">
        <v>612</v>
      </c>
      <c r="E86" s="5" t="s">
        <v>1724</v>
      </c>
      <c r="F86" s="5" t="s">
        <v>1894</v>
      </c>
      <c r="G86" s="5" t="s">
        <v>612</v>
      </c>
      <c r="H86" s="5" t="s">
        <v>1895</v>
      </c>
      <c r="I86" s="5">
        <v>22141.98</v>
      </c>
      <c r="J86" s="5">
        <v>126684</v>
      </c>
      <c r="K86" s="5" t="s">
        <v>1896</v>
      </c>
    </row>
    <row r="87" spans="1:11" ht="15.75" customHeight="1" x14ac:dyDescent="0.2">
      <c r="A87" s="5" t="s">
        <v>70</v>
      </c>
      <c r="B87" s="5" t="s">
        <v>165</v>
      </c>
      <c r="C87" s="5" t="s">
        <v>166</v>
      </c>
      <c r="D87" s="5" t="s">
        <v>612</v>
      </c>
      <c r="E87" s="5" t="s">
        <v>1724</v>
      </c>
      <c r="F87" s="5" t="s">
        <v>1897</v>
      </c>
      <c r="G87" s="5" t="s">
        <v>612</v>
      </c>
      <c r="H87" s="5" t="s">
        <v>1898</v>
      </c>
      <c r="I87" s="5">
        <v>30895.73</v>
      </c>
      <c r="J87" s="5">
        <v>218693</v>
      </c>
      <c r="K87" s="5" t="s">
        <v>1899</v>
      </c>
    </row>
    <row r="88" spans="1:11" ht="15.75" customHeight="1" x14ac:dyDescent="0.2">
      <c r="A88" s="5" t="s">
        <v>70</v>
      </c>
      <c r="B88" s="5" t="s">
        <v>165</v>
      </c>
      <c r="C88" s="5" t="s">
        <v>166</v>
      </c>
      <c r="D88" s="5" t="s">
        <v>612</v>
      </c>
      <c r="E88" s="5" t="s">
        <v>1724</v>
      </c>
      <c r="F88" s="5" t="s">
        <v>1900</v>
      </c>
      <c r="G88" s="5" t="s">
        <v>612</v>
      </c>
      <c r="H88" s="5" t="s">
        <v>1901</v>
      </c>
      <c r="I88" s="5">
        <v>14039.7</v>
      </c>
      <c r="J88" s="5">
        <v>60241</v>
      </c>
      <c r="K88" s="5" t="s">
        <v>1872</v>
      </c>
    </row>
    <row r="89" spans="1:11" ht="15.75" customHeight="1" x14ac:dyDescent="0.2">
      <c r="A89" s="5" t="s">
        <v>70</v>
      </c>
      <c r="B89" s="5" t="s">
        <v>165</v>
      </c>
      <c r="C89" s="5" t="s">
        <v>166</v>
      </c>
      <c r="D89" s="5" t="s">
        <v>612</v>
      </c>
      <c r="E89" s="5" t="s">
        <v>1724</v>
      </c>
      <c r="F89" s="5" t="s">
        <v>1902</v>
      </c>
      <c r="G89" s="5" t="s">
        <v>612</v>
      </c>
      <c r="H89" s="5" t="s">
        <v>1903</v>
      </c>
      <c r="I89" s="5">
        <v>140035.87</v>
      </c>
      <c r="J89" s="5">
        <v>150223</v>
      </c>
      <c r="K89" s="5" t="s">
        <v>1896</v>
      </c>
    </row>
    <row r="90" spans="1:11" ht="15.75" customHeight="1" x14ac:dyDescent="0.2">
      <c r="A90" s="5" t="s">
        <v>70</v>
      </c>
      <c r="B90" s="5" t="s">
        <v>165</v>
      </c>
      <c r="C90" s="5" t="s">
        <v>166</v>
      </c>
      <c r="D90" s="5" t="s">
        <v>612</v>
      </c>
      <c r="E90" s="5" t="s">
        <v>1684</v>
      </c>
      <c r="F90" s="5" t="s">
        <v>1904</v>
      </c>
      <c r="G90" s="5" t="s">
        <v>612</v>
      </c>
      <c r="H90" s="5" t="s">
        <v>1905</v>
      </c>
      <c r="I90" s="5">
        <v>265801.7</v>
      </c>
      <c r="J90" s="5">
        <v>1750000</v>
      </c>
      <c r="K90" s="5" t="s">
        <v>1861</v>
      </c>
    </row>
    <row r="91" spans="1:11" ht="15.75" customHeight="1" x14ac:dyDescent="0.2">
      <c r="A91" s="5" t="s">
        <v>70</v>
      </c>
      <c r="B91" s="5" t="s">
        <v>165</v>
      </c>
      <c r="C91" s="5" t="s">
        <v>166</v>
      </c>
      <c r="D91" s="5" t="s">
        <v>612</v>
      </c>
      <c r="E91" s="5" t="s">
        <v>1684</v>
      </c>
      <c r="F91" s="5" t="s">
        <v>1906</v>
      </c>
      <c r="G91" s="5" t="s">
        <v>612</v>
      </c>
      <c r="H91" s="5" t="s">
        <v>1907</v>
      </c>
      <c r="I91" s="5">
        <v>122100.83</v>
      </c>
      <c r="J91" s="5">
        <v>1225000</v>
      </c>
      <c r="K91" s="5" t="s">
        <v>1861</v>
      </c>
    </row>
    <row r="92" spans="1:11" ht="15.75" customHeight="1" x14ac:dyDescent="0.2">
      <c r="A92" s="5" t="s">
        <v>70</v>
      </c>
      <c r="B92" s="5" t="s">
        <v>165</v>
      </c>
      <c r="C92" s="5" t="s">
        <v>166</v>
      </c>
      <c r="D92" s="5" t="s">
        <v>612</v>
      </c>
      <c r="E92" s="5" t="s">
        <v>1684</v>
      </c>
      <c r="F92" s="5" t="s">
        <v>1908</v>
      </c>
      <c r="G92" s="5" t="s">
        <v>612</v>
      </c>
      <c r="H92" s="5" t="s">
        <v>1909</v>
      </c>
      <c r="I92" s="5">
        <v>213047</v>
      </c>
      <c r="J92" s="5">
        <v>182717.11</v>
      </c>
      <c r="K92" s="5" t="s">
        <v>1910</v>
      </c>
    </row>
    <row r="93" spans="1:11" ht="15.75" customHeight="1" x14ac:dyDescent="0.2">
      <c r="A93" s="5" t="s">
        <v>70</v>
      </c>
      <c r="B93" s="5" t="s">
        <v>165</v>
      </c>
      <c r="C93" s="5" t="s">
        <v>166</v>
      </c>
      <c r="D93" s="5" t="s">
        <v>612</v>
      </c>
      <c r="E93" s="5" t="s">
        <v>1684</v>
      </c>
      <c r="F93" s="5" t="s">
        <v>1911</v>
      </c>
      <c r="G93" s="5" t="s">
        <v>612</v>
      </c>
      <c r="H93" s="5" t="s">
        <v>1912</v>
      </c>
      <c r="I93" s="5">
        <v>2555</v>
      </c>
      <c r="J93" s="5">
        <v>2165.4</v>
      </c>
      <c r="K93" s="5" t="s">
        <v>1913</v>
      </c>
    </row>
    <row r="94" spans="1:11" ht="15.75" customHeight="1" x14ac:dyDescent="0.2">
      <c r="A94" s="5" t="s">
        <v>70</v>
      </c>
      <c r="B94" s="5" t="s">
        <v>165</v>
      </c>
      <c r="C94" s="5" t="s">
        <v>166</v>
      </c>
      <c r="D94" s="5" t="s">
        <v>612</v>
      </c>
      <c r="E94" s="5" t="s">
        <v>1914</v>
      </c>
      <c r="F94" s="5" t="s">
        <v>1915</v>
      </c>
      <c r="G94" s="5" t="s">
        <v>612</v>
      </c>
      <c r="H94" s="5" t="s">
        <v>1916</v>
      </c>
      <c r="I94" s="5">
        <v>51485.21</v>
      </c>
      <c r="J94" s="5">
        <v>350000</v>
      </c>
    </row>
    <row r="95" spans="1:11" ht="15.75" customHeight="1" x14ac:dyDescent="0.2">
      <c r="A95" s="5" t="s">
        <v>70</v>
      </c>
      <c r="B95" s="5" t="s">
        <v>165</v>
      </c>
      <c r="C95" s="5" t="s">
        <v>166</v>
      </c>
      <c r="D95" s="5" t="s">
        <v>612</v>
      </c>
      <c r="E95" s="5" t="s">
        <v>1917</v>
      </c>
      <c r="F95" s="5" t="s">
        <v>1918</v>
      </c>
      <c r="G95" s="5" t="s">
        <v>612</v>
      </c>
      <c r="H95" s="5" t="s">
        <v>1919</v>
      </c>
      <c r="I95" s="5">
        <v>15235.18</v>
      </c>
      <c r="J95" s="5">
        <v>12909.66</v>
      </c>
      <c r="K95" s="5" t="s">
        <v>1920</v>
      </c>
    </row>
    <row r="96" spans="1:11" ht="15.75" customHeight="1" x14ac:dyDescent="0.2">
      <c r="A96" s="5" t="s">
        <v>70</v>
      </c>
      <c r="B96" s="5" t="s">
        <v>165</v>
      </c>
      <c r="C96" s="5" t="s">
        <v>166</v>
      </c>
      <c r="D96" s="5" t="s">
        <v>612</v>
      </c>
      <c r="E96" s="5" t="s">
        <v>1684</v>
      </c>
      <c r="F96" s="5" t="s">
        <v>1921</v>
      </c>
      <c r="G96" s="5" t="s">
        <v>612</v>
      </c>
      <c r="H96" s="5" t="s">
        <v>1922</v>
      </c>
      <c r="I96" s="5">
        <v>2733003.7</v>
      </c>
      <c r="J96" s="5">
        <v>3475500.2</v>
      </c>
      <c r="K96" s="5" t="s">
        <v>1923</v>
      </c>
    </row>
    <row r="97" spans="1:11" ht="15.75" customHeight="1" x14ac:dyDescent="0.2">
      <c r="A97" s="5" t="s">
        <v>70</v>
      </c>
      <c r="B97" s="5" t="s">
        <v>165</v>
      </c>
      <c r="C97" s="5" t="s">
        <v>166</v>
      </c>
      <c r="D97" s="5" t="s">
        <v>612</v>
      </c>
      <c r="E97" s="5" t="s">
        <v>1684</v>
      </c>
      <c r="F97" s="5" t="s">
        <v>1924</v>
      </c>
      <c r="G97" s="5" t="s">
        <v>612</v>
      </c>
      <c r="H97" s="5" t="s">
        <v>1925</v>
      </c>
      <c r="I97" s="5">
        <v>451697.14</v>
      </c>
      <c r="J97" s="5">
        <v>2065000</v>
      </c>
      <c r="K97" s="5" t="s">
        <v>1926</v>
      </c>
    </row>
    <row r="98" spans="1:11" ht="15.75" customHeight="1" x14ac:dyDescent="0.2">
      <c r="A98" s="5" t="s">
        <v>70</v>
      </c>
      <c r="B98" s="5" t="s">
        <v>165</v>
      </c>
      <c r="C98" s="5" t="s">
        <v>166</v>
      </c>
      <c r="D98" s="5" t="s">
        <v>612</v>
      </c>
      <c r="E98" s="5" t="s">
        <v>1724</v>
      </c>
      <c r="F98" s="5" t="s">
        <v>1927</v>
      </c>
      <c r="G98" s="5" t="s">
        <v>612</v>
      </c>
      <c r="H98" s="5" t="s">
        <v>1928</v>
      </c>
      <c r="I98" s="5">
        <v>346535.97</v>
      </c>
      <c r="J98" s="5">
        <v>497582</v>
      </c>
      <c r="K98" s="5" t="s">
        <v>1929</v>
      </c>
    </row>
    <row r="99" spans="1:11" ht="15.75" customHeight="1" x14ac:dyDescent="0.2">
      <c r="A99" s="5" t="s">
        <v>70</v>
      </c>
      <c r="B99" s="5" t="s">
        <v>165</v>
      </c>
      <c r="C99" s="5" t="s">
        <v>166</v>
      </c>
      <c r="D99" s="5" t="s">
        <v>612</v>
      </c>
      <c r="E99" s="5" t="s">
        <v>1724</v>
      </c>
      <c r="F99" s="5" t="s">
        <v>1930</v>
      </c>
      <c r="G99" s="5" t="s">
        <v>612</v>
      </c>
      <c r="H99" s="5" t="s">
        <v>1931</v>
      </c>
      <c r="I99" s="5">
        <v>155866.73000000001</v>
      </c>
      <c r="J99" s="5">
        <v>732984</v>
      </c>
      <c r="K99" s="5" t="s">
        <v>1893</v>
      </c>
    </row>
    <row r="100" spans="1:11" ht="15.75" customHeight="1" x14ac:dyDescent="0.2">
      <c r="A100" s="5" t="s">
        <v>70</v>
      </c>
      <c r="B100" s="5" t="s">
        <v>165</v>
      </c>
      <c r="C100" s="5" t="s">
        <v>166</v>
      </c>
      <c r="D100" s="5" t="s">
        <v>612</v>
      </c>
      <c r="E100" s="5" t="s">
        <v>1724</v>
      </c>
      <c r="F100" s="5" t="s">
        <v>1932</v>
      </c>
      <c r="G100" s="5" t="s">
        <v>612</v>
      </c>
      <c r="H100" s="5" t="s">
        <v>1933</v>
      </c>
      <c r="I100" s="5">
        <v>250.6</v>
      </c>
      <c r="J100" s="5">
        <v>10752</v>
      </c>
      <c r="K100" s="5" t="s">
        <v>1934</v>
      </c>
    </row>
    <row r="101" spans="1:11" ht="15.75" customHeight="1" x14ac:dyDescent="0.2">
      <c r="A101" s="5" t="s">
        <v>70</v>
      </c>
      <c r="B101" s="5" t="s">
        <v>165</v>
      </c>
      <c r="C101" s="5" t="s">
        <v>166</v>
      </c>
      <c r="D101" s="5" t="s">
        <v>612</v>
      </c>
      <c r="E101" s="5" t="s">
        <v>1724</v>
      </c>
      <c r="F101" s="5" t="s">
        <v>1935</v>
      </c>
      <c r="G101" s="5" t="s">
        <v>612</v>
      </c>
      <c r="H101" s="5" t="s">
        <v>1936</v>
      </c>
      <c r="I101" s="5">
        <v>38223.51</v>
      </c>
      <c r="J101" s="5">
        <v>132566</v>
      </c>
      <c r="K101" s="5" t="s">
        <v>1899</v>
      </c>
    </row>
    <row r="102" spans="1:11" ht="15.75" customHeight="1" x14ac:dyDescent="0.2">
      <c r="A102" s="5" t="s">
        <v>70</v>
      </c>
      <c r="B102" s="5" t="s">
        <v>165</v>
      </c>
      <c r="C102" s="5" t="s">
        <v>166</v>
      </c>
      <c r="D102" s="5" t="s">
        <v>612</v>
      </c>
      <c r="E102" s="5" t="s">
        <v>1684</v>
      </c>
      <c r="F102" s="5" t="s">
        <v>1937</v>
      </c>
      <c r="G102" s="5" t="s">
        <v>612</v>
      </c>
      <c r="H102" s="5" t="s">
        <v>1938</v>
      </c>
      <c r="I102" s="5">
        <v>1513174.13</v>
      </c>
      <c r="J102" s="5">
        <v>1669470.66</v>
      </c>
      <c r="K102" s="5" t="s">
        <v>1939</v>
      </c>
    </row>
    <row r="103" spans="1:11" ht="15.75" customHeight="1" x14ac:dyDescent="0.2">
      <c r="A103" s="5" t="s">
        <v>70</v>
      </c>
      <c r="B103" s="5" t="s">
        <v>165</v>
      </c>
      <c r="C103" s="5" t="s">
        <v>166</v>
      </c>
      <c r="D103" s="5" t="s">
        <v>612</v>
      </c>
      <c r="E103" s="5" t="s">
        <v>1684</v>
      </c>
      <c r="F103" s="5" t="s">
        <v>1937</v>
      </c>
      <c r="G103" s="5" t="s">
        <v>612</v>
      </c>
      <c r="H103" s="5" t="s">
        <v>1940</v>
      </c>
      <c r="I103" s="5">
        <v>39.950000000000003</v>
      </c>
      <c r="J103" s="5">
        <v>33.1</v>
      </c>
      <c r="K103" s="5" t="s">
        <v>1920</v>
      </c>
    </row>
    <row r="104" spans="1:11" ht="15.75" customHeight="1" x14ac:dyDescent="0.2">
      <c r="A104" s="5" t="s">
        <v>70</v>
      </c>
      <c r="B104" s="5" t="s">
        <v>165</v>
      </c>
      <c r="C104" s="5" t="s">
        <v>166</v>
      </c>
      <c r="D104" s="5" t="s">
        <v>612</v>
      </c>
      <c r="E104" s="5" t="s">
        <v>1684</v>
      </c>
      <c r="F104" s="5" t="s">
        <v>1941</v>
      </c>
      <c r="G104" s="5" t="s">
        <v>612</v>
      </c>
      <c r="H104" s="5" t="s">
        <v>1942</v>
      </c>
      <c r="I104" s="5">
        <v>92638.86</v>
      </c>
      <c r="J104" s="5">
        <v>78498.31</v>
      </c>
      <c r="K104" s="5" t="s">
        <v>1943</v>
      </c>
    </row>
    <row r="105" spans="1:11" ht="15.75" customHeight="1" x14ac:dyDescent="0.2">
      <c r="A105" s="5" t="s">
        <v>70</v>
      </c>
      <c r="B105" s="5" t="s">
        <v>176</v>
      </c>
      <c r="C105" s="5" t="s">
        <v>177</v>
      </c>
      <c r="D105" s="5" t="s">
        <v>612</v>
      </c>
      <c r="E105" s="5" t="s">
        <v>1684</v>
      </c>
      <c r="F105" s="5" t="s">
        <v>1944</v>
      </c>
      <c r="G105" s="5" t="s">
        <v>612</v>
      </c>
      <c r="H105" s="5" t="s">
        <v>1945</v>
      </c>
      <c r="I105" s="5">
        <v>19868.73</v>
      </c>
      <c r="J105" s="5">
        <v>20100</v>
      </c>
      <c r="K105" s="5" t="s">
        <v>1946</v>
      </c>
    </row>
    <row r="106" spans="1:11" ht="15.75" customHeight="1" x14ac:dyDescent="0.2">
      <c r="A106" s="5" t="s">
        <v>70</v>
      </c>
      <c r="B106" s="5" t="s">
        <v>176</v>
      </c>
      <c r="C106" s="5" t="s">
        <v>177</v>
      </c>
      <c r="D106" s="5" t="s">
        <v>612</v>
      </c>
      <c r="E106" s="5" t="s">
        <v>1684</v>
      </c>
      <c r="F106" s="5" t="s">
        <v>1947</v>
      </c>
      <c r="G106" s="5" t="s">
        <v>612</v>
      </c>
      <c r="H106" s="5" t="s">
        <v>1948</v>
      </c>
      <c r="I106" s="5">
        <v>126371.02</v>
      </c>
      <c r="J106" s="5">
        <v>649900</v>
      </c>
      <c r="K106" s="5" t="s">
        <v>1837</v>
      </c>
    </row>
    <row r="107" spans="1:11" ht="15.75" customHeight="1" x14ac:dyDescent="0.2">
      <c r="A107" s="5" t="s">
        <v>70</v>
      </c>
      <c r="B107" s="5" t="s">
        <v>176</v>
      </c>
      <c r="C107" s="5" t="s">
        <v>177</v>
      </c>
      <c r="D107" s="5" t="s">
        <v>612</v>
      </c>
      <c r="E107" s="5" t="s">
        <v>1684</v>
      </c>
      <c r="F107" s="5" t="s">
        <v>1949</v>
      </c>
      <c r="G107" s="5" t="s">
        <v>612</v>
      </c>
      <c r="H107" s="5" t="s">
        <v>1950</v>
      </c>
      <c r="I107" s="5">
        <v>0</v>
      </c>
      <c r="J107" s="5">
        <v>0</v>
      </c>
      <c r="K107" s="5" t="s">
        <v>1951</v>
      </c>
    </row>
    <row r="108" spans="1:11" ht="15.75" customHeight="1" x14ac:dyDescent="0.2">
      <c r="A108" s="5" t="s">
        <v>70</v>
      </c>
      <c r="B108" s="5" t="s">
        <v>176</v>
      </c>
      <c r="C108" s="5" t="s">
        <v>177</v>
      </c>
      <c r="D108" s="5" t="s">
        <v>612</v>
      </c>
      <c r="E108" s="5" t="s">
        <v>1684</v>
      </c>
      <c r="F108" s="5" t="s">
        <v>1952</v>
      </c>
      <c r="G108" s="5" t="s">
        <v>612</v>
      </c>
      <c r="H108" s="5" t="s">
        <v>1953</v>
      </c>
      <c r="I108" s="5">
        <v>270728.90000000002</v>
      </c>
      <c r="J108" s="5">
        <v>1675000</v>
      </c>
      <c r="K108" s="5" t="s">
        <v>1954</v>
      </c>
    </row>
    <row r="109" spans="1:11" ht="15.75" customHeight="1" x14ac:dyDescent="0.2">
      <c r="A109" s="5" t="s">
        <v>70</v>
      </c>
      <c r="B109" s="5" t="s">
        <v>176</v>
      </c>
      <c r="C109" s="5" t="s">
        <v>177</v>
      </c>
      <c r="D109" s="5" t="s">
        <v>612</v>
      </c>
      <c r="E109" s="5" t="s">
        <v>1684</v>
      </c>
      <c r="F109" s="5" t="s">
        <v>1955</v>
      </c>
      <c r="G109" s="5" t="s">
        <v>612</v>
      </c>
      <c r="H109" s="5" t="s">
        <v>1956</v>
      </c>
      <c r="I109" s="5">
        <v>108486.46</v>
      </c>
      <c r="J109" s="5">
        <v>536000</v>
      </c>
      <c r="K109" s="5" t="s">
        <v>1957</v>
      </c>
    </row>
    <row r="110" spans="1:11" ht="15.75" customHeight="1" x14ac:dyDescent="0.2">
      <c r="A110" s="5" t="s">
        <v>70</v>
      </c>
      <c r="B110" s="5" t="s">
        <v>176</v>
      </c>
      <c r="C110" s="5" t="s">
        <v>177</v>
      </c>
      <c r="D110" s="5" t="s">
        <v>612</v>
      </c>
      <c r="E110" s="5" t="s">
        <v>1684</v>
      </c>
      <c r="F110" s="5" t="s">
        <v>1958</v>
      </c>
      <c r="G110" s="5" t="s">
        <v>612</v>
      </c>
      <c r="H110" s="5" t="s">
        <v>1959</v>
      </c>
      <c r="I110" s="5">
        <v>0</v>
      </c>
      <c r="J110" s="5">
        <v>0</v>
      </c>
      <c r="K110" s="5" t="s">
        <v>1951</v>
      </c>
    </row>
    <row r="111" spans="1:11" ht="15.75" customHeight="1" x14ac:dyDescent="0.2">
      <c r="A111" s="5" t="s">
        <v>70</v>
      </c>
      <c r="B111" s="5" t="s">
        <v>176</v>
      </c>
      <c r="C111" s="5" t="s">
        <v>177</v>
      </c>
      <c r="D111" s="5" t="s">
        <v>612</v>
      </c>
      <c r="E111" s="5" t="s">
        <v>1684</v>
      </c>
      <c r="F111" s="5" t="s">
        <v>1960</v>
      </c>
      <c r="G111" s="5" t="s">
        <v>612</v>
      </c>
      <c r="H111" s="5" t="s">
        <v>1961</v>
      </c>
      <c r="I111" s="5">
        <v>233349.96</v>
      </c>
      <c r="J111" s="5">
        <v>837500</v>
      </c>
      <c r="K111" s="5" t="s">
        <v>1957</v>
      </c>
    </row>
    <row r="112" spans="1:11" ht="15.75" customHeight="1" x14ac:dyDescent="0.2">
      <c r="A112" s="5" t="s">
        <v>70</v>
      </c>
      <c r="B112" s="5" t="s">
        <v>176</v>
      </c>
      <c r="C112" s="5" t="s">
        <v>177</v>
      </c>
      <c r="D112" s="5" t="s">
        <v>612</v>
      </c>
      <c r="E112" s="5" t="s">
        <v>1684</v>
      </c>
      <c r="F112" s="5" t="s">
        <v>1962</v>
      </c>
      <c r="G112" s="5" t="s">
        <v>612</v>
      </c>
      <c r="H112" s="5" t="s">
        <v>1963</v>
      </c>
      <c r="I112" s="5">
        <v>0</v>
      </c>
      <c r="J112" s="5">
        <v>0</v>
      </c>
      <c r="K112" s="5" t="s">
        <v>1964</v>
      </c>
    </row>
    <row r="113" spans="1:11" ht="15.75" customHeight="1" x14ac:dyDescent="0.2">
      <c r="A113" s="5" t="s">
        <v>70</v>
      </c>
      <c r="B113" s="5" t="s">
        <v>176</v>
      </c>
      <c r="C113" s="5" t="s">
        <v>177</v>
      </c>
      <c r="D113" s="5" t="s">
        <v>612</v>
      </c>
      <c r="E113" s="5" t="s">
        <v>1684</v>
      </c>
      <c r="F113" s="5" t="s">
        <v>1965</v>
      </c>
      <c r="G113" s="5" t="s">
        <v>612</v>
      </c>
      <c r="H113" s="5" t="s">
        <v>1966</v>
      </c>
      <c r="I113" s="5">
        <v>3524.56</v>
      </c>
      <c r="J113" s="5">
        <v>33500</v>
      </c>
      <c r="K113" s="5" t="s">
        <v>1946</v>
      </c>
    </row>
    <row r="114" spans="1:11" ht="15.75" customHeight="1" x14ac:dyDescent="0.2">
      <c r="A114" s="5" t="s">
        <v>70</v>
      </c>
      <c r="B114" s="5" t="s">
        <v>184</v>
      </c>
      <c r="C114" s="5" t="s">
        <v>185</v>
      </c>
      <c r="D114" s="5" t="s">
        <v>612</v>
      </c>
      <c r="E114" s="5" t="s">
        <v>1967</v>
      </c>
      <c r="F114" s="5" t="s">
        <v>1968</v>
      </c>
      <c r="I114" s="5">
        <v>276000</v>
      </c>
      <c r="J114" s="5">
        <v>276000</v>
      </c>
      <c r="K114" s="5" t="s">
        <v>1969</v>
      </c>
    </row>
    <row r="115" spans="1:11" ht="15.75" customHeight="1" x14ac:dyDescent="0.2">
      <c r="A115" s="5" t="s">
        <v>70</v>
      </c>
      <c r="B115" s="5" t="s">
        <v>184</v>
      </c>
      <c r="C115" s="5" t="s">
        <v>185</v>
      </c>
      <c r="D115" s="5" t="s">
        <v>612</v>
      </c>
      <c r="E115" s="5" t="s">
        <v>1684</v>
      </c>
      <c r="F115" s="5" t="s">
        <v>1970</v>
      </c>
      <c r="G115" s="5" t="s">
        <v>612</v>
      </c>
      <c r="H115" s="5" t="s">
        <v>1971</v>
      </c>
      <c r="I115" s="5">
        <v>380796.01</v>
      </c>
      <c r="J115" s="5">
        <v>380796.01</v>
      </c>
      <c r="K115" s="5" t="s">
        <v>1972</v>
      </c>
    </row>
    <row r="116" spans="1:11" ht="15.75" customHeight="1" x14ac:dyDescent="0.2">
      <c r="A116" s="5" t="s">
        <v>70</v>
      </c>
      <c r="B116" s="5" t="s">
        <v>184</v>
      </c>
      <c r="C116" s="5" t="s">
        <v>185</v>
      </c>
      <c r="D116" s="5" t="s">
        <v>612</v>
      </c>
      <c r="E116" s="5" t="s">
        <v>1684</v>
      </c>
      <c r="F116" s="5" t="s">
        <v>1973</v>
      </c>
      <c r="G116" s="5" t="s">
        <v>612</v>
      </c>
      <c r="H116" s="5" t="s">
        <v>1974</v>
      </c>
      <c r="I116" s="5">
        <v>10807.28</v>
      </c>
      <c r="J116" s="5">
        <v>10807.28</v>
      </c>
      <c r="K116" s="5" t="s">
        <v>1972</v>
      </c>
    </row>
    <row r="117" spans="1:11" ht="15.75" customHeight="1" x14ac:dyDescent="0.2">
      <c r="A117" s="5" t="s">
        <v>70</v>
      </c>
      <c r="B117" s="5" t="s">
        <v>184</v>
      </c>
      <c r="C117" s="5" t="s">
        <v>185</v>
      </c>
      <c r="D117" s="5" t="s">
        <v>612</v>
      </c>
      <c r="E117" s="5" t="s">
        <v>1684</v>
      </c>
      <c r="F117" s="5" t="s">
        <v>1975</v>
      </c>
      <c r="G117" s="5" t="s">
        <v>612</v>
      </c>
      <c r="H117" s="5" t="s">
        <v>1976</v>
      </c>
      <c r="I117" s="5">
        <v>32202.92</v>
      </c>
      <c r="J117" s="5">
        <v>32202.92</v>
      </c>
      <c r="K117" s="5" t="s">
        <v>1977</v>
      </c>
    </row>
    <row r="118" spans="1:11" ht="15.75" customHeight="1" x14ac:dyDescent="0.2">
      <c r="A118" s="5" t="s">
        <v>70</v>
      </c>
      <c r="B118" s="5" t="s">
        <v>184</v>
      </c>
      <c r="C118" s="5" t="s">
        <v>185</v>
      </c>
      <c r="D118" s="5" t="s">
        <v>612</v>
      </c>
      <c r="E118" s="5" t="s">
        <v>1684</v>
      </c>
      <c r="F118" s="5" t="s">
        <v>1978</v>
      </c>
      <c r="G118" s="5" t="s">
        <v>612</v>
      </c>
      <c r="H118" s="5" t="s">
        <v>1979</v>
      </c>
      <c r="I118" s="5">
        <v>150499.92000000001</v>
      </c>
      <c r="J118" s="5">
        <v>150499.92000000001</v>
      </c>
      <c r="K118" s="5" t="s">
        <v>1977</v>
      </c>
    </row>
    <row r="119" spans="1:11" ht="15.75" customHeight="1" x14ac:dyDescent="0.2">
      <c r="A119" s="5" t="s">
        <v>70</v>
      </c>
      <c r="B119" s="5" t="s">
        <v>184</v>
      </c>
      <c r="C119" s="5" t="s">
        <v>185</v>
      </c>
      <c r="D119" s="5" t="s">
        <v>612</v>
      </c>
      <c r="E119" s="5" t="s">
        <v>1684</v>
      </c>
      <c r="F119" s="5" t="s">
        <v>1980</v>
      </c>
      <c r="G119" s="5" t="s">
        <v>612</v>
      </c>
      <c r="H119" s="5" t="s">
        <v>1981</v>
      </c>
      <c r="I119" s="5">
        <v>21788.07</v>
      </c>
      <c r="J119" s="5">
        <v>21788.07</v>
      </c>
      <c r="K119" s="5" t="s">
        <v>1977</v>
      </c>
    </row>
    <row r="120" spans="1:11" ht="15.75" customHeight="1" x14ac:dyDescent="0.2">
      <c r="A120" s="5" t="s">
        <v>70</v>
      </c>
      <c r="B120" s="5" t="s">
        <v>184</v>
      </c>
      <c r="C120" s="5" t="s">
        <v>185</v>
      </c>
      <c r="D120" s="5" t="s">
        <v>612</v>
      </c>
      <c r="E120" s="5" t="s">
        <v>1684</v>
      </c>
      <c r="F120" s="5" t="s">
        <v>1982</v>
      </c>
      <c r="G120" s="5" t="s">
        <v>612</v>
      </c>
      <c r="H120" s="5" t="s">
        <v>1983</v>
      </c>
      <c r="I120" s="5">
        <v>18483.29</v>
      </c>
      <c r="J120" s="5">
        <v>18483.29</v>
      </c>
      <c r="K120" s="5" t="s">
        <v>1977</v>
      </c>
    </row>
    <row r="121" spans="1:11" ht="15.75" customHeight="1" x14ac:dyDescent="0.2">
      <c r="A121" s="5" t="s">
        <v>70</v>
      </c>
      <c r="B121" s="5" t="s">
        <v>184</v>
      </c>
      <c r="C121" s="5" t="s">
        <v>185</v>
      </c>
      <c r="D121" s="5" t="s">
        <v>612</v>
      </c>
      <c r="E121" s="5" t="s">
        <v>1684</v>
      </c>
      <c r="F121" s="5" t="s">
        <v>1984</v>
      </c>
      <c r="G121" s="5" t="s">
        <v>612</v>
      </c>
      <c r="H121" s="5" t="s">
        <v>1985</v>
      </c>
      <c r="I121" s="5">
        <v>19553.419999999998</v>
      </c>
      <c r="J121" s="5">
        <v>19553.419999999998</v>
      </c>
      <c r="K121" s="5" t="s">
        <v>1977</v>
      </c>
    </row>
    <row r="122" spans="1:11" ht="15.75" customHeight="1" x14ac:dyDescent="0.2">
      <c r="A122" s="5" t="s">
        <v>70</v>
      </c>
      <c r="B122" s="5" t="s">
        <v>184</v>
      </c>
      <c r="C122" s="5" t="s">
        <v>185</v>
      </c>
      <c r="D122" s="5" t="s">
        <v>612</v>
      </c>
      <c r="E122" s="5" t="s">
        <v>1684</v>
      </c>
      <c r="F122" s="5" t="s">
        <v>1986</v>
      </c>
      <c r="G122" s="5" t="s">
        <v>612</v>
      </c>
      <c r="H122" s="5" t="s">
        <v>1987</v>
      </c>
      <c r="I122" s="5">
        <v>27027.99</v>
      </c>
      <c r="J122" s="5">
        <v>27027.99</v>
      </c>
      <c r="K122" s="5" t="s">
        <v>1977</v>
      </c>
    </row>
    <row r="123" spans="1:11" ht="15.75" customHeight="1" x14ac:dyDescent="0.2">
      <c r="A123" s="5" t="s">
        <v>70</v>
      </c>
      <c r="B123" s="5" t="s">
        <v>184</v>
      </c>
      <c r="C123" s="5" t="s">
        <v>185</v>
      </c>
      <c r="D123" s="5" t="s">
        <v>612</v>
      </c>
      <c r="E123" s="5" t="s">
        <v>1684</v>
      </c>
      <c r="F123" s="5" t="s">
        <v>1988</v>
      </c>
      <c r="G123" s="5" t="s">
        <v>612</v>
      </c>
      <c r="H123" s="5" t="s">
        <v>1989</v>
      </c>
      <c r="I123" s="5">
        <v>36045.93</v>
      </c>
      <c r="J123" s="5">
        <v>36045.93</v>
      </c>
      <c r="K123" s="5" t="s">
        <v>1977</v>
      </c>
    </row>
    <row r="124" spans="1:11" ht="15.75" customHeight="1" x14ac:dyDescent="0.2">
      <c r="A124" s="5" t="s">
        <v>70</v>
      </c>
      <c r="B124" s="5" t="s">
        <v>184</v>
      </c>
      <c r="C124" s="5" t="s">
        <v>185</v>
      </c>
      <c r="D124" s="5" t="s">
        <v>612</v>
      </c>
      <c r="E124" s="5" t="s">
        <v>1684</v>
      </c>
      <c r="F124" s="5" t="s">
        <v>1990</v>
      </c>
      <c r="G124" s="5" t="s">
        <v>612</v>
      </c>
      <c r="H124" s="5" t="s">
        <v>1991</v>
      </c>
      <c r="I124" s="5">
        <v>4440.32</v>
      </c>
      <c r="J124" s="5">
        <v>4440.32</v>
      </c>
      <c r="K124" s="5" t="s">
        <v>1992</v>
      </c>
    </row>
    <row r="125" spans="1:11" ht="15.75" customHeight="1" x14ac:dyDescent="0.2">
      <c r="A125" s="5" t="s">
        <v>70</v>
      </c>
      <c r="B125" s="5" t="s">
        <v>184</v>
      </c>
      <c r="C125" s="5" t="s">
        <v>185</v>
      </c>
      <c r="D125" s="5" t="s">
        <v>612</v>
      </c>
      <c r="E125" s="5" t="s">
        <v>1684</v>
      </c>
      <c r="F125" s="5" t="s">
        <v>1993</v>
      </c>
      <c r="G125" s="5" t="s">
        <v>612</v>
      </c>
      <c r="H125" s="5" t="s">
        <v>1994</v>
      </c>
      <c r="I125" s="5">
        <v>4600.99</v>
      </c>
      <c r="J125" s="5">
        <v>4600.99</v>
      </c>
      <c r="K125" s="5" t="s">
        <v>1995</v>
      </c>
    </row>
    <row r="126" spans="1:11" ht="15.75" customHeight="1" x14ac:dyDescent="0.2">
      <c r="A126" s="5" t="s">
        <v>70</v>
      </c>
      <c r="B126" s="5" t="s">
        <v>184</v>
      </c>
      <c r="C126" s="5" t="s">
        <v>185</v>
      </c>
      <c r="D126" s="5" t="s">
        <v>612</v>
      </c>
      <c r="E126" s="5" t="s">
        <v>1684</v>
      </c>
      <c r="F126" s="5" t="s">
        <v>1993</v>
      </c>
      <c r="G126" s="5" t="s">
        <v>612</v>
      </c>
      <c r="H126" s="5" t="s">
        <v>1996</v>
      </c>
      <c r="I126" s="5">
        <v>4600.99</v>
      </c>
      <c r="J126" s="5">
        <v>4600.99</v>
      </c>
      <c r="K126" s="5" t="s">
        <v>1997</v>
      </c>
    </row>
    <row r="127" spans="1:11" ht="15.75" customHeight="1" x14ac:dyDescent="0.2">
      <c r="A127" s="5" t="s">
        <v>70</v>
      </c>
      <c r="B127" s="5" t="s">
        <v>184</v>
      </c>
      <c r="C127" s="5" t="s">
        <v>185</v>
      </c>
      <c r="D127" s="5" t="s">
        <v>612</v>
      </c>
      <c r="E127" s="5" t="s">
        <v>1684</v>
      </c>
      <c r="F127" s="5" t="s">
        <v>1998</v>
      </c>
      <c r="G127" s="5" t="s">
        <v>612</v>
      </c>
      <c r="H127" s="5" t="s">
        <v>1999</v>
      </c>
      <c r="I127" s="5">
        <v>5063.92</v>
      </c>
      <c r="J127" s="5">
        <v>5063.92</v>
      </c>
      <c r="K127" s="5" t="s">
        <v>2000</v>
      </c>
    </row>
    <row r="128" spans="1:11" ht="15.75" customHeight="1" x14ac:dyDescent="0.2">
      <c r="A128" s="5" t="s">
        <v>70</v>
      </c>
      <c r="B128" s="5" t="s">
        <v>184</v>
      </c>
      <c r="C128" s="5" t="s">
        <v>185</v>
      </c>
      <c r="D128" s="5" t="s">
        <v>612</v>
      </c>
      <c r="E128" s="5" t="s">
        <v>1684</v>
      </c>
      <c r="F128" s="5" t="s">
        <v>1998</v>
      </c>
      <c r="G128" s="5" t="s">
        <v>612</v>
      </c>
      <c r="H128" s="5" t="s">
        <v>2001</v>
      </c>
      <c r="I128" s="5">
        <v>4440.32</v>
      </c>
      <c r="J128" s="5">
        <v>4440.32</v>
      </c>
      <c r="K128" s="5" t="s">
        <v>2002</v>
      </c>
    </row>
    <row r="129" spans="1:11" ht="15.75" customHeight="1" x14ac:dyDescent="0.2">
      <c r="A129" s="5" t="s">
        <v>70</v>
      </c>
      <c r="B129" s="5" t="s">
        <v>184</v>
      </c>
      <c r="C129" s="5" t="s">
        <v>185</v>
      </c>
      <c r="D129" s="5" t="s">
        <v>612</v>
      </c>
      <c r="E129" s="5" t="s">
        <v>1684</v>
      </c>
      <c r="F129" s="5" t="s">
        <v>2003</v>
      </c>
      <c r="G129" s="5" t="s">
        <v>612</v>
      </c>
      <c r="H129" s="5" t="s">
        <v>2004</v>
      </c>
      <c r="I129" s="5">
        <v>197366.62</v>
      </c>
      <c r="J129" s="5">
        <v>197366.62</v>
      </c>
      <c r="K129" s="5" t="s">
        <v>2005</v>
      </c>
    </row>
    <row r="130" spans="1:11" ht="15.75" customHeight="1" x14ac:dyDescent="0.2">
      <c r="A130" s="5" t="s">
        <v>70</v>
      </c>
      <c r="B130" s="5" t="s">
        <v>184</v>
      </c>
      <c r="C130" s="5" t="s">
        <v>185</v>
      </c>
      <c r="D130" s="5" t="s">
        <v>612</v>
      </c>
      <c r="E130" s="5" t="s">
        <v>1684</v>
      </c>
      <c r="F130" s="5" t="s">
        <v>2006</v>
      </c>
      <c r="G130" s="5" t="s">
        <v>612</v>
      </c>
      <c r="H130" s="5" t="s">
        <v>2007</v>
      </c>
      <c r="I130" s="5">
        <v>11122.67</v>
      </c>
      <c r="J130" s="5">
        <v>11122.67</v>
      </c>
      <c r="K130" s="5" t="s">
        <v>1972</v>
      </c>
    </row>
    <row r="131" spans="1:11" ht="15.75" customHeight="1" x14ac:dyDescent="0.2">
      <c r="A131" s="5" t="s">
        <v>70</v>
      </c>
      <c r="B131" s="5" t="s">
        <v>184</v>
      </c>
      <c r="C131" s="5" t="s">
        <v>185</v>
      </c>
      <c r="D131" s="5" t="s">
        <v>612</v>
      </c>
      <c r="E131" s="5" t="s">
        <v>1684</v>
      </c>
      <c r="F131" s="5" t="s">
        <v>2008</v>
      </c>
      <c r="G131" s="5" t="s">
        <v>612</v>
      </c>
      <c r="H131" s="5" t="s">
        <v>2009</v>
      </c>
      <c r="I131" s="5">
        <v>11122.67</v>
      </c>
      <c r="J131" s="5">
        <v>11122.67</v>
      </c>
      <c r="K131" s="5" t="s">
        <v>1972</v>
      </c>
    </row>
    <row r="132" spans="1:11" ht="15.75" customHeight="1" x14ac:dyDescent="0.2">
      <c r="A132" s="5" t="s">
        <v>70</v>
      </c>
      <c r="B132" s="5" t="s">
        <v>193</v>
      </c>
      <c r="C132" s="5" t="s">
        <v>194</v>
      </c>
      <c r="D132" s="5" t="s">
        <v>612</v>
      </c>
      <c r="E132" s="5" t="s">
        <v>1967</v>
      </c>
      <c r="F132" s="5" t="s">
        <v>2010</v>
      </c>
      <c r="G132" s="5" t="s">
        <v>612</v>
      </c>
      <c r="H132" s="5" t="s">
        <v>2011</v>
      </c>
      <c r="I132" s="5">
        <v>0</v>
      </c>
      <c r="J132" s="5">
        <v>140000</v>
      </c>
      <c r="K132" s="5" t="s">
        <v>2012</v>
      </c>
    </row>
    <row r="133" spans="1:11" ht="15.75" customHeight="1" x14ac:dyDescent="0.2">
      <c r="A133" s="5" t="s">
        <v>70</v>
      </c>
      <c r="B133" s="5" t="s">
        <v>200</v>
      </c>
      <c r="C133" s="5" t="s">
        <v>201</v>
      </c>
      <c r="D133" s="5" t="s">
        <v>612</v>
      </c>
      <c r="E133" s="5" t="s">
        <v>1724</v>
      </c>
      <c r="F133" s="5" t="s">
        <v>2013</v>
      </c>
      <c r="G133" s="5" t="s">
        <v>612</v>
      </c>
      <c r="H133" s="5" t="s">
        <v>2014</v>
      </c>
      <c r="I133" s="5">
        <v>23256.21</v>
      </c>
      <c r="J133" s="5">
        <v>300000</v>
      </c>
      <c r="K133" s="5" t="s">
        <v>2015</v>
      </c>
    </row>
    <row r="134" spans="1:11" ht="15.75" customHeight="1" x14ac:dyDescent="0.2">
      <c r="A134" s="5" t="s">
        <v>70</v>
      </c>
      <c r="B134" s="5" t="s">
        <v>200</v>
      </c>
      <c r="C134" s="5" t="s">
        <v>201</v>
      </c>
      <c r="D134" s="5" t="s">
        <v>612</v>
      </c>
      <c r="E134" s="5" t="s">
        <v>1684</v>
      </c>
      <c r="F134" s="5" t="s">
        <v>2016</v>
      </c>
      <c r="G134" s="5" t="s">
        <v>612</v>
      </c>
      <c r="H134" s="5" t="s">
        <v>2017</v>
      </c>
      <c r="I134" s="5">
        <v>19176</v>
      </c>
      <c r="J134" s="5">
        <v>120000</v>
      </c>
    </row>
    <row r="135" spans="1:11" ht="15.75" customHeight="1" x14ac:dyDescent="0.2">
      <c r="A135" s="5" t="s">
        <v>70</v>
      </c>
      <c r="B135" s="5" t="s">
        <v>200</v>
      </c>
      <c r="C135" s="5" t="s">
        <v>201</v>
      </c>
      <c r="D135" s="5" t="s">
        <v>612</v>
      </c>
      <c r="E135" s="5" t="s">
        <v>1684</v>
      </c>
      <c r="F135" s="5" t="s">
        <v>2018</v>
      </c>
      <c r="G135" s="5" t="s">
        <v>612</v>
      </c>
      <c r="H135" s="5" t="s">
        <v>2019</v>
      </c>
      <c r="I135" s="5">
        <v>19176</v>
      </c>
      <c r="J135" s="5">
        <v>120000</v>
      </c>
    </row>
    <row r="136" spans="1:11" ht="15.75" customHeight="1" x14ac:dyDescent="0.2">
      <c r="A136" s="5" t="s">
        <v>70</v>
      </c>
      <c r="B136" s="5" t="s">
        <v>200</v>
      </c>
      <c r="C136" s="5" t="s">
        <v>201</v>
      </c>
      <c r="D136" s="5" t="s">
        <v>612</v>
      </c>
      <c r="E136" s="5" t="s">
        <v>1684</v>
      </c>
      <c r="F136" s="5" t="s">
        <v>2020</v>
      </c>
      <c r="G136" s="5" t="s">
        <v>612</v>
      </c>
      <c r="H136" s="5" t="s">
        <v>2021</v>
      </c>
      <c r="I136" s="5">
        <v>273392</v>
      </c>
      <c r="J136" s="5">
        <v>250000</v>
      </c>
      <c r="K136" s="5" t="s">
        <v>2022</v>
      </c>
    </row>
    <row r="137" spans="1:11" ht="15.75" customHeight="1" x14ac:dyDescent="0.2">
      <c r="A137" s="5" t="s">
        <v>70</v>
      </c>
      <c r="B137" s="5" t="s">
        <v>200</v>
      </c>
      <c r="C137" s="5" t="s">
        <v>201</v>
      </c>
      <c r="D137" s="5" t="s">
        <v>612</v>
      </c>
      <c r="E137" s="5" t="s">
        <v>1684</v>
      </c>
      <c r="F137" s="5" t="s">
        <v>2023</v>
      </c>
      <c r="G137" s="5" t="s">
        <v>612</v>
      </c>
      <c r="H137" s="5" t="s">
        <v>2024</v>
      </c>
      <c r="I137" s="5">
        <v>124120.25</v>
      </c>
      <c r="J137" s="5">
        <v>50000</v>
      </c>
      <c r="K137" s="5" t="s">
        <v>2015</v>
      </c>
    </row>
    <row r="138" spans="1:11" ht="15.75" customHeight="1" x14ac:dyDescent="0.2">
      <c r="A138" s="5" t="s">
        <v>70</v>
      </c>
      <c r="B138" s="5" t="s">
        <v>200</v>
      </c>
      <c r="C138" s="5" t="s">
        <v>201</v>
      </c>
      <c r="D138" s="5" t="s">
        <v>612</v>
      </c>
      <c r="E138" s="5" t="s">
        <v>1684</v>
      </c>
      <c r="F138" s="5" t="s">
        <v>2025</v>
      </c>
      <c r="G138" s="5" t="s">
        <v>612</v>
      </c>
      <c r="H138" s="5" t="s">
        <v>2026</v>
      </c>
      <c r="I138" s="5">
        <v>83619.100000000006</v>
      </c>
      <c r="J138" s="5">
        <v>50000</v>
      </c>
      <c r="K138" s="5" t="s">
        <v>2027</v>
      </c>
    </row>
    <row r="139" spans="1:11" ht="15.75" customHeight="1" x14ac:dyDescent="0.2">
      <c r="A139" s="5" t="s">
        <v>70</v>
      </c>
      <c r="B139" s="5" t="s">
        <v>200</v>
      </c>
      <c r="C139" s="5" t="s">
        <v>201</v>
      </c>
      <c r="D139" s="5" t="s">
        <v>612</v>
      </c>
      <c r="E139" s="5" t="s">
        <v>1724</v>
      </c>
      <c r="F139" s="5" t="s">
        <v>2028</v>
      </c>
      <c r="G139" s="5" t="s">
        <v>612</v>
      </c>
      <c r="H139" s="5" t="s">
        <v>2029</v>
      </c>
      <c r="I139" s="5">
        <v>0</v>
      </c>
      <c r="J139" s="5">
        <v>350000</v>
      </c>
      <c r="K139" s="5" t="s">
        <v>2030</v>
      </c>
    </row>
    <row r="140" spans="1:11" ht="15.75" customHeight="1" x14ac:dyDescent="0.2">
      <c r="A140" s="5" t="s">
        <v>70</v>
      </c>
      <c r="B140" s="5" t="s">
        <v>200</v>
      </c>
      <c r="C140" s="5" t="s">
        <v>201</v>
      </c>
      <c r="D140" s="5" t="s">
        <v>612</v>
      </c>
      <c r="E140" s="5" t="s">
        <v>1684</v>
      </c>
      <c r="F140" s="5" t="s">
        <v>2031</v>
      </c>
      <c r="G140" s="5" t="s">
        <v>612</v>
      </c>
      <c r="H140" s="5" t="s">
        <v>2032</v>
      </c>
      <c r="I140" s="5">
        <v>15483.2</v>
      </c>
      <c r="J140" s="5">
        <v>100000</v>
      </c>
    </row>
    <row r="141" spans="1:11" ht="15.75" customHeight="1" x14ac:dyDescent="0.2">
      <c r="A141" s="5" t="s">
        <v>70</v>
      </c>
      <c r="B141" s="5" t="s">
        <v>200</v>
      </c>
      <c r="C141" s="5" t="s">
        <v>201</v>
      </c>
      <c r="D141" s="5" t="s">
        <v>612</v>
      </c>
      <c r="E141" s="5" t="s">
        <v>1724</v>
      </c>
      <c r="F141" s="5" t="s">
        <v>2033</v>
      </c>
      <c r="G141" s="5" t="s">
        <v>612</v>
      </c>
      <c r="H141" s="5" t="s">
        <v>2034</v>
      </c>
      <c r="I141" s="5">
        <v>62508.03</v>
      </c>
      <c r="J141" s="5">
        <v>200000</v>
      </c>
    </row>
    <row r="142" spans="1:11" ht="15.75" customHeight="1" x14ac:dyDescent="0.2">
      <c r="A142" s="5" t="s">
        <v>70</v>
      </c>
      <c r="B142" s="5" t="s">
        <v>200</v>
      </c>
      <c r="C142" s="5" t="s">
        <v>201</v>
      </c>
      <c r="D142" s="5" t="s">
        <v>612</v>
      </c>
      <c r="E142" s="5" t="s">
        <v>1724</v>
      </c>
      <c r="F142" s="5" t="s">
        <v>2035</v>
      </c>
      <c r="G142" s="5" t="s">
        <v>612</v>
      </c>
      <c r="H142" s="5" t="s">
        <v>2036</v>
      </c>
      <c r="I142" s="5">
        <v>16288</v>
      </c>
      <c r="J142" s="5">
        <v>50000</v>
      </c>
    </row>
    <row r="143" spans="1:11" ht="15.75" customHeight="1" x14ac:dyDescent="0.2">
      <c r="A143" s="5" t="s">
        <v>70</v>
      </c>
      <c r="B143" s="5" t="s">
        <v>200</v>
      </c>
      <c r="C143" s="5" t="s">
        <v>201</v>
      </c>
      <c r="D143" s="5" t="s">
        <v>612</v>
      </c>
      <c r="E143" s="5" t="s">
        <v>1684</v>
      </c>
      <c r="F143" s="5" t="s">
        <v>2037</v>
      </c>
      <c r="G143" s="5" t="s">
        <v>612</v>
      </c>
      <c r="H143" s="5" t="s">
        <v>2038</v>
      </c>
      <c r="I143" s="5">
        <v>62508.03</v>
      </c>
      <c r="J143" s="5">
        <v>100000</v>
      </c>
      <c r="K143" s="5" t="s">
        <v>2027</v>
      </c>
    </row>
    <row r="144" spans="1:11" ht="15.75" customHeight="1" x14ac:dyDescent="0.2">
      <c r="A144" s="5" t="s">
        <v>70</v>
      </c>
      <c r="B144" s="5" t="s">
        <v>200</v>
      </c>
      <c r="C144" s="5" t="s">
        <v>201</v>
      </c>
      <c r="D144" s="5" t="s">
        <v>612</v>
      </c>
      <c r="E144" s="5" t="s">
        <v>1684</v>
      </c>
      <c r="F144" s="5" t="s">
        <v>2039</v>
      </c>
      <c r="G144" s="5" t="s">
        <v>612</v>
      </c>
      <c r="H144" s="5" t="s">
        <v>2040</v>
      </c>
      <c r="I144" s="5">
        <v>0</v>
      </c>
      <c r="J144" s="5">
        <v>0</v>
      </c>
      <c r="K144" s="5" t="s">
        <v>2041</v>
      </c>
    </row>
    <row r="145" spans="1:11" ht="15.75" customHeight="1" x14ac:dyDescent="0.2">
      <c r="A145" s="5" t="s">
        <v>70</v>
      </c>
      <c r="B145" s="5" t="s">
        <v>200</v>
      </c>
      <c r="C145" s="5" t="s">
        <v>201</v>
      </c>
      <c r="D145" s="5" t="s">
        <v>612</v>
      </c>
      <c r="E145" s="5" t="s">
        <v>1684</v>
      </c>
      <c r="F145" s="5" t="s">
        <v>2042</v>
      </c>
      <c r="G145" s="5" t="s">
        <v>612</v>
      </c>
      <c r="H145" s="5" t="s">
        <v>2043</v>
      </c>
      <c r="I145" s="5">
        <v>90961.02</v>
      </c>
      <c r="J145" s="5">
        <v>150000</v>
      </c>
      <c r="K145" s="5" t="s">
        <v>2027</v>
      </c>
    </row>
    <row r="146" spans="1:11" ht="15.75" customHeight="1" x14ac:dyDescent="0.2">
      <c r="A146" s="5" t="s">
        <v>70</v>
      </c>
      <c r="B146" s="5" t="s">
        <v>200</v>
      </c>
      <c r="C146" s="5" t="s">
        <v>201</v>
      </c>
      <c r="D146" s="5" t="s">
        <v>612</v>
      </c>
      <c r="E146" s="5" t="s">
        <v>1684</v>
      </c>
      <c r="F146" s="5" t="s">
        <v>2044</v>
      </c>
      <c r="G146" s="5" t="s">
        <v>612</v>
      </c>
      <c r="H146" s="5" t="s">
        <v>2045</v>
      </c>
      <c r="I146" s="5">
        <v>252560.03</v>
      </c>
      <c r="J146" s="5">
        <v>500000</v>
      </c>
    </row>
    <row r="147" spans="1:11" ht="15.75" customHeight="1" x14ac:dyDescent="0.2">
      <c r="A147" s="5" t="s">
        <v>70</v>
      </c>
      <c r="B147" s="5" t="s">
        <v>211</v>
      </c>
      <c r="C147" s="5" t="s">
        <v>212</v>
      </c>
      <c r="D147" s="5" t="s">
        <v>612</v>
      </c>
      <c r="E147" s="5" t="s">
        <v>2046</v>
      </c>
      <c r="F147" s="5" t="s">
        <v>2047</v>
      </c>
      <c r="G147" s="5" t="s">
        <v>612</v>
      </c>
      <c r="H147" s="5" t="s">
        <v>2048</v>
      </c>
      <c r="I147" s="5">
        <v>22879.33</v>
      </c>
      <c r="J147" s="5">
        <v>22879.33</v>
      </c>
      <c r="K147" s="5" t="s">
        <v>2049</v>
      </c>
    </row>
    <row r="148" spans="1:11" ht="15.75" customHeight="1" x14ac:dyDescent="0.2">
      <c r="A148" s="5" t="s">
        <v>70</v>
      </c>
      <c r="B148" s="5" t="s">
        <v>211</v>
      </c>
      <c r="C148" s="5" t="s">
        <v>212</v>
      </c>
      <c r="D148" s="5" t="s">
        <v>612</v>
      </c>
      <c r="E148" s="5" t="s">
        <v>2046</v>
      </c>
      <c r="F148" s="5" t="s">
        <v>2050</v>
      </c>
      <c r="I148" s="5">
        <v>0</v>
      </c>
      <c r="J148" s="5">
        <v>555712.5</v>
      </c>
      <c r="K148" s="5" t="s">
        <v>2051</v>
      </c>
    </row>
    <row r="149" spans="1:11" ht="15.75" customHeight="1" x14ac:dyDescent="0.2">
      <c r="A149" s="5" t="s">
        <v>70</v>
      </c>
      <c r="B149" s="5" t="s">
        <v>211</v>
      </c>
      <c r="C149" s="5" t="s">
        <v>212</v>
      </c>
      <c r="D149" s="5" t="s">
        <v>612</v>
      </c>
      <c r="E149" s="5" t="s">
        <v>2046</v>
      </c>
      <c r="F149" s="5" t="s">
        <v>2052</v>
      </c>
      <c r="I149" s="5">
        <v>371843.29</v>
      </c>
      <c r="J149" s="5">
        <v>371843.29</v>
      </c>
      <c r="K149" s="5" t="s">
        <v>2053</v>
      </c>
    </row>
    <row r="150" spans="1:11" ht="15.75" customHeight="1" x14ac:dyDescent="0.2">
      <c r="A150" s="5" t="s">
        <v>70</v>
      </c>
      <c r="B150" s="5" t="s">
        <v>211</v>
      </c>
      <c r="C150" s="5" t="s">
        <v>212</v>
      </c>
      <c r="D150" s="5" t="s">
        <v>612</v>
      </c>
      <c r="E150" s="5" t="s">
        <v>2046</v>
      </c>
      <c r="F150" s="5" t="s">
        <v>2047</v>
      </c>
      <c r="G150" s="5" t="s">
        <v>612</v>
      </c>
      <c r="H150" s="5" t="s">
        <v>2054</v>
      </c>
      <c r="I150" s="5">
        <v>26232.52</v>
      </c>
      <c r="J150" s="5">
        <v>26232.52</v>
      </c>
      <c r="K150" s="5" t="s">
        <v>2049</v>
      </c>
    </row>
    <row r="151" spans="1:11" ht="15.75" customHeight="1" x14ac:dyDescent="0.2">
      <c r="A151" s="5" t="s">
        <v>70</v>
      </c>
      <c r="B151" s="5" t="s">
        <v>211</v>
      </c>
      <c r="C151" s="5" t="s">
        <v>212</v>
      </c>
      <c r="D151" s="5" t="s">
        <v>612</v>
      </c>
      <c r="E151" s="5" t="s">
        <v>2046</v>
      </c>
      <c r="F151" s="5" t="s">
        <v>2052</v>
      </c>
      <c r="G151" s="5" t="s">
        <v>612</v>
      </c>
      <c r="H151" s="5" t="s">
        <v>2055</v>
      </c>
      <c r="I151" s="5">
        <v>89139.199999999997</v>
      </c>
      <c r="J151" s="5">
        <v>89139.199999999997</v>
      </c>
      <c r="K151" s="5" t="s">
        <v>2056</v>
      </c>
    </row>
    <row r="152" spans="1:11" ht="15.75" customHeight="1" x14ac:dyDescent="0.2">
      <c r="A152" s="5" t="s">
        <v>70</v>
      </c>
      <c r="B152" s="5" t="s">
        <v>211</v>
      </c>
      <c r="C152" s="5" t="s">
        <v>212</v>
      </c>
      <c r="D152" s="5" t="s">
        <v>612</v>
      </c>
      <c r="E152" s="5" t="s">
        <v>2046</v>
      </c>
      <c r="F152" s="5" t="s">
        <v>2050</v>
      </c>
      <c r="G152" s="5" t="s">
        <v>612</v>
      </c>
      <c r="H152" s="5" t="s">
        <v>2057</v>
      </c>
      <c r="I152" s="5">
        <v>417968.8</v>
      </c>
      <c r="J152" s="5">
        <v>417968.8</v>
      </c>
      <c r="K152" s="5" t="s">
        <v>2049</v>
      </c>
    </row>
    <row r="153" spans="1:11" ht="15.75" customHeight="1" x14ac:dyDescent="0.2">
      <c r="A153" s="5" t="s">
        <v>70</v>
      </c>
      <c r="B153" s="5" t="s">
        <v>211</v>
      </c>
      <c r="C153" s="5" t="s">
        <v>212</v>
      </c>
      <c r="D153" s="5" t="s">
        <v>612</v>
      </c>
      <c r="E153" s="5" t="s">
        <v>2058</v>
      </c>
      <c r="F153" s="5" t="s">
        <v>2052</v>
      </c>
      <c r="I153" s="5">
        <v>209162.1</v>
      </c>
      <c r="J153" s="5">
        <v>209162.1</v>
      </c>
      <c r="K153" s="5" t="s">
        <v>2059</v>
      </c>
    </row>
    <row r="154" spans="1:11" ht="15.75" customHeight="1" x14ac:dyDescent="0.2">
      <c r="A154" s="5" t="s">
        <v>70</v>
      </c>
      <c r="B154" s="5" t="s">
        <v>211</v>
      </c>
      <c r="C154" s="5" t="s">
        <v>212</v>
      </c>
      <c r="D154" s="5" t="s">
        <v>612</v>
      </c>
      <c r="E154" s="5" t="s">
        <v>2046</v>
      </c>
      <c r="F154" s="5" t="s">
        <v>2060</v>
      </c>
      <c r="G154" s="5" t="s">
        <v>612</v>
      </c>
      <c r="H154" s="5" t="s">
        <v>2061</v>
      </c>
      <c r="I154" s="5">
        <v>605413.12</v>
      </c>
      <c r="J154" s="5">
        <v>605413.12</v>
      </c>
      <c r="K154" s="5" t="s">
        <v>2049</v>
      </c>
    </row>
    <row r="155" spans="1:11" ht="15.75" customHeight="1" x14ac:dyDescent="0.2">
      <c r="A155" s="5" t="s">
        <v>70</v>
      </c>
      <c r="B155" s="5" t="s">
        <v>211</v>
      </c>
      <c r="C155" s="5" t="s">
        <v>212</v>
      </c>
      <c r="D155" s="5" t="s">
        <v>612</v>
      </c>
      <c r="E155" s="5" t="s">
        <v>2046</v>
      </c>
      <c r="F155" s="5" t="s">
        <v>2062</v>
      </c>
      <c r="G155" s="5" t="s">
        <v>612</v>
      </c>
      <c r="H155" s="5" t="s">
        <v>2063</v>
      </c>
      <c r="I155" s="5">
        <v>10075.290000000001</v>
      </c>
      <c r="J155" s="5">
        <v>10075.290000000001</v>
      </c>
      <c r="K155" s="5" t="s">
        <v>2049</v>
      </c>
    </row>
    <row r="156" spans="1:11" ht="15.75" customHeight="1" x14ac:dyDescent="0.2">
      <c r="A156" s="5" t="s">
        <v>70</v>
      </c>
      <c r="B156" s="5" t="s">
        <v>211</v>
      </c>
      <c r="C156" s="5" t="s">
        <v>212</v>
      </c>
      <c r="D156" s="5" t="s">
        <v>612</v>
      </c>
      <c r="E156" s="5" t="s">
        <v>2046</v>
      </c>
      <c r="F156" s="5" t="s">
        <v>2047</v>
      </c>
      <c r="G156" s="5" t="s">
        <v>612</v>
      </c>
      <c r="H156" s="5" t="s">
        <v>2064</v>
      </c>
      <c r="I156" s="5">
        <v>22116.05</v>
      </c>
      <c r="J156" s="5">
        <v>22116.05</v>
      </c>
      <c r="K156" s="5" t="s">
        <v>2049</v>
      </c>
    </row>
    <row r="157" spans="1:11" ht="15.75" customHeight="1" x14ac:dyDescent="0.2">
      <c r="A157" s="5" t="s">
        <v>70</v>
      </c>
      <c r="B157" s="5" t="s">
        <v>211</v>
      </c>
      <c r="C157" s="5" t="s">
        <v>212</v>
      </c>
      <c r="D157" s="5" t="s">
        <v>612</v>
      </c>
      <c r="E157" s="5" t="s">
        <v>2046</v>
      </c>
      <c r="F157" s="5" t="s">
        <v>2047</v>
      </c>
      <c r="G157" s="5" t="s">
        <v>612</v>
      </c>
      <c r="H157" s="5" t="s">
        <v>2065</v>
      </c>
      <c r="I157" s="5">
        <v>782734.21</v>
      </c>
      <c r="J157" s="5">
        <v>782734.21</v>
      </c>
      <c r="K157" s="5" t="s">
        <v>2049</v>
      </c>
    </row>
    <row r="158" spans="1:11" ht="15.75" customHeight="1" x14ac:dyDescent="0.2">
      <c r="A158" s="5" t="s">
        <v>70</v>
      </c>
      <c r="B158" s="5" t="s">
        <v>221</v>
      </c>
      <c r="C158" s="5" t="s">
        <v>222</v>
      </c>
      <c r="D158" s="5" t="s">
        <v>913</v>
      </c>
    </row>
    <row r="159" spans="1:11" ht="15.75" customHeight="1" x14ac:dyDescent="0.2">
      <c r="A159" s="5" t="s">
        <v>70</v>
      </c>
      <c r="B159" s="5" t="s">
        <v>229</v>
      </c>
      <c r="C159" s="5" t="s">
        <v>230</v>
      </c>
      <c r="D159" s="5" t="s">
        <v>612</v>
      </c>
      <c r="E159" s="5" t="s">
        <v>2066</v>
      </c>
      <c r="F159" s="5" t="s">
        <v>2067</v>
      </c>
      <c r="I159" s="5">
        <v>480.1</v>
      </c>
      <c r="J159" s="5">
        <v>90468.45</v>
      </c>
      <c r="K159" s="5" t="s">
        <v>2068</v>
      </c>
    </row>
    <row r="160" spans="1:11" ht="15.75" customHeight="1" x14ac:dyDescent="0.2">
      <c r="A160" s="5" t="s">
        <v>70</v>
      </c>
      <c r="B160" s="5" t="s">
        <v>229</v>
      </c>
      <c r="C160" s="5" t="s">
        <v>230</v>
      </c>
      <c r="D160" s="5" t="s">
        <v>612</v>
      </c>
      <c r="E160" s="5" t="s">
        <v>1734</v>
      </c>
      <c r="F160" s="5" t="s">
        <v>2069</v>
      </c>
      <c r="G160" s="5" t="s">
        <v>612</v>
      </c>
      <c r="H160" s="5" t="s">
        <v>2070</v>
      </c>
      <c r="I160" s="5">
        <v>71.89</v>
      </c>
      <c r="J160" s="5">
        <v>181896.42</v>
      </c>
      <c r="K160" s="5" t="s">
        <v>2071</v>
      </c>
    </row>
    <row r="161" spans="1:11" ht="15.75" customHeight="1" x14ac:dyDescent="0.2">
      <c r="A161" s="5" t="s">
        <v>70</v>
      </c>
      <c r="B161" s="5" t="s">
        <v>229</v>
      </c>
      <c r="C161" s="5" t="s">
        <v>230</v>
      </c>
      <c r="D161" s="5" t="s">
        <v>612</v>
      </c>
      <c r="E161" s="5" t="s">
        <v>1967</v>
      </c>
      <c r="F161" s="5" t="s">
        <v>2072</v>
      </c>
      <c r="I161" s="5">
        <v>800</v>
      </c>
      <c r="J161" s="5">
        <v>42000</v>
      </c>
    </row>
    <row r="162" spans="1:11" ht="15.75" customHeight="1" x14ac:dyDescent="0.2">
      <c r="A162" s="5" t="s">
        <v>70</v>
      </c>
      <c r="B162" s="5" t="s">
        <v>229</v>
      </c>
      <c r="C162" s="5" t="s">
        <v>230</v>
      </c>
      <c r="D162" s="5" t="s">
        <v>612</v>
      </c>
      <c r="E162" s="5" t="s">
        <v>1967</v>
      </c>
      <c r="F162" s="5" t="s">
        <v>2073</v>
      </c>
      <c r="I162" s="5">
        <v>1366.25</v>
      </c>
      <c r="J162" s="5">
        <v>273578.45</v>
      </c>
      <c r="K162" s="5" t="s">
        <v>2074</v>
      </c>
    </row>
    <row r="163" spans="1:11" ht="15.75" customHeight="1" x14ac:dyDescent="0.2">
      <c r="A163" s="5" t="s">
        <v>70</v>
      </c>
      <c r="B163" s="5" t="s">
        <v>229</v>
      </c>
      <c r="C163" s="5" t="s">
        <v>230</v>
      </c>
      <c r="D163" s="5" t="s">
        <v>612</v>
      </c>
      <c r="E163" s="5" t="s">
        <v>1684</v>
      </c>
      <c r="F163" s="5" t="s">
        <v>2075</v>
      </c>
      <c r="G163" s="5" t="s">
        <v>612</v>
      </c>
      <c r="H163" s="5" t="s">
        <v>2076</v>
      </c>
      <c r="I163" s="5">
        <v>144.38</v>
      </c>
      <c r="J163" s="5">
        <v>69240.2</v>
      </c>
      <c r="K163" s="5" t="s">
        <v>2077</v>
      </c>
    </row>
    <row r="164" spans="1:11" ht="15.75" customHeight="1" x14ac:dyDescent="0.2">
      <c r="A164" s="5" t="s">
        <v>70</v>
      </c>
      <c r="B164" s="5" t="s">
        <v>229</v>
      </c>
      <c r="C164" s="5" t="s">
        <v>230</v>
      </c>
      <c r="D164" s="5" t="s">
        <v>612</v>
      </c>
      <c r="E164" s="5" t="s">
        <v>1724</v>
      </c>
      <c r="F164" s="5" t="s">
        <v>2078</v>
      </c>
      <c r="G164" s="5" t="s">
        <v>612</v>
      </c>
      <c r="H164" s="5" t="s">
        <v>2079</v>
      </c>
      <c r="I164" s="5">
        <v>0</v>
      </c>
      <c r="J164" s="5">
        <v>6854400</v>
      </c>
      <c r="K164" s="5" t="s">
        <v>2080</v>
      </c>
    </row>
    <row r="165" spans="1:11" ht="15.75" customHeight="1" x14ac:dyDescent="0.2">
      <c r="A165" s="5" t="s">
        <v>70</v>
      </c>
      <c r="B165" s="5" t="s">
        <v>229</v>
      </c>
      <c r="C165" s="5" t="s">
        <v>230</v>
      </c>
      <c r="D165" s="5" t="s">
        <v>612</v>
      </c>
      <c r="E165" s="5" t="s">
        <v>1724</v>
      </c>
      <c r="F165" s="5" t="s">
        <v>2081</v>
      </c>
      <c r="G165" s="5" t="s">
        <v>612</v>
      </c>
      <c r="H165" s="5" t="s">
        <v>2082</v>
      </c>
      <c r="I165" s="5">
        <v>200.03</v>
      </c>
      <c r="J165" s="5">
        <v>15811.92</v>
      </c>
      <c r="K165" s="5" t="s">
        <v>2083</v>
      </c>
    </row>
    <row r="166" spans="1:11" ht="15.75" customHeight="1" x14ac:dyDescent="0.2">
      <c r="A166" s="5" t="s">
        <v>70</v>
      </c>
      <c r="B166" s="5" t="s">
        <v>229</v>
      </c>
      <c r="C166" s="5" t="s">
        <v>230</v>
      </c>
      <c r="D166" s="5" t="s">
        <v>612</v>
      </c>
      <c r="E166" s="5" t="s">
        <v>1684</v>
      </c>
      <c r="F166" s="5" t="s">
        <v>2084</v>
      </c>
      <c r="G166" s="5" t="s">
        <v>612</v>
      </c>
      <c r="H166" s="5" t="s">
        <v>2085</v>
      </c>
      <c r="I166" s="5">
        <v>456</v>
      </c>
      <c r="J166" s="5">
        <v>129567.48</v>
      </c>
      <c r="K166" s="5" t="s">
        <v>2086</v>
      </c>
    </row>
    <row r="167" spans="1:11" ht="15.75" customHeight="1" x14ac:dyDescent="0.2">
      <c r="A167" s="5" t="s">
        <v>70</v>
      </c>
      <c r="B167" s="5" t="s">
        <v>229</v>
      </c>
      <c r="C167" s="5" t="s">
        <v>230</v>
      </c>
      <c r="D167" s="5" t="s">
        <v>612</v>
      </c>
      <c r="E167" s="5" t="s">
        <v>1684</v>
      </c>
      <c r="F167" s="5" t="s">
        <v>2087</v>
      </c>
      <c r="G167" s="5" t="s">
        <v>612</v>
      </c>
      <c r="H167" s="5" t="s">
        <v>2088</v>
      </c>
      <c r="I167" s="5">
        <v>0</v>
      </c>
      <c r="J167" s="5">
        <v>0</v>
      </c>
      <c r="K167" s="5" t="s">
        <v>2089</v>
      </c>
    </row>
    <row r="168" spans="1:11" ht="15.75" customHeight="1" x14ac:dyDescent="0.2">
      <c r="A168" s="5" t="s">
        <v>70</v>
      </c>
      <c r="B168" s="5" t="s">
        <v>229</v>
      </c>
      <c r="C168" s="5" t="s">
        <v>230</v>
      </c>
      <c r="D168" s="5" t="s">
        <v>612</v>
      </c>
      <c r="E168" s="5" t="s">
        <v>1684</v>
      </c>
      <c r="F168" s="5" t="s">
        <v>2090</v>
      </c>
      <c r="G168" s="5" t="s">
        <v>612</v>
      </c>
      <c r="H168" s="5" t="s">
        <v>2091</v>
      </c>
      <c r="I168" s="5">
        <v>0</v>
      </c>
      <c r="J168" s="5">
        <v>0</v>
      </c>
      <c r="K168" s="5" t="s">
        <v>2092</v>
      </c>
    </row>
    <row r="169" spans="1:11" ht="15.75" customHeight="1" x14ac:dyDescent="0.2">
      <c r="A169" s="5" t="s">
        <v>70</v>
      </c>
      <c r="B169" s="5" t="s">
        <v>229</v>
      </c>
      <c r="C169" s="5" t="s">
        <v>230</v>
      </c>
      <c r="D169" s="5" t="s">
        <v>612</v>
      </c>
      <c r="E169" s="5" t="s">
        <v>1684</v>
      </c>
      <c r="F169" s="5" t="s">
        <v>2090</v>
      </c>
      <c r="G169" s="5" t="s">
        <v>612</v>
      </c>
      <c r="H169" s="5" t="s">
        <v>2091</v>
      </c>
      <c r="I169" s="5">
        <v>0</v>
      </c>
      <c r="J169" s="5">
        <v>0</v>
      </c>
      <c r="K169" s="5" t="s">
        <v>2093</v>
      </c>
    </row>
    <row r="170" spans="1:11" ht="15.75" customHeight="1" x14ac:dyDescent="0.2">
      <c r="A170" s="5" t="s">
        <v>70</v>
      </c>
      <c r="B170" s="5" t="s">
        <v>229</v>
      </c>
      <c r="C170" s="5" t="s">
        <v>230</v>
      </c>
      <c r="D170" s="5" t="s">
        <v>612</v>
      </c>
      <c r="E170" s="5" t="s">
        <v>1684</v>
      </c>
      <c r="F170" s="5" t="s">
        <v>2094</v>
      </c>
      <c r="G170" s="5" t="s">
        <v>612</v>
      </c>
      <c r="H170" s="5" t="s">
        <v>2095</v>
      </c>
      <c r="I170" s="5">
        <v>917.2</v>
      </c>
      <c r="J170" s="5">
        <v>196998.55</v>
      </c>
      <c r="K170" s="5" t="s">
        <v>2096</v>
      </c>
    </row>
    <row r="171" spans="1:11" ht="15.75" customHeight="1" x14ac:dyDescent="0.2">
      <c r="A171" s="5" t="s">
        <v>70</v>
      </c>
      <c r="B171" s="5" t="s">
        <v>229</v>
      </c>
      <c r="C171" s="5" t="s">
        <v>230</v>
      </c>
      <c r="D171" s="5" t="s">
        <v>612</v>
      </c>
      <c r="E171" s="5" t="s">
        <v>1684</v>
      </c>
      <c r="F171" s="5" t="s">
        <v>2094</v>
      </c>
      <c r="G171" s="5" t="s">
        <v>612</v>
      </c>
      <c r="H171" s="5" t="s">
        <v>2095</v>
      </c>
      <c r="I171" s="5">
        <v>917.2</v>
      </c>
      <c r="J171" s="5">
        <v>196998.55</v>
      </c>
      <c r="K171" s="5" t="s">
        <v>2097</v>
      </c>
    </row>
    <row r="172" spans="1:11" ht="15.75" customHeight="1" x14ac:dyDescent="0.2">
      <c r="A172" s="5" t="s">
        <v>70</v>
      </c>
      <c r="B172" s="5" t="s">
        <v>238</v>
      </c>
      <c r="C172" s="5" t="s">
        <v>239</v>
      </c>
      <c r="D172" s="5" t="s">
        <v>612</v>
      </c>
      <c r="E172" s="5" t="s">
        <v>1724</v>
      </c>
      <c r="F172" s="5" t="s">
        <v>2098</v>
      </c>
      <c r="G172" s="5" t="s">
        <v>612</v>
      </c>
      <c r="H172" s="5" t="s">
        <v>2099</v>
      </c>
      <c r="I172" s="5">
        <v>0</v>
      </c>
      <c r="J172" s="5">
        <v>10000</v>
      </c>
      <c r="K172" s="5" t="s">
        <v>2100</v>
      </c>
    </row>
    <row r="173" spans="1:11" ht="15.75" customHeight="1" x14ac:dyDescent="0.2">
      <c r="A173" s="5" t="s">
        <v>70</v>
      </c>
      <c r="B173" s="5" t="s">
        <v>238</v>
      </c>
      <c r="C173" s="5" t="s">
        <v>239</v>
      </c>
      <c r="D173" s="5" t="s">
        <v>612</v>
      </c>
      <c r="E173" s="5" t="s">
        <v>1724</v>
      </c>
      <c r="F173" s="5" t="s">
        <v>2101</v>
      </c>
      <c r="G173" s="5" t="s">
        <v>612</v>
      </c>
      <c r="H173" s="5" t="s">
        <v>2102</v>
      </c>
      <c r="I173" s="5">
        <v>0</v>
      </c>
      <c r="J173" s="5">
        <v>1000</v>
      </c>
      <c r="K173" s="5" t="s">
        <v>2103</v>
      </c>
    </row>
    <row r="174" spans="1:11" ht="15.75" customHeight="1" x14ac:dyDescent="0.2">
      <c r="A174" s="5" t="s">
        <v>70</v>
      </c>
      <c r="B174" s="5" t="s">
        <v>238</v>
      </c>
      <c r="C174" s="5" t="s">
        <v>239</v>
      </c>
      <c r="D174" s="5" t="s">
        <v>612</v>
      </c>
      <c r="E174" s="5" t="s">
        <v>1724</v>
      </c>
      <c r="F174" s="5" t="s">
        <v>2104</v>
      </c>
      <c r="G174" s="5" t="s">
        <v>612</v>
      </c>
      <c r="H174" s="5" t="s">
        <v>2105</v>
      </c>
      <c r="I174" s="5">
        <v>0</v>
      </c>
      <c r="J174" s="5">
        <v>1000</v>
      </c>
      <c r="K174" s="5" t="s">
        <v>2100</v>
      </c>
    </row>
    <row r="175" spans="1:11" ht="15.75" customHeight="1" x14ac:dyDescent="0.2">
      <c r="A175" s="5" t="s">
        <v>70</v>
      </c>
      <c r="B175" s="5" t="s">
        <v>238</v>
      </c>
      <c r="C175" s="5" t="s">
        <v>239</v>
      </c>
      <c r="D175" s="5" t="s">
        <v>612</v>
      </c>
      <c r="E175" s="5" t="s">
        <v>1724</v>
      </c>
      <c r="F175" s="5" t="s">
        <v>2106</v>
      </c>
      <c r="G175" s="5" t="s">
        <v>612</v>
      </c>
      <c r="H175" s="5" t="s">
        <v>2107</v>
      </c>
      <c r="I175" s="5">
        <v>0</v>
      </c>
      <c r="J175" s="5">
        <v>10000</v>
      </c>
      <c r="K175" s="5" t="s">
        <v>2103</v>
      </c>
    </row>
    <row r="176" spans="1:11" ht="15.75" customHeight="1" x14ac:dyDescent="0.2">
      <c r="A176" s="5" t="s">
        <v>70</v>
      </c>
      <c r="B176" s="5" t="s">
        <v>238</v>
      </c>
      <c r="C176" s="5" t="s">
        <v>239</v>
      </c>
      <c r="D176" s="5" t="s">
        <v>612</v>
      </c>
      <c r="E176" s="5" t="s">
        <v>1724</v>
      </c>
      <c r="F176" s="5" t="s">
        <v>2108</v>
      </c>
      <c r="G176" s="5" t="s">
        <v>612</v>
      </c>
      <c r="H176" s="5" t="s">
        <v>2109</v>
      </c>
      <c r="I176" s="5">
        <v>0</v>
      </c>
      <c r="J176" s="5">
        <v>10000</v>
      </c>
      <c r="K176" s="5" t="s">
        <v>2103</v>
      </c>
    </row>
    <row r="177" spans="1:11" ht="15.75" customHeight="1" x14ac:dyDescent="0.2">
      <c r="A177" s="5" t="s">
        <v>70</v>
      </c>
      <c r="B177" s="5" t="s">
        <v>238</v>
      </c>
      <c r="C177" s="5" t="s">
        <v>239</v>
      </c>
      <c r="D177" s="5" t="s">
        <v>612</v>
      </c>
      <c r="E177" s="5" t="s">
        <v>1724</v>
      </c>
      <c r="F177" s="5" t="s">
        <v>2110</v>
      </c>
      <c r="G177" s="5" t="s">
        <v>612</v>
      </c>
      <c r="H177" s="5" t="s">
        <v>2111</v>
      </c>
      <c r="I177" s="5">
        <v>0</v>
      </c>
      <c r="J177" s="5">
        <v>10000</v>
      </c>
      <c r="K177" s="5" t="s">
        <v>2103</v>
      </c>
    </row>
    <row r="178" spans="1:11" ht="15.75" customHeight="1" x14ac:dyDescent="0.2">
      <c r="A178" s="5" t="s">
        <v>70</v>
      </c>
      <c r="B178" s="5" t="s">
        <v>238</v>
      </c>
      <c r="C178" s="5" t="s">
        <v>239</v>
      </c>
      <c r="D178" s="5" t="s">
        <v>612</v>
      </c>
      <c r="E178" s="5" t="s">
        <v>1684</v>
      </c>
      <c r="F178" s="5" t="s">
        <v>2112</v>
      </c>
      <c r="G178" s="5" t="s">
        <v>612</v>
      </c>
      <c r="H178" s="5" t="s">
        <v>2113</v>
      </c>
      <c r="I178" s="5">
        <v>25134.31</v>
      </c>
      <c r="J178" s="5">
        <v>25134.31</v>
      </c>
      <c r="K178" s="5" t="s">
        <v>2114</v>
      </c>
    </row>
    <row r="179" spans="1:11" ht="15.75" customHeight="1" x14ac:dyDescent="0.2">
      <c r="A179" s="5" t="s">
        <v>70</v>
      </c>
      <c r="B179" s="5" t="s">
        <v>238</v>
      </c>
      <c r="C179" s="5" t="s">
        <v>239</v>
      </c>
      <c r="D179" s="5" t="s">
        <v>612</v>
      </c>
      <c r="E179" s="5" t="s">
        <v>1684</v>
      </c>
      <c r="F179" s="5" t="s">
        <v>2115</v>
      </c>
      <c r="G179" s="5" t="s">
        <v>612</v>
      </c>
      <c r="H179" s="5" t="s">
        <v>2116</v>
      </c>
      <c r="I179" s="5">
        <v>18057.77</v>
      </c>
      <c r="J179" s="5">
        <v>18057.77</v>
      </c>
      <c r="K179" s="5" t="s">
        <v>2114</v>
      </c>
    </row>
    <row r="180" spans="1:11" ht="15.75" customHeight="1" x14ac:dyDescent="0.2">
      <c r="A180" s="5" t="s">
        <v>70</v>
      </c>
      <c r="B180" s="5" t="s">
        <v>238</v>
      </c>
      <c r="C180" s="5" t="s">
        <v>239</v>
      </c>
      <c r="D180" s="5" t="s">
        <v>612</v>
      </c>
      <c r="E180" s="5" t="s">
        <v>1684</v>
      </c>
      <c r="F180" s="5" t="s">
        <v>2117</v>
      </c>
      <c r="G180" s="5" t="s">
        <v>612</v>
      </c>
      <c r="H180" s="5" t="s">
        <v>2118</v>
      </c>
      <c r="I180" s="5">
        <v>156746.62</v>
      </c>
      <c r="J180" s="5">
        <v>156746.62</v>
      </c>
      <c r="K180" s="5" t="s">
        <v>2114</v>
      </c>
    </row>
    <row r="181" spans="1:11" ht="15.75" customHeight="1" x14ac:dyDescent="0.2">
      <c r="A181" s="5" t="s">
        <v>70</v>
      </c>
      <c r="B181" s="5" t="s">
        <v>238</v>
      </c>
      <c r="C181" s="5" t="s">
        <v>239</v>
      </c>
      <c r="D181" s="5" t="s">
        <v>612</v>
      </c>
      <c r="E181" s="5" t="s">
        <v>1684</v>
      </c>
      <c r="F181" s="5" t="s">
        <v>2119</v>
      </c>
      <c r="G181" s="5" t="s">
        <v>612</v>
      </c>
      <c r="H181" s="5" t="s">
        <v>2120</v>
      </c>
      <c r="I181" s="5">
        <v>152172.9</v>
      </c>
      <c r="J181" s="5">
        <v>152172.9</v>
      </c>
      <c r="K181" s="5" t="s">
        <v>2114</v>
      </c>
    </row>
    <row r="182" spans="1:11" ht="15.75" customHeight="1" x14ac:dyDescent="0.2">
      <c r="A182" s="5" t="s">
        <v>70</v>
      </c>
      <c r="B182" s="5" t="s">
        <v>238</v>
      </c>
      <c r="C182" s="5" t="s">
        <v>239</v>
      </c>
      <c r="D182" s="5" t="s">
        <v>612</v>
      </c>
      <c r="E182" s="5" t="s">
        <v>1724</v>
      </c>
      <c r="F182" s="5" t="s">
        <v>2121</v>
      </c>
      <c r="G182" s="5" t="s">
        <v>612</v>
      </c>
      <c r="H182" s="5" t="s">
        <v>2122</v>
      </c>
      <c r="I182" s="5">
        <v>0</v>
      </c>
      <c r="J182" s="5">
        <v>10000</v>
      </c>
      <c r="K182" s="5" t="s">
        <v>2100</v>
      </c>
    </row>
    <row r="183" spans="1:11" ht="15.75" customHeight="1" x14ac:dyDescent="0.2">
      <c r="A183" s="5" t="s">
        <v>70</v>
      </c>
      <c r="B183" s="5" t="s">
        <v>238</v>
      </c>
      <c r="C183" s="5" t="s">
        <v>239</v>
      </c>
      <c r="D183" s="5" t="s">
        <v>612</v>
      </c>
      <c r="E183" s="5" t="s">
        <v>1684</v>
      </c>
      <c r="F183" s="5" t="s">
        <v>2123</v>
      </c>
      <c r="G183" s="5" t="s">
        <v>612</v>
      </c>
      <c r="H183" s="5" t="s">
        <v>2124</v>
      </c>
      <c r="I183" s="5">
        <v>15036.52</v>
      </c>
      <c r="J183" s="5">
        <v>15036.52</v>
      </c>
      <c r="K183" s="5" t="s">
        <v>2125</v>
      </c>
    </row>
    <row r="184" spans="1:11" ht="15.75" customHeight="1" x14ac:dyDescent="0.2">
      <c r="A184" s="5" t="s">
        <v>70</v>
      </c>
      <c r="B184" s="5" t="s">
        <v>238</v>
      </c>
      <c r="C184" s="5" t="s">
        <v>239</v>
      </c>
      <c r="D184" s="5" t="s">
        <v>612</v>
      </c>
      <c r="E184" s="5" t="s">
        <v>1684</v>
      </c>
      <c r="F184" s="5" t="s">
        <v>2126</v>
      </c>
      <c r="G184" s="5" t="s">
        <v>612</v>
      </c>
      <c r="H184" s="5" t="s">
        <v>2127</v>
      </c>
      <c r="I184" s="5">
        <v>37643.97</v>
      </c>
      <c r="J184" s="5">
        <v>37643.97</v>
      </c>
      <c r="K184" s="5" t="s">
        <v>2125</v>
      </c>
    </row>
    <row r="185" spans="1:11" ht="15.75" customHeight="1" x14ac:dyDescent="0.2">
      <c r="A185" s="5" t="s">
        <v>70</v>
      </c>
      <c r="B185" s="5" t="s">
        <v>247</v>
      </c>
      <c r="C185" s="5" t="s">
        <v>248</v>
      </c>
      <c r="D185" s="5" t="s">
        <v>913</v>
      </c>
    </row>
    <row r="186" spans="1:11" ht="15.75" customHeight="1" x14ac:dyDescent="0.2">
      <c r="A186" s="5" t="s">
        <v>70</v>
      </c>
      <c r="B186" s="5" t="s">
        <v>257</v>
      </c>
      <c r="C186" s="5" t="s">
        <v>258</v>
      </c>
      <c r="D186" s="5" t="s">
        <v>612</v>
      </c>
      <c r="E186" s="5" t="s">
        <v>1684</v>
      </c>
      <c r="F186" s="5" t="s">
        <v>2128</v>
      </c>
      <c r="G186" s="5" t="s">
        <v>612</v>
      </c>
      <c r="H186" s="5" t="s">
        <v>2129</v>
      </c>
      <c r="I186" s="5">
        <v>31703.94</v>
      </c>
      <c r="J186" s="5">
        <v>31703.94</v>
      </c>
      <c r="K186" s="5" t="s">
        <v>2130</v>
      </c>
    </row>
    <row r="187" spans="1:11" ht="15.75" customHeight="1" x14ac:dyDescent="0.2">
      <c r="A187" s="5" t="s">
        <v>70</v>
      </c>
      <c r="B187" s="5" t="s">
        <v>268</v>
      </c>
      <c r="C187" s="5" t="s">
        <v>269</v>
      </c>
      <c r="D187" s="5" t="s">
        <v>612</v>
      </c>
      <c r="E187" s="5" t="s">
        <v>1734</v>
      </c>
      <c r="F187" s="5" t="s">
        <v>2131</v>
      </c>
      <c r="G187" s="5" t="s">
        <v>612</v>
      </c>
      <c r="H187" s="5" t="s">
        <v>2132</v>
      </c>
      <c r="I187" s="5">
        <v>187883.64</v>
      </c>
      <c r="J187" s="5">
        <v>59500</v>
      </c>
      <c r="K187" s="5" t="s">
        <v>2133</v>
      </c>
    </row>
    <row r="188" spans="1:11" ht="15.75" customHeight="1" x14ac:dyDescent="0.2">
      <c r="A188" s="5" t="s">
        <v>70</v>
      </c>
      <c r="B188" s="5" t="s">
        <v>268</v>
      </c>
      <c r="C188" s="5" t="s">
        <v>269</v>
      </c>
      <c r="D188" s="5" t="s">
        <v>612</v>
      </c>
      <c r="E188" s="5" t="s">
        <v>2134</v>
      </c>
      <c r="F188" s="5" t="s">
        <v>2135</v>
      </c>
      <c r="G188" s="5" t="s">
        <v>612</v>
      </c>
      <c r="H188" s="5" t="s">
        <v>2136</v>
      </c>
      <c r="I188" s="5">
        <v>42438.66</v>
      </c>
      <c r="J188" s="5">
        <v>51000</v>
      </c>
      <c r="K188" s="5" t="s">
        <v>2137</v>
      </c>
    </row>
    <row r="189" spans="1:11" ht="15.75" customHeight="1" x14ac:dyDescent="0.2">
      <c r="A189" s="5" t="s">
        <v>70</v>
      </c>
      <c r="B189" s="5" t="s">
        <v>268</v>
      </c>
      <c r="C189" s="5" t="s">
        <v>269</v>
      </c>
      <c r="D189" s="5" t="s">
        <v>612</v>
      </c>
      <c r="E189" s="5" t="s">
        <v>2138</v>
      </c>
      <c r="F189" s="5" t="s">
        <v>2139</v>
      </c>
      <c r="G189" s="5" t="s">
        <v>612</v>
      </c>
      <c r="H189" s="5" t="s">
        <v>2140</v>
      </c>
      <c r="I189" s="5">
        <v>426373.28</v>
      </c>
      <c r="J189" s="5">
        <v>178500</v>
      </c>
      <c r="K189" s="5" t="s">
        <v>2133</v>
      </c>
    </row>
    <row r="190" spans="1:11" ht="15.75" customHeight="1" x14ac:dyDescent="0.2">
      <c r="A190" s="5" t="s">
        <v>70</v>
      </c>
      <c r="B190" s="5" t="s">
        <v>268</v>
      </c>
      <c r="C190" s="5" t="s">
        <v>269</v>
      </c>
      <c r="D190" s="5" t="s">
        <v>612</v>
      </c>
      <c r="E190" s="5" t="s">
        <v>2134</v>
      </c>
      <c r="F190" s="5" t="s">
        <v>2141</v>
      </c>
      <c r="G190" s="5" t="s">
        <v>612</v>
      </c>
      <c r="H190" s="5" t="s">
        <v>2142</v>
      </c>
      <c r="I190" s="5">
        <v>19256.39</v>
      </c>
      <c r="J190" s="5">
        <v>50000</v>
      </c>
      <c r="K190" s="5" t="s">
        <v>2143</v>
      </c>
    </row>
    <row r="191" spans="1:11" ht="15.75" customHeight="1" x14ac:dyDescent="0.2">
      <c r="A191" s="5" t="s">
        <v>70</v>
      </c>
      <c r="B191" s="5" t="s">
        <v>268</v>
      </c>
      <c r="C191" s="5" t="s">
        <v>269</v>
      </c>
      <c r="D191" s="5" t="s">
        <v>612</v>
      </c>
      <c r="E191" s="5" t="s">
        <v>2144</v>
      </c>
      <c r="F191" s="5" t="s">
        <v>2145</v>
      </c>
      <c r="G191" s="5" t="s">
        <v>612</v>
      </c>
      <c r="H191" s="5" t="s">
        <v>2146</v>
      </c>
      <c r="I191" s="5">
        <v>87840.36</v>
      </c>
      <c r="J191" s="5">
        <v>306000</v>
      </c>
      <c r="K191" s="5" t="s">
        <v>2147</v>
      </c>
    </row>
    <row r="192" spans="1:11" ht="15.75" customHeight="1" x14ac:dyDescent="0.2">
      <c r="A192" s="5" t="s">
        <v>70</v>
      </c>
      <c r="B192" s="5" t="s">
        <v>268</v>
      </c>
      <c r="C192" s="5" t="s">
        <v>269</v>
      </c>
      <c r="D192" s="5" t="s">
        <v>612</v>
      </c>
      <c r="E192" s="5" t="s">
        <v>2134</v>
      </c>
      <c r="F192" s="5" t="s">
        <v>2148</v>
      </c>
      <c r="G192" s="5" t="s">
        <v>612</v>
      </c>
      <c r="H192" s="5" t="s">
        <v>2149</v>
      </c>
      <c r="I192" s="5">
        <v>10501.38</v>
      </c>
      <c r="J192" s="5">
        <v>30000</v>
      </c>
      <c r="K192" s="5" t="s">
        <v>2143</v>
      </c>
    </row>
    <row r="193" spans="1:11" ht="15.75" customHeight="1" x14ac:dyDescent="0.2">
      <c r="A193" s="5" t="s">
        <v>70</v>
      </c>
      <c r="B193" s="5" t="s">
        <v>268</v>
      </c>
      <c r="C193" s="5" t="s">
        <v>269</v>
      </c>
      <c r="D193" s="5" t="s">
        <v>612</v>
      </c>
      <c r="E193" s="5" t="s">
        <v>607</v>
      </c>
      <c r="F193" s="5" t="s">
        <v>2150</v>
      </c>
      <c r="G193" s="5" t="s">
        <v>612</v>
      </c>
      <c r="H193" s="5" t="s">
        <v>2151</v>
      </c>
      <c r="I193" s="5">
        <v>163637.03</v>
      </c>
      <c r="J193" s="5">
        <v>700400</v>
      </c>
      <c r="K193" s="5" t="s">
        <v>2143</v>
      </c>
    </row>
    <row r="194" spans="1:11" ht="15.75" customHeight="1" x14ac:dyDescent="0.2">
      <c r="A194" s="5" t="s">
        <v>70</v>
      </c>
      <c r="B194" s="5" t="s">
        <v>268</v>
      </c>
      <c r="C194" s="5" t="s">
        <v>269</v>
      </c>
      <c r="D194" s="5" t="s">
        <v>612</v>
      </c>
      <c r="E194" s="5" t="s">
        <v>2152</v>
      </c>
      <c r="F194" s="5" t="s">
        <v>2153</v>
      </c>
      <c r="G194" s="5" t="s">
        <v>612</v>
      </c>
      <c r="H194" s="5" t="s">
        <v>2154</v>
      </c>
      <c r="I194" s="5">
        <v>11006.95</v>
      </c>
      <c r="J194" s="5">
        <v>47109</v>
      </c>
      <c r="K194" s="5" t="s">
        <v>2143</v>
      </c>
    </row>
    <row r="195" spans="1:11" ht="15.75" customHeight="1" x14ac:dyDescent="0.2">
      <c r="A195" s="5" t="s">
        <v>70</v>
      </c>
      <c r="B195" s="5" t="s">
        <v>268</v>
      </c>
      <c r="C195" s="5" t="s">
        <v>269</v>
      </c>
      <c r="D195" s="5" t="s">
        <v>612</v>
      </c>
      <c r="E195" s="5" t="s">
        <v>2155</v>
      </c>
      <c r="F195" s="5" t="s">
        <v>2156</v>
      </c>
      <c r="G195" s="5" t="s">
        <v>612</v>
      </c>
      <c r="H195" s="5" t="s">
        <v>2157</v>
      </c>
      <c r="I195" s="5">
        <v>4663.3900000000003</v>
      </c>
      <c r="J195" s="5">
        <v>20000</v>
      </c>
      <c r="K195" s="5" t="s">
        <v>2143</v>
      </c>
    </row>
    <row r="196" spans="1:11" ht="15.75" customHeight="1" x14ac:dyDescent="0.2">
      <c r="A196" s="5" t="s">
        <v>70</v>
      </c>
      <c r="B196" s="5" t="s">
        <v>268</v>
      </c>
      <c r="C196" s="5" t="s">
        <v>269</v>
      </c>
      <c r="D196" s="5" t="s">
        <v>612</v>
      </c>
      <c r="E196" s="5" t="s">
        <v>2155</v>
      </c>
      <c r="F196" s="5" t="s">
        <v>2158</v>
      </c>
      <c r="G196" s="5" t="s">
        <v>612</v>
      </c>
      <c r="H196" s="5" t="s">
        <v>2159</v>
      </c>
      <c r="I196" s="5">
        <v>4741.96</v>
      </c>
      <c r="J196" s="5">
        <v>20100</v>
      </c>
      <c r="K196" s="5" t="s">
        <v>2143</v>
      </c>
    </row>
    <row r="197" spans="1:11" ht="15.75" customHeight="1" x14ac:dyDescent="0.2">
      <c r="A197" s="5" t="s">
        <v>70</v>
      </c>
      <c r="B197" s="5" t="s">
        <v>268</v>
      </c>
      <c r="C197" s="5" t="s">
        <v>269</v>
      </c>
      <c r="D197" s="5" t="s">
        <v>612</v>
      </c>
      <c r="E197" s="5" t="s">
        <v>607</v>
      </c>
      <c r="F197" s="5" t="s">
        <v>2160</v>
      </c>
      <c r="G197" s="5" t="s">
        <v>612</v>
      </c>
      <c r="H197" s="5" t="s">
        <v>2161</v>
      </c>
      <c r="I197" s="5">
        <v>140221.91</v>
      </c>
      <c r="J197" s="5">
        <v>1190000</v>
      </c>
      <c r="K197" s="5" t="s">
        <v>2143</v>
      </c>
    </row>
    <row r="198" spans="1:11" ht="15.75" customHeight="1" x14ac:dyDescent="0.2">
      <c r="A198" s="5" t="s">
        <v>70</v>
      </c>
      <c r="B198" s="5" t="s">
        <v>268</v>
      </c>
      <c r="C198" s="5" t="s">
        <v>269</v>
      </c>
      <c r="D198" s="5" t="s">
        <v>612</v>
      </c>
      <c r="E198" s="5" t="s">
        <v>2134</v>
      </c>
      <c r="F198" s="5" t="s">
        <v>2162</v>
      </c>
      <c r="G198" s="5" t="s">
        <v>612</v>
      </c>
      <c r="H198" s="5" t="s">
        <v>2163</v>
      </c>
      <c r="I198" s="5">
        <v>7240.11</v>
      </c>
      <c r="J198" s="5">
        <v>20000</v>
      </c>
      <c r="K198" s="5" t="s">
        <v>2143</v>
      </c>
    </row>
    <row r="199" spans="1:11" ht="15.75" customHeight="1" x14ac:dyDescent="0.2">
      <c r="A199" s="5" t="s">
        <v>276</v>
      </c>
      <c r="B199" s="5" t="s">
        <v>277</v>
      </c>
      <c r="C199" s="5" t="s">
        <v>278</v>
      </c>
      <c r="D199" s="5" t="s">
        <v>612</v>
      </c>
      <c r="E199" s="5" t="s">
        <v>1684</v>
      </c>
      <c r="F199" s="5" t="s">
        <v>2164</v>
      </c>
      <c r="G199" s="5" t="s">
        <v>612</v>
      </c>
      <c r="H199" s="5" t="s">
        <v>2165</v>
      </c>
      <c r="I199" s="5">
        <v>120000</v>
      </c>
      <c r="J199" s="5">
        <v>120000</v>
      </c>
    </row>
    <row r="200" spans="1:11" ht="15.75" customHeight="1" x14ac:dyDescent="0.2">
      <c r="A200" s="5" t="s">
        <v>276</v>
      </c>
      <c r="B200" s="5" t="s">
        <v>277</v>
      </c>
      <c r="C200" s="5" t="s">
        <v>278</v>
      </c>
      <c r="D200" s="5" t="s">
        <v>612</v>
      </c>
      <c r="E200" s="5" t="s">
        <v>1724</v>
      </c>
      <c r="F200" s="5" t="s">
        <v>2166</v>
      </c>
      <c r="G200" s="5" t="s">
        <v>612</v>
      </c>
      <c r="H200" s="5" t="s">
        <v>2167</v>
      </c>
      <c r="I200" s="5">
        <v>50000</v>
      </c>
      <c r="J200" s="5">
        <v>50000</v>
      </c>
    </row>
    <row r="201" spans="1:11" ht="15.75" customHeight="1" x14ac:dyDescent="0.2">
      <c r="A201" s="5" t="s">
        <v>276</v>
      </c>
      <c r="B201" s="5" t="s">
        <v>277</v>
      </c>
      <c r="C201" s="5" t="s">
        <v>278</v>
      </c>
      <c r="D201" s="5" t="s">
        <v>612</v>
      </c>
      <c r="E201" s="5" t="s">
        <v>1724</v>
      </c>
      <c r="F201" s="5" t="s">
        <v>2168</v>
      </c>
      <c r="G201" s="5" t="s">
        <v>612</v>
      </c>
      <c r="H201" s="5" t="s">
        <v>2169</v>
      </c>
      <c r="I201" s="5">
        <v>2000</v>
      </c>
      <c r="J201" s="5">
        <v>2000</v>
      </c>
    </row>
    <row r="202" spans="1:11" ht="15.75" customHeight="1" x14ac:dyDescent="0.2">
      <c r="A202" s="5" t="s">
        <v>276</v>
      </c>
      <c r="B202" s="5" t="s">
        <v>277</v>
      </c>
      <c r="C202" s="5" t="s">
        <v>278</v>
      </c>
      <c r="D202" s="5" t="s">
        <v>612</v>
      </c>
      <c r="E202" s="5" t="s">
        <v>1724</v>
      </c>
      <c r="F202" s="5" t="s">
        <v>2170</v>
      </c>
      <c r="G202" s="5" t="s">
        <v>612</v>
      </c>
      <c r="H202" s="5" t="s">
        <v>2171</v>
      </c>
      <c r="I202" s="5">
        <v>20000</v>
      </c>
      <c r="J202" s="5">
        <v>20000</v>
      </c>
    </row>
    <row r="203" spans="1:11" ht="15.75" customHeight="1" x14ac:dyDescent="0.2">
      <c r="A203" s="5" t="s">
        <v>276</v>
      </c>
      <c r="B203" s="5" t="s">
        <v>277</v>
      </c>
      <c r="C203" s="5" t="s">
        <v>278</v>
      </c>
      <c r="D203" s="5" t="s">
        <v>612</v>
      </c>
      <c r="E203" s="5" t="s">
        <v>1724</v>
      </c>
      <c r="F203" s="5" t="s">
        <v>2172</v>
      </c>
      <c r="G203" s="5" t="s">
        <v>612</v>
      </c>
      <c r="H203" s="5" t="s">
        <v>2173</v>
      </c>
      <c r="I203" s="5">
        <v>50000</v>
      </c>
      <c r="J203" s="5">
        <v>50000</v>
      </c>
    </row>
    <row r="204" spans="1:11" ht="15.75" customHeight="1" x14ac:dyDescent="0.2">
      <c r="A204" s="5" t="s">
        <v>276</v>
      </c>
      <c r="B204" s="5" t="s">
        <v>277</v>
      </c>
      <c r="C204" s="5" t="s">
        <v>278</v>
      </c>
      <c r="D204" s="5" t="s">
        <v>612</v>
      </c>
      <c r="E204" s="5" t="s">
        <v>1724</v>
      </c>
      <c r="F204" s="5" t="s">
        <v>2174</v>
      </c>
      <c r="G204" s="5" t="s">
        <v>612</v>
      </c>
      <c r="H204" s="5" t="s">
        <v>2175</v>
      </c>
      <c r="I204" s="5">
        <v>2000</v>
      </c>
      <c r="J204" s="5">
        <v>2000</v>
      </c>
    </row>
    <row r="205" spans="1:11" ht="15.75" customHeight="1" x14ac:dyDescent="0.2">
      <c r="A205" s="5" t="s">
        <v>276</v>
      </c>
      <c r="B205" s="5" t="s">
        <v>277</v>
      </c>
      <c r="C205" s="5" t="s">
        <v>278</v>
      </c>
      <c r="D205" s="5" t="s">
        <v>612</v>
      </c>
      <c r="E205" s="5" t="s">
        <v>1684</v>
      </c>
      <c r="F205" s="5" t="s">
        <v>2176</v>
      </c>
      <c r="G205" s="5" t="s">
        <v>612</v>
      </c>
      <c r="H205" s="5" t="s">
        <v>2177</v>
      </c>
      <c r="I205" s="5">
        <v>2000</v>
      </c>
      <c r="J205" s="5">
        <v>2000</v>
      </c>
    </row>
    <row r="206" spans="1:11" ht="15.75" customHeight="1" x14ac:dyDescent="0.2">
      <c r="A206" s="5" t="s">
        <v>276</v>
      </c>
      <c r="B206" s="5" t="s">
        <v>288</v>
      </c>
      <c r="C206" s="5" t="s">
        <v>289</v>
      </c>
      <c r="D206" s="5" t="s">
        <v>612</v>
      </c>
      <c r="E206" s="5" t="s">
        <v>1684</v>
      </c>
      <c r="F206" s="5" t="s">
        <v>2178</v>
      </c>
      <c r="G206" s="5" t="s">
        <v>612</v>
      </c>
      <c r="H206" s="5" t="s">
        <v>2179</v>
      </c>
      <c r="I206" s="5">
        <v>6875.99</v>
      </c>
      <c r="J206" s="5">
        <v>6875.99</v>
      </c>
    </row>
    <row r="207" spans="1:11" ht="15.75" customHeight="1" x14ac:dyDescent="0.2">
      <c r="A207" s="5" t="s">
        <v>276</v>
      </c>
      <c r="B207" s="5" t="s">
        <v>288</v>
      </c>
      <c r="C207" s="5" t="s">
        <v>289</v>
      </c>
      <c r="D207" s="5" t="s">
        <v>612</v>
      </c>
      <c r="E207" s="5" t="s">
        <v>1684</v>
      </c>
      <c r="F207" s="5" t="s">
        <v>2180</v>
      </c>
      <c r="G207" s="5" t="s">
        <v>612</v>
      </c>
      <c r="H207" s="5" t="s">
        <v>2181</v>
      </c>
      <c r="I207" s="5">
        <v>2000</v>
      </c>
      <c r="J207" s="5">
        <v>2000</v>
      </c>
    </row>
    <row r="208" spans="1:11" ht="15.75" customHeight="1" x14ac:dyDescent="0.2">
      <c r="A208" s="5" t="s">
        <v>276</v>
      </c>
      <c r="B208" s="5" t="s">
        <v>296</v>
      </c>
      <c r="C208" s="5" t="s">
        <v>297</v>
      </c>
      <c r="D208" s="5" t="s">
        <v>612</v>
      </c>
      <c r="E208" s="5" t="s">
        <v>1724</v>
      </c>
      <c r="F208" s="5" t="s">
        <v>2182</v>
      </c>
      <c r="G208" s="5" t="s">
        <v>612</v>
      </c>
      <c r="H208" s="5" t="s">
        <v>2183</v>
      </c>
      <c r="I208" s="5">
        <v>0</v>
      </c>
      <c r="J208" s="5">
        <v>70000</v>
      </c>
    </row>
    <row r="209" spans="1:11" ht="15.75" customHeight="1" x14ac:dyDescent="0.2">
      <c r="A209" s="5" t="s">
        <v>276</v>
      </c>
      <c r="B209" s="5" t="s">
        <v>296</v>
      </c>
      <c r="C209" s="5" t="s">
        <v>297</v>
      </c>
      <c r="D209" s="5" t="s">
        <v>612</v>
      </c>
      <c r="E209" s="5" t="s">
        <v>1724</v>
      </c>
      <c r="F209" s="5" t="s">
        <v>2184</v>
      </c>
      <c r="G209" s="5" t="s">
        <v>612</v>
      </c>
      <c r="H209" s="5" t="s">
        <v>2185</v>
      </c>
      <c r="I209" s="5">
        <v>0</v>
      </c>
      <c r="J209" s="5">
        <v>25000</v>
      </c>
    </row>
    <row r="210" spans="1:11" ht="15.75" customHeight="1" x14ac:dyDescent="0.2">
      <c r="A210" s="5" t="s">
        <v>276</v>
      </c>
      <c r="B210" s="5" t="s">
        <v>305</v>
      </c>
      <c r="C210" s="5" t="s">
        <v>306</v>
      </c>
      <c r="D210" s="5" t="s">
        <v>612</v>
      </c>
      <c r="E210" s="5" t="s">
        <v>1684</v>
      </c>
      <c r="F210" s="5" t="s">
        <v>1803</v>
      </c>
      <c r="G210" s="5" t="s">
        <v>612</v>
      </c>
      <c r="H210" s="5" t="s">
        <v>2186</v>
      </c>
      <c r="I210" s="5">
        <v>20125</v>
      </c>
      <c r="J210" s="5">
        <v>20125</v>
      </c>
      <c r="K210" s="5" t="s">
        <v>2187</v>
      </c>
    </row>
    <row r="211" spans="1:11" ht="15.75" customHeight="1" x14ac:dyDescent="0.2">
      <c r="A211" s="5" t="s">
        <v>276</v>
      </c>
      <c r="B211" s="5" t="s">
        <v>305</v>
      </c>
      <c r="C211" s="5" t="s">
        <v>306</v>
      </c>
      <c r="D211" s="5" t="s">
        <v>612</v>
      </c>
      <c r="E211" s="5" t="s">
        <v>1724</v>
      </c>
      <c r="F211" s="5" t="s">
        <v>2188</v>
      </c>
      <c r="G211" s="5" t="s">
        <v>612</v>
      </c>
      <c r="H211" s="5" t="s">
        <v>2189</v>
      </c>
      <c r="I211" s="5">
        <v>25000</v>
      </c>
      <c r="J211" s="5">
        <v>25000</v>
      </c>
      <c r="K211" s="5" t="s">
        <v>2190</v>
      </c>
    </row>
    <row r="212" spans="1:11" ht="15.75" customHeight="1" x14ac:dyDescent="0.2">
      <c r="A212" s="5" t="s">
        <v>276</v>
      </c>
      <c r="B212" s="5" t="s">
        <v>316</v>
      </c>
      <c r="C212" s="5" t="s">
        <v>317</v>
      </c>
      <c r="D212" s="5" t="s">
        <v>612</v>
      </c>
      <c r="E212" s="5" t="s">
        <v>1684</v>
      </c>
      <c r="F212" s="5" t="s">
        <v>2191</v>
      </c>
      <c r="G212" s="5" t="s">
        <v>612</v>
      </c>
      <c r="H212" s="5" t="s">
        <v>2192</v>
      </c>
      <c r="I212" s="5">
        <v>123696.13</v>
      </c>
      <c r="J212" s="5">
        <v>123696.13</v>
      </c>
      <c r="K212" s="5" t="s">
        <v>2193</v>
      </c>
    </row>
    <row r="213" spans="1:11" ht="15.75" customHeight="1" x14ac:dyDescent="0.2">
      <c r="A213" s="5" t="s">
        <v>276</v>
      </c>
      <c r="B213" s="5" t="s">
        <v>316</v>
      </c>
      <c r="C213" s="5" t="s">
        <v>317</v>
      </c>
      <c r="D213" s="5" t="s">
        <v>612</v>
      </c>
      <c r="E213" s="5" t="s">
        <v>2194</v>
      </c>
      <c r="F213" s="5" t="s">
        <v>2195</v>
      </c>
      <c r="G213" s="5" t="s">
        <v>612</v>
      </c>
      <c r="H213" s="5" t="s">
        <v>2196</v>
      </c>
      <c r="I213" s="5">
        <v>60000</v>
      </c>
      <c r="J213" s="5">
        <v>100000</v>
      </c>
      <c r="K213" s="5" t="s">
        <v>2197</v>
      </c>
    </row>
    <row r="214" spans="1:11" ht="15.75" customHeight="1" x14ac:dyDescent="0.2">
      <c r="A214" s="5" t="s">
        <v>276</v>
      </c>
      <c r="B214" s="5" t="s">
        <v>316</v>
      </c>
      <c r="C214" s="5" t="s">
        <v>317</v>
      </c>
      <c r="D214" s="5" t="s">
        <v>612</v>
      </c>
      <c r="E214" s="5" t="s">
        <v>2194</v>
      </c>
      <c r="F214" s="5" t="s">
        <v>2198</v>
      </c>
      <c r="I214" s="5">
        <v>0</v>
      </c>
      <c r="J214" s="5">
        <v>20000</v>
      </c>
      <c r="K214" s="5" t="s">
        <v>2199</v>
      </c>
    </row>
    <row r="215" spans="1:11" ht="15.75" customHeight="1" x14ac:dyDescent="0.2">
      <c r="A215" s="5" t="s">
        <v>276</v>
      </c>
      <c r="B215" s="5" t="s">
        <v>327</v>
      </c>
      <c r="C215" s="5" t="s">
        <v>328</v>
      </c>
      <c r="D215" s="5" t="s">
        <v>612</v>
      </c>
      <c r="E215" s="5" t="s">
        <v>1684</v>
      </c>
      <c r="F215" s="5" t="s">
        <v>2200</v>
      </c>
      <c r="G215" s="5" t="s">
        <v>612</v>
      </c>
      <c r="H215" s="5" t="s">
        <v>2201</v>
      </c>
      <c r="I215" s="5">
        <v>169948.09</v>
      </c>
      <c r="J215" s="5">
        <v>169948.09</v>
      </c>
    </row>
    <row r="216" spans="1:11" ht="15.75" customHeight="1" x14ac:dyDescent="0.2">
      <c r="A216" s="5" t="s">
        <v>276</v>
      </c>
      <c r="B216" s="5" t="s">
        <v>337</v>
      </c>
      <c r="C216" s="5" t="s">
        <v>338</v>
      </c>
      <c r="D216" s="5" t="s">
        <v>612</v>
      </c>
      <c r="E216" s="5" t="s">
        <v>1684</v>
      </c>
      <c r="F216" s="5" t="s">
        <v>2202</v>
      </c>
      <c r="G216" s="5" t="s">
        <v>612</v>
      </c>
      <c r="H216" s="5" t="s">
        <v>2203</v>
      </c>
      <c r="I216" s="5">
        <v>100000</v>
      </c>
      <c r="J216" s="5">
        <v>100000</v>
      </c>
    </row>
    <row r="217" spans="1:11" ht="15.75" customHeight="1" x14ac:dyDescent="0.2">
      <c r="A217" s="5" t="s">
        <v>276</v>
      </c>
      <c r="B217" s="5" t="s">
        <v>337</v>
      </c>
      <c r="C217" s="5" t="s">
        <v>338</v>
      </c>
      <c r="D217" s="5" t="s">
        <v>612</v>
      </c>
      <c r="E217" s="5" t="s">
        <v>1684</v>
      </c>
      <c r="F217" s="5" t="s">
        <v>2204</v>
      </c>
      <c r="G217" s="5" t="s">
        <v>612</v>
      </c>
      <c r="H217" s="5" t="s">
        <v>2205</v>
      </c>
      <c r="I217" s="5">
        <v>130000</v>
      </c>
      <c r="J217" s="5">
        <v>130000</v>
      </c>
    </row>
    <row r="218" spans="1:11" ht="15.75" customHeight="1" x14ac:dyDescent="0.2">
      <c r="A218" s="5" t="s">
        <v>276</v>
      </c>
      <c r="B218" s="5" t="s">
        <v>337</v>
      </c>
      <c r="C218" s="5" t="s">
        <v>338</v>
      </c>
      <c r="D218" s="5" t="s">
        <v>612</v>
      </c>
      <c r="E218" s="5" t="s">
        <v>1684</v>
      </c>
      <c r="F218" s="5" t="s">
        <v>2206</v>
      </c>
      <c r="G218" s="5" t="s">
        <v>612</v>
      </c>
      <c r="H218" s="5" t="s">
        <v>2207</v>
      </c>
      <c r="I218" s="5">
        <v>25000</v>
      </c>
      <c r="J218" s="5">
        <v>25000</v>
      </c>
    </row>
    <row r="219" spans="1:11" ht="15.75" customHeight="1" x14ac:dyDescent="0.2">
      <c r="A219" s="5" t="s">
        <v>276</v>
      </c>
      <c r="B219" s="5" t="s">
        <v>337</v>
      </c>
      <c r="C219" s="5" t="s">
        <v>338</v>
      </c>
      <c r="D219" s="5" t="s">
        <v>612</v>
      </c>
      <c r="E219" s="5" t="s">
        <v>1684</v>
      </c>
      <c r="F219" s="5" t="s">
        <v>2208</v>
      </c>
      <c r="G219" s="5" t="s">
        <v>612</v>
      </c>
      <c r="H219" s="5" t="s">
        <v>2209</v>
      </c>
      <c r="I219" s="5">
        <v>25000</v>
      </c>
      <c r="J219" s="5">
        <v>25000</v>
      </c>
    </row>
    <row r="220" spans="1:11" ht="15.75" customHeight="1" x14ac:dyDescent="0.2">
      <c r="A220" s="5" t="s">
        <v>276</v>
      </c>
      <c r="B220" s="5" t="s">
        <v>346</v>
      </c>
      <c r="C220" s="5" t="s">
        <v>347</v>
      </c>
      <c r="D220" s="5" t="s">
        <v>913</v>
      </c>
    </row>
    <row r="221" spans="1:11" ht="15.75" customHeight="1" x14ac:dyDescent="0.2">
      <c r="A221" s="5" t="s">
        <v>276</v>
      </c>
      <c r="B221" s="5" t="s">
        <v>355</v>
      </c>
      <c r="C221" s="5" t="s">
        <v>356</v>
      </c>
      <c r="D221" s="5" t="s">
        <v>913</v>
      </c>
    </row>
    <row r="222" spans="1:11" ht="15.75" customHeight="1" x14ac:dyDescent="0.2">
      <c r="A222" s="5" t="s">
        <v>276</v>
      </c>
      <c r="B222" s="5" t="s">
        <v>363</v>
      </c>
      <c r="C222" s="5" t="s">
        <v>364</v>
      </c>
      <c r="D222" s="5" t="s">
        <v>612</v>
      </c>
      <c r="E222" s="5" t="s">
        <v>1684</v>
      </c>
      <c r="F222" s="5" t="s">
        <v>2210</v>
      </c>
      <c r="G222" s="5" t="s">
        <v>612</v>
      </c>
      <c r="H222" s="5" t="s">
        <v>2211</v>
      </c>
      <c r="I222" s="5">
        <v>411182.4</v>
      </c>
      <c r="J222" s="5">
        <v>411182.4</v>
      </c>
    </row>
    <row r="223" spans="1:11" ht="15.75" customHeight="1" x14ac:dyDescent="0.2">
      <c r="A223" s="5" t="s">
        <v>276</v>
      </c>
      <c r="B223" s="5" t="s">
        <v>363</v>
      </c>
      <c r="C223" s="5" t="s">
        <v>364</v>
      </c>
      <c r="D223" s="5" t="s">
        <v>612</v>
      </c>
      <c r="E223" s="5" t="s">
        <v>1684</v>
      </c>
      <c r="F223" s="5" t="s">
        <v>2212</v>
      </c>
      <c r="G223" s="5" t="s">
        <v>612</v>
      </c>
      <c r="H223" s="5" t="s">
        <v>2213</v>
      </c>
      <c r="I223" s="5">
        <v>38000</v>
      </c>
      <c r="J223" s="5">
        <v>38000</v>
      </c>
    </row>
    <row r="224" spans="1:11" ht="15.75" customHeight="1" x14ac:dyDescent="0.2">
      <c r="A224" s="5" t="s">
        <v>276</v>
      </c>
      <c r="B224" s="5" t="s">
        <v>363</v>
      </c>
      <c r="C224" s="5" t="s">
        <v>364</v>
      </c>
      <c r="D224" s="5" t="s">
        <v>612</v>
      </c>
      <c r="E224" s="5" t="s">
        <v>1684</v>
      </c>
      <c r="F224" s="5" t="s">
        <v>2214</v>
      </c>
      <c r="G224" s="5" t="s">
        <v>612</v>
      </c>
      <c r="H224" s="5" t="s">
        <v>2215</v>
      </c>
      <c r="I224" s="5">
        <v>45000</v>
      </c>
      <c r="J224" s="5">
        <v>45000</v>
      </c>
    </row>
    <row r="225" spans="1:11" ht="15.75" customHeight="1" x14ac:dyDescent="0.2">
      <c r="A225" s="5" t="s">
        <v>276</v>
      </c>
      <c r="B225" s="5" t="s">
        <v>372</v>
      </c>
      <c r="C225" s="5" t="s">
        <v>373</v>
      </c>
      <c r="D225" s="5" t="s">
        <v>913</v>
      </c>
    </row>
    <row r="226" spans="1:11" ht="15.75" customHeight="1" x14ac:dyDescent="0.2">
      <c r="A226" s="5" t="s">
        <v>380</v>
      </c>
      <c r="B226" s="5" t="s">
        <v>381</v>
      </c>
      <c r="C226" s="5" t="s">
        <v>382</v>
      </c>
      <c r="D226" s="5" t="s">
        <v>612</v>
      </c>
      <c r="E226" s="5" t="s">
        <v>1684</v>
      </c>
      <c r="F226" s="5" t="s">
        <v>2216</v>
      </c>
      <c r="G226" s="5" t="s">
        <v>612</v>
      </c>
      <c r="H226" s="5" t="s">
        <v>2217</v>
      </c>
      <c r="I226" s="5">
        <v>120000</v>
      </c>
      <c r="J226" s="5">
        <v>120000</v>
      </c>
    </row>
    <row r="227" spans="1:11" ht="15.75" customHeight="1" x14ac:dyDescent="0.2">
      <c r="A227" s="5" t="s">
        <v>380</v>
      </c>
      <c r="B227" s="5" t="s">
        <v>381</v>
      </c>
      <c r="C227" s="5" t="s">
        <v>382</v>
      </c>
      <c r="D227" s="5" t="s">
        <v>612</v>
      </c>
      <c r="E227" s="5" t="s">
        <v>1684</v>
      </c>
      <c r="F227" s="5" t="s">
        <v>2218</v>
      </c>
      <c r="G227" s="5" t="s">
        <v>612</v>
      </c>
      <c r="H227" s="5" t="s">
        <v>2219</v>
      </c>
      <c r="I227" s="5">
        <v>20000</v>
      </c>
      <c r="J227" s="5">
        <v>32850</v>
      </c>
    </row>
    <row r="228" spans="1:11" ht="15.75" customHeight="1" x14ac:dyDescent="0.2">
      <c r="A228" s="5" t="s">
        <v>380</v>
      </c>
      <c r="B228" s="5" t="s">
        <v>381</v>
      </c>
      <c r="C228" s="5" t="s">
        <v>382</v>
      </c>
      <c r="D228" s="5" t="s">
        <v>612</v>
      </c>
      <c r="E228" s="5" t="s">
        <v>2220</v>
      </c>
      <c r="F228" s="5" t="s">
        <v>2221</v>
      </c>
      <c r="I228" s="5">
        <v>10000</v>
      </c>
      <c r="J228" s="5">
        <v>16425</v>
      </c>
      <c r="K228" s="5" t="s">
        <v>2222</v>
      </c>
    </row>
    <row r="229" spans="1:11" ht="15.75" customHeight="1" x14ac:dyDescent="0.2">
      <c r="A229" s="5" t="s">
        <v>380</v>
      </c>
      <c r="B229" s="5" t="s">
        <v>381</v>
      </c>
      <c r="C229" s="5" t="s">
        <v>382</v>
      </c>
      <c r="D229" s="5" t="s">
        <v>612</v>
      </c>
      <c r="E229" s="5" t="s">
        <v>1684</v>
      </c>
      <c r="F229" s="5" t="s">
        <v>2223</v>
      </c>
      <c r="G229" s="5" t="s">
        <v>612</v>
      </c>
      <c r="H229" s="5" t="s">
        <v>2224</v>
      </c>
      <c r="I229" s="5">
        <v>20000</v>
      </c>
      <c r="J229" s="5">
        <v>32850</v>
      </c>
    </row>
    <row r="230" spans="1:11" ht="15.75" customHeight="1" x14ac:dyDescent="0.2">
      <c r="A230" s="5" t="s">
        <v>380</v>
      </c>
      <c r="B230" s="5" t="s">
        <v>390</v>
      </c>
      <c r="C230" s="5" t="s">
        <v>391</v>
      </c>
      <c r="D230" s="5" t="s">
        <v>913</v>
      </c>
    </row>
    <row r="231" spans="1:11" ht="15.75" customHeight="1" x14ac:dyDescent="0.2">
      <c r="A231" s="5" t="s">
        <v>380</v>
      </c>
      <c r="B231" s="5" t="s">
        <v>390</v>
      </c>
      <c r="C231" s="5" t="s">
        <v>391</v>
      </c>
      <c r="D231" s="5" t="s">
        <v>913</v>
      </c>
    </row>
    <row r="232" spans="1:11" ht="15.75" customHeight="1" x14ac:dyDescent="0.2">
      <c r="A232" s="5" t="s">
        <v>380</v>
      </c>
      <c r="B232" s="5" t="s">
        <v>399</v>
      </c>
      <c r="C232" s="5" t="s">
        <v>400</v>
      </c>
      <c r="D232" s="5" t="s">
        <v>612</v>
      </c>
      <c r="E232" s="5" t="s">
        <v>1684</v>
      </c>
      <c r="F232" s="5" t="s">
        <v>2225</v>
      </c>
      <c r="G232" s="5" t="s">
        <v>612</v>
      </c>
      <c r="H232" s="5" t="s">
        <v>2226</v>
      </c>
      <c r="I232" s="5">
        <v>50342.26</v>
      </c>
      <c r="J232" s="5">
        <v>201369.02</v>
      </c>
    </row>
    <row r="233" spans="1:11" ht="15.75" customHeight="1" x14ac:dyDescent="0.2">
      <c r="A233" s="5" t="s">
        <v>380</v>
      </c>
      <c r="B233" s="5" t="s">
        <v>399</v>
      </c>
      <c r="C233" s="5" t="s">
        <v>400</v>
      </c>
      <c r="D233" s="5" t="s">
        <v>612</v>
      </c>
      <c r="E233" s="5" t="s">
        <v>1724</v>
      </c>
      <c r="F233" s="5" t="s">
        <v>2227</v>
      </c>
      <c r="G233" s="5" t="s">
        <v>612</v>
      </c>
      <c r="H233" s="5" t="s">
        <v>2228</v>
      </c>
      <c r="I233" s="5">
        <v>167936.16</v>
      </c>
      <c r="J233" s="5">
        <v>167936.16</v>
      </c>
    </row>
    <row r="234" spans="1:11" ht="15.75" customHeight="1" x14ac:dyDescent="0.2">
      <c r="A234" s="5" t="s">
        <v>380</v>
      </c>
      <c r="B234" s="5" t="s">
        <v>407</v>
      </c>
      <c r="C234" s="5" t="s">
        <v>408</v>
      </c>
      <c r="D234" s="5" t="s">
        <v>913</v>
      </c>
    </row>
    <row r="235" spans="1:11" ht="15.75" customHeight="1" x14ac:dyDescent="0.2">
      <c r="A235" s="5" t="s">
        <v>380</v>
      </c>
      <c r="B235" s="5" t="s">
        <v>417</v>
      </c>
      <c r="C235" s="5" t="s">
        <v>418</v>
      </c>
      <c r="D235" s="5" t="s">
        <v>612</v>
      </c>
      <c r="E235" s="5" t="s">
        <v>2229</v>
      </c>
      <c r="F235" s="5" t="s">
        <v>2230</v>
      </c>
      <c r="G235" s="5" t="s">
        <v>612</v>
      </c>
      <c r="H235" s="5" t="s">
        <v>2231</v>
      </c>
      <c r="I235" s="5">
        <v>5000</v>
      </c>
      <c r="J235" s="5">
        <v>88382</v>
      </c>
      <c r="K235" s="5" t="s">
        <v>2232</v>
      </c>
    </row>
    <row r="236" spans="1:11" ht="15.75" customHeight="1" x14ac:dyDescent="0.2">
      <c r="A236" s="5" t="s">
        <v>380</v>
      </c>
      <c r="B236" s="5" t="s">
        <v>417</v>
      </c>
      <c r="C236" s="5" t="s">
        <v>418</v>
      </c>
      <c r="D236" s="5" t="s">
        <v>612</v>
      </c>
      <c r="E236" s="5" t="s">
        <v>2229</v>
      </c>
      <c r="F236" s="5" t="s">
        <v>2233</v>
      </c>
      <c r="G236" s="5" t="s">
        <v>612</v>
      </c>
      <c r="H236" s="5" t="s">
        <v>2234</v>
      </c>
      <c r="I236" s="5">
        <v>0</v>
      </c>
      <c r="J236" s="5">
        <v>5000</v>
      </c>
      <c r="K236" s="5" t="s">
        <v>2235</v>
      </c>
    </row>
    <row r="237" spans="1:11" ht="15.75" customHeight="1" x14ac:dyDescent="0.2">
      <c r="A237" s="5" t="s">
        <v>380</v>
      </c>
      <c r="B237" s="5" t="s">
        <v>417</v>
      </c>
      <c r="C237" s="5" t="s">
        <v>418</v>
      </c>
      <c r="D237" s="5" t="s">
        <v>612</v>
      </c>
      <c r="E237" s="5" t="s">
        <v>1684</v>
      </c>
      <c r="F237" s="5" t="s">
        <v>2236</v>
      </c>
      <c r="G237" s="5" t="s">
        <v>612</v>
      </c>
      <c r="H237" s="5" t="s">
        <v>2237</v>
      </c>
      <c r="I237" s="5">
        <v>76000</v>
      </c>
      <c r="J237" s="5">
        <v>30000</v>
      </c>
    </row>
    <row r="238" spans="1:11" ht="15.75" customHeight="1" x14ac:dyDescent="0.2">
      <c r="A238" s="5" t="s">
        <v>426</v>
      </c>
      <c r="B238" s="5" t="s">
        <v>427</v>
      </c>
      <c r="C238" s="5" t="s">
        <v>428</v>
      </c>
      <c r="D238" s="5" t="s">
        <v>612</v>
      </c>
      <c r="E238" s="5" t="s">
        <v>607</v>
      </c>
      <c r="F238" s="5" t="s">
        <v>2238</v>
      </c>
      <c r="G238" s="5" t="s">
        <v>612</v>
      </c>
      <c r="H238" s="5" t="s">
        <v>2239</v>
      </c>
      <c r="I238" s="5">
        <v>0</v>
      </c>
      <c r="J238" s="5">
        <v>190000</v>
      </c>
      <c r="K238" s="5" t="s">
        <v>2240</v>
      </c>
    </row>
    <row r="239" spans="1:11" ht="15.75" customHeight="1" x14ac:dyDescent="0.2">
      <c r="A239" s="5" t="s">
        <v>426</v>
      </c>
      <c r="B239" s="5" t="s">
        <v>427</v>
      </c>
      <c r="C239" s="5" t="s">
        <v>428</v>
      </c>
      <c r="D239" s="5" t="s">
        <v>612</v>
      </c>
      <c r="E239" s="5" t="s">
        <v>2241</v>
      </c>
      <c r="F239" s="5" t="s">
        <v>2242</v>
      </c>
      <c r="G239" s="5" t="s">
        <v>612</v>
      </c>
      <c r="H239" s="5" t="s">
        <v>2243</v>
      </c>
      <c r="I239" s="5">
        <v>0</v>
      </c>
      <c r="J239" s="5">
        <v>190000</v>
      </c>
      <c r="K239" s="5" t="s">
        <v>2240</v>
      </c>
    </row>
    <row r="240" spans="1:11" ht="15.75" customHeight="1" x14ac:dyDescent="0.2">
      <c r="A240" s="5" t="s">
        <v>426</v>
      </c>
      <c r="B240" s="5" t="s">
        <v>427</v>
      </c>
      <c r="C240" s="5" t="s">
        <v>428</v>
      </c>
      <c r="D240" s="5" t="s">
        <v>612</v>
      </c>
      <c r="E240" s="5" t="s">
        <v>1734</v>
      </c>
      <c r="F240" s="5" t="s">
        <v>2244</v>
      </c>
      <c r="G240" s="5" t="s">
        <v>612</v>
      </c>
      <c r="H240" s="5" t="s">
        <v>2245</v>
      </c>
      <c r="I240" s="5">
        <v>267566.33</v>
      </c>
      <c r="J240" s="5">
        <v>1200000</v>
      </c>
    </row>
    <row r="241" spans="1:11" ht="15.75" customHeight="1" x14ac:dyDescent="0.2">
      <c r="A241" s="5" t="s">
        <v>426</v>
      </c>
      <c r="B241" s="5" t="s">
        <v>435</v>
      </c>
      <c r="C241" s="5" t="s">
        <v>436</v>
      </c>
      <c r="D241" s="5" t="s">
        <v>612</v>
      </c>
      <c r="E241" s="5" t="s">
        <v>2246</v>
      </c>
      <c r="F241" s="5" t="s">
        <v>2247</v>
      </c>
      <c r="G241" s="5" t="s">
        <v>612</v>
      </c>
      <c r="H241" s="5" t="s">
        <v>2248</v>
      </c>
      <c r="I241" s="5">
        <v>224277.05</v>
      </c>
      <c r="J241" s="5">
        <v>1155000</v>
      </c>
    </row>
    <row r="242" spans="1:11" ht="15.75" customHeight="1" x14ac:dyDescent="0.2">
      <c r="A242" s="5" t="s">
        <v>426</v>
      </c>
      <c r="B242" s="5" t="s">
        <v>435</v>
      </c>
      <c r="C242" s="5" t="s">
        <v>436</v>
      </c>
      <c r="D242" s="5" t="s">
        <v>612</v>
      </c>
      <c r="E242" s="5" t="s">
        <v>2246</v>
      </c>
      <c r="F242" s="5" t="s">
        <v>2249</v>
      </c>
      <c r="G242" s="5" t="s">
        <v>612</v>
      </c>
      <c r="H242" s="5" t="s">
        <v>2250</v>
      </c>
      <c r="I242" s="5">
        <v>55126.57</v>
      </c>
      <c r="J242" s="5">
        <v>408000</v>
      </c>
    </row>
    <row r="243" spans="1:11" ht="15.75" customHeight="1" x14ac:dyDescent="0.2">
      <c r="A243" s="5" t="s">
        <v>426</v>
      </c>
      <c r="B243" s="5" t="s">
        <v>435</v>
      </c>
      <c r="C243" s="5" t="s">
        <v>436</v>
      </c>
      <c r="D243" s="5" t="s">
        <v>612</v>
      </c>
      <c r="E243" s="5" t="s">
        <v>2251</v>
      </c>
      <c r="F243" s="5" t="s">
        <v>2252</v>
      </c>
      <c r="G243" s="5" t="s">
        <v>612</v>
      </c>
      <c r="H243" s="5" t="s">
        <v>2253</v>
      </c>
      <c r="I243" s="5">
        <v>2581.58</v>
      </c>
      <c r="J243" s="5">
        <v>23800</v>
      </c>
      <c r="K243" s="5" t="s">
        <v>2254</v>
      </c>
    </row>
    <row r="244" spans="1:11" ht="15.75" customHeight="1" x14ac:dyDescent="0.2">
      <c r="A244" s="5" t="s">
        <v>426</v>
      </c>
      <c r="B244" s="5" t="s">
        <v>435</v>
      </c>
      <c r="C244" s="5" t="s">
        <v>436</v>
      </c>
      <c r="D244" s="5" t="s">
        <v>612</v>
      </c>
      <c r="E244" s="5" t="s">
        <v>2251</v>
      </c>
      <c r="F244" s="5" t="s">
        <v>2252</v>
      </c>
      <c r="G244" s="5" t="s">
        <v>612</v>
      </c>
      <c r="H244" s="5" t="s">
        <v>2255</v>
      </c>
      <c r="I244" s="5">
        <v>1806</v>
      </c>
      <c r="J244" s="5">
        <v>23800</v>
      </c>
      <c r="K244" s="5" t="s">
        <v>2256</v>
      </c>
    </row>
    <row r="245" spans="1:11" ht="15.75" customHeight="1" x14ac:dyDescent="0.2">
      <c r="A245" s="5" t="s">
        <v>426</v>
      </c>
      <c r="B245" s="5" t="s">
        <v>435</v>
      </c>
      <c r="C245" s="5" t="s">
        <v>436</v>
      </c>
      <c r="D245" s="5" t="s">
        <v>612</v>
      </c>
      <c r="E245" s="5" t="s">
        <v>2246</v>
      </c>
      <c r="F245" s="5" t="s">
        <v>2247</v>
      </c>
      <c r="G245" s="5" t="s">
        <v>612</v>
      </c>
      <c r="H245" s="5" t="s">
        <v>2248</v>
      </c>
      <c r="I245" s="5">
        <v>224277.05</v>
      </c>
      <c r="J245" s="5">
        <v>1155000</v>
      </c>
    </row>
    <row r="246" spans="1:11" ht="15.75" customHeight="1" x14ac:dyDescent="0.2">
      <c r="A246" s="5" t="s">
        <v>426</v>
      </c>
      <c r="B246" s="5" t="s">
        <v>435</v>
      </c>
      <c r="C246" s="5" t="s">
        <v>436</v>
      </c>
      <c r="D246" s="5" t="s">
        <v>612</v>
      </c>
      <c r="E246" s="5" t="s">
        <v>2246</v>
      </c>
      <c r="F246" s="5" t="s">
        <v>2249</v>
      </c>
      <c r="G246" s="5" t="s">
        <v>612</v>
      </c>
      <c r="H246" s="5" t="s">
        <v>2250</v>
      </c>
      <c r="I246" s="5">
        <v>55126.57</v>
      </c>
      <c r="J246" s="5">
        <v>408000</v>
      </c>
    </row>
    <row r="247" spans="1:11" ht="15.75" customHeight="1" x14ac:dyDescent="0.2">
      <c r="A247" s="5" t="s">
        <v>426</v>
      </c>
      <c r="B247" s="5" t="s">
        <v>435</v>
      </c>
      <c r="C247" s="5" t="s">
        <v>436</v>
      </c>
      <c r="D247" s="5" t="s">
        <v>612</v>
      </c>
      <c r="E247" s="5" t="s">
        <v>2257</v>
      </c>
      <c r="F247" s="5" t="s">
        <v>2258</v>
      </c>
      <c r="I247" s="5">
        <v>15000</v>
      </c>
      <c r="J247" s="5">
        <v>15000</v>
      </c>
      <c r="K247" s="5" t="s">
        <v>2259</v>
      </c>
    </row>
    <row r="248" spans="1:11" ht="15.75" customHeight="1" x14ac:dyDescent="0.2">
      <c r="A248" s="5" t="s">
        <v>426</v>
      </c>
      <c r="B248" s="5" t="s">
        <v>435</v>
      </c>
      <c r="C248" s="5" t="s">
        <v>436</v>
      </c>
      <c r="D248" s="5" t="s">
        <v>612</v>
      </c>
      <c r="E248" s="5" t="s">
        <v>2251</v>
      </c>
      <c r="F248" s="5" t="s">
        <v>2252</v>
      </c>
      <c r="G248" s="5" t="s">
        <v>612</v>
      </c>
      <c r="H248" s="5" t="s">
        <v>2255</v>
      </c>
      <c r="I248" s="5">
        <v>1806</v>
      </c>
      <c r="J248" s="5">
        <v>23800</v>
      </c>
      <c r="K248" s="5" t="s">
        <v>2256</v>
      </c>
    </row>
    <row r="249" spans="1:11" ht="15.75" customHeight="1" x14ac:dyDescent="0.2">
      <c r="A249" s="5" t="s">
        <v>426</v>
      </c>
      <c r="B249" s="5" t="s">
        <v>435</v>
      </c>
      <c r="C249" s="5" t="s">
        <v>436</v>
      </c>
      <c r="D249" s="5" t="s">
        <v>612</v>
      </c>
      <c r="E249" s="5" t="s">
        <v>2257</v>
      </c>
      <c r="F249" s="5" t="s">
        <v>2258</v>
      </c>
      <c r="I249" s="5">
        <v>15000</v>
      </c>
      <c r="J249" s="5">
        <v>15000</v>
      </c>
      <c r="K249" s="5" t="s">
        <v>2259</v>
      </c>
    </row>
    <row r="250" spans="1:11" ht="15.75" customHeight="1" x14ac:dyDescent="0.2">
      <c r="A250" s="5" t="s">
        <v>426</v>
      </c>
      <c r="B250" s="5" t="s">
        <v>435</v>
      </c>
      <c r="C250" s="5" t="s">
        <v>436</v>
      </c>
      <c r="D250" s="5" t="s">
        <v>612</v>
      </c>
      <c r="E250" s="5" t="s">
        <v>2251</v>
      </c>
      <c r="F250" s="5" t="s">
        <v>2252</v>
      </c>
      <c r="G250" s="5" t="s">
        <v>612</v>
      </c>
      <c r="H250" s="5" t="s">
        <v>2253</v>
      </c>
      <c r="I250" s="5">
        <v>2581.58</v>
      </c>
      <c r="J250" s="5">
        <v>23800</v>
      </c>
      <c r="K250" s="5" t="s">
        <v>2254</v>
      </c>
    </row>
    <row r="251" spans="1:11" ht="15.75" customHeight="1" x14ac:dyDescent="0.2">
      <c r="A251" s="5" t="s">
        <v>426</v>
      </c>
      <c r="B251" s="5" t="s">
        <v>444</v>
      </c>
      <c r="C251" s="5" t="s">
        <v>445</v>
      </c>
      <c r="D251" s="5" t="s">
        <v>612</v>
      </c>
      <c r="E251" s="5" t="s">
        <v>1684</v>
      </c>
      <c r="F251" s="5" t="s">
        <v>2260</v>
      </c>
      <c r="G251" s="5" t="s">
        <v>612</v>
      </c>
      <c r="H251" s="5" t="s">
        <v>2261</v>
      </c>
      <c r="I251" s="5">
        <v>230293.5</v>
      </c>
      <c r="J251" s="5">
        <v>1169000</v>
      </c>
      <c r="K251" s="5" t="s">
        <v>2262</v>
      </c>
    </row>
    <row r="252" spans="1:11" ht="15.75" customHeight="1" x14ac:dyDescent="0.2">
      <c r="A252" s="5" t="s">
        <v>426</v>
      </c>
      <c r="B252" s="5" t="s">
        <v>452</v>
      </c>
      <c r="C252" s="5" t="s">
        <v>453</v>
      </c>
      <c r="D252" s="5" t="s">
        <v>612</v>
      </c>
      <c r="E252" s="5" t="s">
        <v>1684</v>
      </c>
      <c r="F252" s="5" t="s">
        <v>2263</v>
      </c>
      <c r="G252" s="5" t="s">
        <v>612</v>
      </c>
      <c r="H252" s="5" t="s">
        <v>2264</v>
      </c>
      <c r="I252" s="5">
        <v>1710</v>
      </c>
      <c r="J252" s="5">
        <v>420000</v>
      </c>
    </row>
    <row r="253" spans="1:11" ht="15.75" customHeight="1" x14ac:dyDescent="0.2">
      <c r="A253" s="5" t="s">
        <v>426</v>
      </c>
      <c r="B253" s="5" t="s">
        <v>460</v>
      </c>
      <c r="C253" s="5" t="s">
        <v>461</v>
      </c>
      <c r="D253" s="5" t="s">
        <v>913</v>
      </c>
    </row>
    <row r="254" spans="1:11" ht="15.75" customHeight="1" x14ac:dyDescent="0.2">
      <c r="A254" s="5" t="s">
        <v>426</v>
      </c>
      <c r="B254" s="5" t="s">
        <v>468</v>
      </c>
      <c r="C254" s="5" t="s">
        <v>469</v>
      </c>
      <c r="D254" s="5" t="s">
        <v>612</v>
      </c>
      <c r="E254" s="5" t="s">
        <v>1684</v>
      </c>
      <c r="F254" s="5" t="s">
        <v>2265</v>
      </c>
      <c r="G254" s="5" t="s">
        <v>612</v>
      </c>
      <c r="H254" s="5" t="s">
        <v>2266</v>
      </c>
      <c r="I254" s="5">
        <v>19856</v>
      </c>
      <c r="J254" s="5">
        <v>28645</v>
      </c>
    </row>
    <row r="255" spans="1:11" ht="15.75" customHeight="1" x14ac:dyDescent="0.2">
      <c r="A255" s="5" t="s">
        <v>426</v>
      </c>
      <c r="B255" s="5" t="s">
        <v>468</v>
      </c>
      <c r="C255" s="5" t="s">
        <v>469</v>
      </c>
      <c r="D255" s="5" t="s">
        <v>612</v>
      </c>
      <c r="E255" s="5" t="s">
        <v>1684</v>
      </c>
      <c r="F255" s="5" t="s">
        <v>2267</v>
      </c>
      <c r="G255" s="5" t="s">
        <v>612</v>
      </c>
      <c r="H255" s="5" t="s">
        <v>2268</v>
      </c>
      <c r="I255" s="5">
        <v>22656</v>
      </c>
      <c r="J255" s="5">
        <v>28645</v>
      </c>
    </row>
    <row r="256" spans="1:11" ht="15.75" customHeight="1" x14ac:dyDescent="0.2">
      <c r="A256" s="5" t="s">
        <v>426</v>
      </c>
      <c r="B256" s="5" t="s">
        <v>468</v>
      </c>
      <c r="C256" s="5" t="s">
        <v>469</v>
      </c>
      <c r="D256" s="5" t="s">
        <v>612</v>
      </c>
      <c r="E256" s="5" t="s">
        <v>1684</v>
      </c>
      <c r="F256" s="5" t="s">
        <v>2269</v>
      </c>
      <c r="G256" s="5" t="s">
        <v>612</v>
      </c>
      <c r="H256" s="5" t="s">
        <v>2270</v>
      </c>
      <c r="I256" s="5">
        <v>24669</v>
      </c>
      <c r="J256" s="5">
        <v>28645</v>
      </c>
      <c r="K256" s="5" t="s">
        <v>2271</v>
      </c>
    </row>
    <row r="257" spans="1:11" ht="15.75" customHeight="1" x14ac:dyDescent="0.2">
      <c r="A257" s="5" t="s">
        <v>426</v>
      </c>
      <c r="B257" s="5" t="s">
        <v>468</v>
      </c>
      <c r="C257" s="5" t="s">
        <v>469</v>
      </c>
      <c r="D257" s="5" t="s">
        <v>612</v>
      </c>
      <c r="E257" s="5" t="s">
        <v>1684</v>
      </c>
      <c r="F257" s="5" t="s">
        <v>2272</v>
      </c>
      <c r="G257" s="5" t="s">
        <v>612</v>
      </c>
      <c r="H257" s="5" t="s">
        <v>2273</v>
      </c>
      <c r="I257" s="5">
        <v>219028</v>
      </c>
      <c r="J257" s="5">
        <v>961757.56</v>
      </c>
      <c r="K257" s="5" t="s">
        <v>2274</v>
      </c>
    </row>
    <row r="258" spans="1:11" ht="15.75" customHeight="1" x14ac:dyDescent="0.2">
      <c r="A258" s="5" t="s">
        <v>426</v>
      </c>
      <c r="B258" s="5" t="s">
        <v>468</v>
      </c>
      <c r="C258" s="5" t="s">
        <v>469</v>
      </c>
      <c r="D258" s="5" t="s">
        <v>612</v>
      </c>
      <c r="E258" s="5" t="s">
        <v>1684</v>
      </c>
      <c r="F258" s="5" t="s">
        <v>2275</v>
      </c>
      <c r="G258" s="5" t="s">
        <v>612</v>
      </c>
      <c r="H258" s="5" t="s">
        <v>2276</v>
      </c>
      <c r="I258" s="5">
        <v>349827</v>
      </c>
      <c r="J258" s="5">
        <v>1415000</v>
      </c>
      <c r="K258" s="5" t="s">
        <v>2277</v>
      </c>
    </row>
    <row r="259" spans="1:11" ht="15.75" customHeight="1" x14ac:dyDescent="0.2">
      <c r="A259" s="5" t="s">
        <v>426</v>
      </c>
      <c r="B259" s="5" t="s">
        <v>468</v>
      </c>
      <c r="C259" s="5" t="s">
        <v>469</v>
      </c>
      <c r="D259" s="5" t="s">
        <v>612</v>
      </c>
      <c r="E259" s="5" t="s">
        <v>1684</v>
      </c>
      <c r="F259" s="5" t="s">
        <v>2278</v>
      </c>
      <c r="G259" s="5" t="s">
        <v>612</v>
      </c>
      <c r="H259" s="5" t="s">
        <v>2279</v>
      </c>
      <c r="I259" s="5">
        <v>0</v>
      </c>
      <c r="J259" s="5">
        <v>0</v>
      </c>
      <c r="K259" s="5" t="s">
        <v>2280</v>
      </c>
    </row>
    <row r="260" spans="1:11" ht="15.75" customHeight="1" x14ac:dyDescent="0.2">
      <c r="A260" s="5" t="s">
        <v>426</v>
      </c>
      <c r="B260" s="5" t="s">
        <v>468</v>
      </c>
      <c r="C260" s="5" t="s">
        <v>469</v>
      </c>
      <c r="D260" s="5" t="s">
        <v>612</v>
      </c>
      <c r="E260" s="5" t="s">
        <v>1684</v>
      </c>
      <c r="F260" s="5" t="s">
        <v>2281</v>
      </c>
      <c r="G260" s="5" t="s">
        <v>612</v>
      </c>
      <c r="H260" s="5" t="s">
        <v>2282</v>
      </c>
      <c r="I260" s="5">
        <v>0</v>
      </c>
      <c r="J260" s="5">
        <v>0</v>
      </c>
      <c r="K260" s="5" t="s">
        <v>2283</v>
      </c>
    </row>
    <row r="261" spans="1:11" ht="15.75" customHeight="1" x14ac:dyDescent="0.2">
      <c r="A261" s="5" t="s">
        <v>426</v>
      </c>
      <c r="B261" s="5" t="s">
        <v>468</v>
      </c>
      <c r="C261" s="5" t="s">
        <v>469</v>
      </c>
      <c r="D261" s="5" t="s">
        <v>612</v>
      </c>
      <c r="E261" s="5" t="s">
        <v>1684</v>
      </c>
      <c r="F261" s="5" t="s">
        <v>2284</v>
      </c>
      <c r="G261" s="5" t="s">
        <v>612</v>
      </c>
      <c r="H261" s="5" t="s">
        <v>2285</v>
      </c>
      <c r="I261" s="5">
        <v>26756</v>
      </c>
      <c r="J261" s="5">
        <v>38755</v>
      </c>
      <c r="K261" s="5" t="s">
        <v>2286</v>
      </c>
    </row>
    <row r="262" spans="1:11" ht="15.75" customHeight="1" x14ac:dyDescent="0.2">
      <c r="A262" s="5" t="s">
        <v>426</v>
      </c>
      <c r="B262" s="5" t="s">
        <v>476</v>
      </c>
      <c r="C262" s="5" t="s">
        <v>477</v>
      </c>
      <c r="D262" s="5" t="s">
        <v>913</v>
      </c>
    </row>
    <row r="263" spans="1:11" ht="15.75" customHeight="1" x14ac:dyDescent="0.2">
      <c r="A263" s="5" t="s">
        <v>426</v>
      </c>
      <c r="B263" s="5" t="s">
        <v>476</v>
      </c>
      <c r="C263" s="5" t="s">
        <v>477</v>
      </c>
      <c r="D263" s="5" t="s">
        <v>913</v>
      </c>
    </row>
    <row r="264" spans="1:11" ht="15.75" customHeight="1" x14ac:dyDescent="0.2">
      <c r="A264" s="5" t="s">
        <v>485</v>
      </c>
      <c r="B264" s="5" t="s">
        <v>486</v>
      </c>
      <c r="C264" s="5" t="s">
        <v>487</v>
      </c>
      <c r="D264" s="5" t="s">
        <v>913</v>
      </c>
    </row>
    <row r="265" spans="1:11" ht="15.75" customHeight="1" x14ac:dyDescent="0.2">
      <c r="A265" s="5" t="s">
        <v>485</v>
      </c>
      <c r="B265" s="5" t="s">
        <v>494</v>
      </c>
      <c r="C265" s="5" t="s">
        <v>495</v>
      </c>
      <c r="D265" s="5" t="s">
        <v>612</v>
      </c>
      <c r="E265" s="5" t="s">
        <v>1724</v>
      </c>
      <c r="F265" s="5" t="s">
        <v>2287</v>
      </c>
      <c r="G265" s="5" t="s">
        <v>612</v>
      </c>
      <c r="H265" s="5" t="s">
        <v>2288</v>
      </c>
      <c r="I265" s="5">
        <v>180477</v>
      </c>
      <c r="J265" s="5">
        <v>192500</v>
      </c>
      <c r="K265" s="5" t="s">
        <v>2289</v>
      </c>
    </row>
    <row r="266" spans="1:11" ht="15.75" customHeight="1" x14ac:dyDescent="0.2">
      <c r="A266" s="5" t="s">
        <v>485</v>
      </c>
      <c r="B266" s="5" t="s">
        <v>494</v>
      </c>
      <c r="C266" s="5" t="s">
        <v>495</v>
      </c>
      <c r="D266" s="5" t="s">
        <v>612</v>
      </c>
      <c r="E266" s="5" t="s">
        <v>1684</v>
      </c>
      <c r="F266" s="5" t="s">
        <v>2290</v>
      </c>
      <c r="G266" s="5" t="s">
        <v>612</v>
      </c>
      <c r="H266" s="5" t="s">
        <v>2291</v>
      </c>
      <c r="I266" s="5">
        <v>35551.32</v>
      </c>
      <c r="J266" s="5">
        <v>35640</v>
      </c>
      <c r="K266" s="5" t="s">
        <v>2289</v>
      </c>
    </row>
    <row r="267" spans="1:11" ht="15.75" customHeight="1" x14ac:dyDescent="0.2">
      <c r="A267" s="5" t="s">
        <v>485</v>
      </c>
      <c r="B267" s="5" t="s">
        <v>494</v>
      </c>
      <c r="C267" s="5" t="s">
        <v>495</v>
      </c>
      <c r="D267" s="5" t="s">
        <v>612</v>
      </c>
      <c r="E267" s="5" t="s">
        <v>1684</v>
      </c>
      <c r="F267" s="5" t="s">
        <v>2292</v>
      </c>
      <c r="G267" s="5" t="s">
        <v>612</v>
      </c>
      <c r="H267" s="5" t="s">
        <v>2293</v>
      </c>
      <c r="I267" s="5">
        <v>16396.82</v>
      </c>
      <c r="J267" s="5">
        <v>29000</v>
      </c>
      <c r="K267" s="5" t="s">
        <v>2289</v>
      </c>
    </row>
    <row r="268" spans="1:11" ht="15.75" customHeight="1" x14ac:dyDescent="0.2">
      <c r="A268" s="5" t="s">
        <v>485</v>
      </c>
      <c r="B268" s="5" t="s">
        <v>494</v>
      </c>
      <c r="C268" s="5" t="s">
        <v>495</v>
      </c>
      <c r="D268" s="5" t="s">
        <v>612</v>
      </c>
      <c r="E268" s="5" t="s">
        <v>1684</v>
      </c>
      <c r="F268" s="5" t="s">
        <v>2294</v>
      </c>
      <c r="G268" s="5" t="s">
        <v>612</v>
      </c>
      <c r="H268" s="5" t="s">
        <v>2295</v>
      </c>
      <c r="I268" s="5">
        <v>25350.84</v>
      </c>
      <c r="J268" s="5">
        <v>52000</v>
      </c>
      <c r="K268" s="5" t="s">
        <v>2289</v>
      </c>
    </row>
    <row r="269" spans="1:11" ht="15.75" customHeight="1" x14ac:dyDescent="0.2">
      <c r="A269" s="5" t="s">
        <v>485</v>
      </c>
      <c r="B269" s="5" t="s">
        <v>494</v>
      </c>
      <c r="C269" s="5" t="s">
        <v>495</v>
      </c>
      <c r="D269" s="5" t="s">
        <v>612</v>
      </c>
      <c r="E269" s="5" t="s">
        <v>1684</v>
      </c>
      <c r="F269" s="5" t="s">
        <v>2296</v>
      </c>
      <c r="G269" s="5" t="s">
        <v>612</v>
      </c>
      <c r="H269" s="5" t="s">
        <v>2297</v>
      </c>
      <c r="I269" s="5">
        <v>29726.71</v>
      </c>
      <c r="J269" s="5">
        <v>26400</v>
      </c>
      <c r="K269" s="5" t="s">
        <v>2298</v>
      </c>
    </row>
    <row r="270" spans="1:11" ht="15.75" customHeight="1" x14ac:dyDescent="0.2">
      <c r="A270" s="5" t="s">
        <v>485</v>
      </c>
      <c r="B270" s="5" t="s">
        <v>494</v>
      </c>
      <c r="C270" s="5" t="s">
        <v>495</v>
      </c>
      <c r="D270" s="5" t="s">
        <v>612</v>
      </c>
      <c r="E270" s="5" t="s">
        <v>1684</v>
      </c>
      <c r="F270" s="5" t="s">
        <v>2299</v>
      </c>
      <c r="G270" s="5" t="s">
        <v>612</v>
      </c>
      <c r="H270" s="5" t="s">
        <v>2300</v>
      </c>
      <c r="I270" s="5">
        <v>153837.01999999999</v>
      </c>
      <c r="J270" s="5">
        <v>595000</v>
      </c>
      <c r="K270" s="5" t="s">
        <v>2289</v>
      </c>
    </row>
    <row r="271" spans="1:11" ht="15.75" customHeight="1" x14ac:dyDescent="0.2">
      <c r="A271" s="5" t="s">
        <v>485</v>
      </c>
      <c r="B271" s="5" t="s">
        <v>494</v>
      </c>
      <c r="C271" s="5" t="s">
        <v>495</v>
      </c>
      <c r="D271" s="5" t="s">
        <v>612</v>
      </c>
      <c r="E271" s="5" t="s">
        <v>1684</v>
      </c>
      <c r="F271" s="5" t="s">
        <v>2301</v>
      </c>
      <c r="G271" s="5" t="s">
        <v>612</v>
      </c>
      <c r="H271" s="5" t="s">
        <v>2302</v>
      </c>
      <c r="I271" s="5">
        <v>0</v>
      </c>
      <c r="J271" s="5">
        <v>32875</v>
      </c>
      <c r="K271" s="5" t="s">
        <v>2303</v>
      </c>
    </row>
    <row r="272" spans="1:11" ht="15.75" customHeight="1" x14ac:dyDescent="0.2">
      <c r="A272" s="5" t="s">
        <v>485</v>
      </c>
      <c r="B272" s="5" t="s">
        <v>494</v>
      </c>
      <c r="C272" s="5" t="s">
        <v>495</v>
      </c>
      <c r="D272" s="5" t="s">
        <v>612</v>
      </c>
      <c r="E272" s="5" t="s">
        <v>1684</v>
      </c>
      <c r="F272" s="5" t="s">
        <v>2304</v>
      </c>
      <c r="G272" s="5" t="s">
        <v>612</v>
      </c>
      <c r="H272" s="5" t="s">
        <v>2305</v>
      </c>
      <c r="I272" s="5">
        <v>0</v>
      </c>
      <c r="J272" s="5">
        <v>33380</v>
      </c>
      <c r="K272" s="5" t="s">
        <v>2303</v>
      </c>
    </row>
    <row r="273" spans="1:11" ht="15.75" customHeight="1" x14ac:dyDescent="0.2">
      <c r="A273" s="5" t="s">
        <v>485</v>
      </c>
      <c r="B273" s="5" t="s">
        <v>494</v>
      </c>
      <c r="C273" s="5" t="s">
        <v>495</v>
      </c>
      <c r="D273" s="5" t="s">
        <v>612</v>
      </c>
      <c r="E273" s="5" t="s">
        <v>1684</v>
      </c>
      <c r="F273" s="5" t="s">
        <v>2306</v>
      </c>
      <c r="G273" s="5" t="s">
        <v>612</v>
      </c>
      <c r="H273" s="5" t="s">
        <v>2307</v>
      </c>
      <c r="I273" s="5">
        <v>0</v>
      </c>
      <c r="J273" s="5">
        <v>27620</v>
      </c>
      <c r="K273" s="5" t="s">
        <v>2303</v>
      </c>
    </row>
    <row r="274" spans="1:11" ht="15.75" customHeight="1" x14ac:dyDescent="0.2">
      <c r="A274" s="5" t="s">
        <v>485</v>
      </c>
      <c r="B274" s="5" t="s">
        <v>494</v>
      </c>
      <c r="C274" s="5" t="s">
        <v>495</v>
      </c>
      <c r="D274" s="5" t="s">
        <v>612</v>
      </c>
      <c r="E274" s="5" t="s">
        <v>1684</v>
      </c>
      <c r="F274" s="5" t="s">
        <v>2299</v>
      </c>
      <c r="G274" s="5" t="s">
        <v>612</v>
      </c>
      <c r="H274" s="5" t="s">
        <v>2308</v>
      </c>
      <c r="I274" s="5">
        <v>20659.57</v>
      </c>
      <c r="J274" s="5">
        <v>35000</v>
      </c>
      <c r="K274" s="5" t="s">
        <v>2289</v>
      </c>
    </row>
    <row r="275" spans="1:11" ht="15.75" customHeight="1" x14ac:dyDescent="0.2">
      <c r="A275" s="5" t="s">
        <v>485</v>
      </c>
      <c r="B275" s="5" t="s">
        <v>494</v>
      </c>
      <c r="C275" s="5" t="s">
        <v>495</v>
      </c>
      <c r="D275" s="5" t="s">
        <v>612</v>
      </c>
      <c r="E275" s="5" t="s">
        <v>1967</v>
      </c>
      <c r="F275" s="5" t="s">
        <v>2309</v>
      </c>
      <c r="I275" s="5">
        <v>21600</v>
      </c>
      <c r="J275" s="5">
        <v>33000</v>
      </c>
      <c r="K275" s="5" t="s">
        <v>2289</v>
      </c>
    </row>
    <row r="276" spans="1:11" ht="15.75" customHeight="1" x14ac:dyDescent="0.2">
      <c r="A276" s="5" t="s">
        <v>485</v>
      </c>
      <c r="B276" s="5" t="s">
        <v>494</v>
      </c>
      <c r="C276" s="5" t="s">
        <v>495</v>
      </c>
      <c r="D276" s="5" t="s">
        <v>612</v>
      </c>
      <c r="E276" s="5" t="s">
        <v>1724</v>
      </c>
      <c r="F276" s="5" t="s">
        <v>2310</v>
      </c>
      <c r="G276" s="5" t="s">
        <v>612</v>
      </c>
      <c r="H276" s="5" t="s">
        <v>2311</v>
      </c>
      <c r="I276" s="5">
        <v>3071.87</v>
      </c>
      <c r="J276" s="5">
        <v>15000</v>
      </c>
      <c r="K276" s="5" t="s">
        <v>2289</v>
      </c>
    </row>
    <row r="277" spans="1:11" ht="15.75" customHeight="1" x14ac:dyDescent="0.2">
      <c r="A277" s="5" t="s">
        <v>485</v>
      </c>
      <c r="B277" s="5" t="s">
        <v>503</v>
      </c>
      <c r="C277" s="5" t="s">
        <v>504</v>
      </c>
      <c r="D277" s="5" t="s">
        <v>612</v>
      </c>
      <c r="E277" s="5" t="s">
        <v>607</v>
      </c>
      <c r="F277" s="5" t="s">
        <v>2312</v>
      </c>
      <c r="G277" s="5" t="s">
        <v>612</v>
      </c>
      <c r="H277" s="5" t="s">
        <v>2313</v>
      </c>
      <c r="I277" s="5">
        <v>132731.65</v>
      </c>
      <c r="J277" s="5">
        <v>300000</v>
      </c>
    </row>
    <row r="278" spans="1:11" ht="15.75" customHeight="1" x14ac:dyDescent="0.2">
      <c r="A278" s="5" t="s">
        <v>485</v>
      </c>
      <c r="B278" s="5" t="s">
        <v>503</v>
      </c>
      <c r="C278" s="5" t="s">
        <v>504</v>
      </c>
      <c r="D278" s="5" t="s">
        <v>612</v>
      </c>
      <c r="E278" s="5" t="s">
        <v>1734</v>
      </c>
      <c r="F278" s="5" t="s">
        <v>2314</v>
      </c>
      <c r="G278" s="5" t="s">
        <v>612</v>
      </c>
      <c r="H278" s="5" t="s">
        <v>2315</v>
      </c>
      <c r="I278" s="5">
        <v>130000</v>
      </c>
      <c r="J278" s="5">
        <v>300000</v>
      </c>
      <c r="K278" s="5" t="s">
        <v>2316</v>
      </c>
    </row>
    <row r="279" spans="1:11" ht="15.75" customHeight="1" x14ac:dyDescent="0.2">
      <c r="A279" s="5" t="s">
        <v>485</v>
      </c>
      <c r="B279" s="5" t="s">
        <v>503</v>
      </c>
      <c r="C279" s="5" t="s">
        <v>504</v>
      </c>
      <c r="D279" s="5" t="s">
        <v>612</v>
      </c>
      <c r="E279" s="5" t="s">
        <v>2134</v>
      </c>
      <c r="F279" s="5" t="s">
        <v>2317</v>
      </c>
      <c r="G279" s="5" t="s">
        <v>612</v>
      </c>
      <c r="H279" s="5" t="s">
        <v>2318</v>
      </c>
      <c r="I279" s="5">
        <v>14439.68</v>
      </c>
      <c r="J279" s="5">
        <v>30000</v>
      </c>
    </row>
    <row r="280" spans="1:11" ht="15.75" customHeight="1" x14ac:dyDescent="0.2">
      <c r="A280" s="5" t="s">
        <v>485</v>
      </c>
      <c r="B280" s="5" t="s">
        <v>511</v>
      </c>
      <c r="C280" s="5" t="s">
        <v>512</v>
      </c>
      <c r="D280" s="5" t="s">
        <v>612</v>
      </c>
      <c r="E280" s="5" t="s">
        <v>1734</v>
      </c>
      <c r="F280" s="5" t="s">
        <v>2319</v>
      </c>
      <c r="G280" s="5" t="s">
        <v>612</v>
      </c>
      <c r="H280" s="5" t="s">
        <v>2320</v>
      </c>
      <c r="I280" s="5">
        <v>357870.4</v>
      </c>
      <c r="J280" s="5">
        <v>2214088</v>
      </c>
    </row>
    <row r="281" spans="1:11" ht="15.75" customHeight="1" x14ac:dyDescent="0.2">
      <c r="A281" s="5" t="s">
        <v>485</v>
      </c>
      <c r="B281" s="5" t="s">
        <v>519</v>
      </c>
      <c r="C281" s="5" t="s">
        <v>520</v>
      </c>
      <c r="D281" s="5" t="s">
        <v>913</v>
      </c>
    </row>
    <row r="282" spans="1:11" ht="15.75" customHeight="1" x14ac:dyDescent="0.2">
      <c r="A282" s="5" t="s">
        <v>485</v>
      </c>
      <c r="B282" s="5" t="s">
        <v>519</v>
      </c>
      <c r="C282" s="5" t="s">
        <v>520</v>
      </c>
      <c r="D282" s="5" t="s">
        <v>913</v>
      </c>
    </row>
    <row r="283" spans="1:11" ht="15.75" customHeight="1" x14ac:dyDescent="0.2">
      <c r="A283" s="5" t="s">
        <v>485</v>
      </c>
      <c r="B283" s="5" t="s">
        <v>527</v>
      </c>
      <c r="C283" s="5" t="s">
        <v>528</v>
      </c>
      <c r="D283" s="5" t="s">
        <v>612</v>
      </c>
      <c r="E283" s="5" t="s">
        <v>1684</v>
      </c>
      <c r="F283" s="5" t="s">
        <v>2321</v>
      </c>
      <c r="G283" s="5" t="s">
        <v>612</v>
      </c>
      <c r="H283" s="5" t="s">
        <v>2322</v>
      </c>
      <c r="I283" s="5">
        <v>59512.83</v>
      </c>
      <c r="J283" s="5">
        <v>277680</v>
      </c>
    </row>
    <row r="284" spans="1:11" ht="15.75" customHeight="1" x14ac:dyDescent="0.2">
      <c r="A284" s="5" t="s">
        <v>485</v>
      </c>
      <c r="B284" s="5" t="s">
        <v>537</v>
      </c>
      <c r="C284" s="5" t="s">
        <v>538</v>
      </c>
      <c r="D284" s="5" t="s">
        <v>913</v>
      </c>
    </row>
    <row r="285" spans="1:11" ht="15.75" customHeight="1" x14ac:dyDescent="0.2">
      <c r="A285" s="5" t="s">
        <v>485</v>
      </c>
      <c r="B285" s="5" t="s">
        <v>546</v>
      </c>
      <c r="C285" s="5" t="s">
        <v>547</v>
      </c>
      <c r="D285" s="5" t="s">
        <v>913</v>
      </c>
    </row>
    <row r="286" spans="1:11" ht="15.75" customHeight="1" x14ac:dyDescent="0.2">
      <c r="A286" t="s">
        <v>70</v>
      </c>
      <c r="B286" t="s">
        <v>555</v>
      </c>
      <c r="C286" t="s">
        <v>556</v>
      </c>
      <c r="D286" t="s">
        <v>612</v>
      </c>
      <c r="E286" t="s">
        <v>1684</v>
      </c>
      <c r="F286" t="s">
        <v>2323</v>
      </c>
      <c r="G286" t="s">
        <v>612</v>
      </c>
      <c r="H286" t="s">
        <v>2324</v>
      </c>
      <c r="I286">
        <v>0</v>
      </c>
      <c r="J286">
        <v>0</v>
      </c>
      <c r="K286" t="s">
        <v>2325</v>
      </c>
    </row>
    <row r="287" spans="1:11" ht="15.75" customHeight="1" x14ac:dyDescent="0.2">
      <c r="A287" t="s">
        <v>70</v>
      </c>
      <c r="B287" t="s">
        <v>555</v>
      </c>
      <c r="C287" t="s">
        <v>556</v>
      </c>
      <c r="D287" t="s">
        <v>612</v>
      </c>
      <c r="E287" t="s">
        <v>1684</v>
      </c>
      <c r="F287" t="s">
        <v>2326</v>
      </c>
      <c r="G287" t="s">
        <v>612</v>
      </c>
      <c r="H287" t="s">
        <v>2327</v>
      </c>
      <c r="I287">
        <v>0</v>
      </c>
      <c r="J287">
        <v>0</v>
      </c>
      <c r="K287" t="s">
        <v>2328</v>
      </c>
    </row>
    <row r="288" spans="1:11" ht="15.75" customHeight="1" x14ac:dyDescent="0.2">
      <c r="A288" t="s">
        <v>70</v>
      </c>
      <c r="B288" t="s">
        <v>555</v>
      </c>
      <c r="C288" t="s">
        <v>556</v>
      </c>
      <c r="D288" t="s">
        <v>612</v>
      </c>
      <c r="E288" t="s">
        <v>1684</v>
      </c>
      <c r="F288" t="s">
        <v>2329</v>
      </c>
      <c r="G288" t="s">
        <v>612</v>
      </c>
      <c r="H288" t="s">
        <v>2330</v>
      </c>
      <c r="I288">
        <v>149263.59</v>
      </c>
      <c r="J288">
        <v>149263.59</v>
      </c>
      <c r="K288" t="s">
        <v>2331</v>
      </c>
    </row>
    <row r="289" spans="1:11" ht="15.75" customHeight="1" x14ac:dyDescent="0.2">
      <c r="A289" t="s">
        <v>70</v>
      </c>
      <c r="B289" t="s">
        <v>555</v>
      </c>
      <c r="C289" t="s">
        <v>556</v>
      </c>
      <c r="D289" t="s">
        <v>612</v>
      </c>
      <c r="E289" t="s">
        <v>1684</v>
      </c>
      <c r="F289" t="s">
        <v>2332</v>
      </c>
      <c r="G289" t="s">
        <v>612</v>
      </c>
      <c r="H289" t="s">
        <v>2333</v>
      </c>
      <c r="I289">
        <v>206242.52</v>
      </c>
      <c r="J289">
        <v>206242.52</v>
      </c>
      <c r="K289" t="s">
        <v>2334</v>
      </c>
    </row>
    <row r="290" spans="1:11" ht="15.75" customHeight="1" x14ac:dyDescent="0.2">
      <c r="A290" t="s">
        <v>70</v>
      </c>
      <c r="B290" t="s">
        <v>555</v>
      </c>
      <c r="C290" t="s">
        <v>556</v>
      </c>
      <c r="D290" t="s">
        <v>612</v>
      </c>
      <c r="E290" t="s">
        <v>1684</v>
      </c>
      <c r="F290" t="s">
        <v>2335</v>
      </c>
      <c r="G290" t="s">
        <v>612</v>
      </c>
      <c r="H290" t="s">
        <v>2336</v>
      </c>
      <c r="I290">
        <v>0</v>
      </c>
      <c r="J290">
        <v>0</v>
      </c>
      <c r="K290" t="s">
        <v>2337</v>
      </c>
    </row>
    <row r="291" spans="1:11" ht="15.75" customHeight="1" x14ac:dyDescent="0.2">
      <c r="A291" t="s">
        <v>70</v>
      </c>
      <c r="B291" t="s">
        <v>555</v>
      </c>
      <c r="C291" t="s">
        <v>556</v>
      </c>
      <c r="D291" t="s">
        <v>612</v>
      </c>
      <c r="E291" t="s">
        <v>1684</v>
      </c>
      <c r="F291" t="s">
        <v>2338</v>
      </c>
      <c r="G291" t="s">
        <v>612</v>
      </c>
      <c r="H291" t="s">
        <v>2339</v>
      </c>
      <c r="I291">
        <v>54386.559999999998</v>
      </c>
      <c r="J291">
        <v>54386.559999999998</v>
      </c>
      <c r="K291" t="s">
        <v>2340</v>
      </c>
    </row>
    <row r="292" spans="1:11" ht="15.75" customHeight="1" x14ac:dyDescent="0.2">
      <c r="A292" t="s">
        <v>70</v>
      </c>
      <c r="B292" t="s">
        <v>555</v>
      </c>
      <c r="C292" t="s">
        <v>556</v>
      </c>
      <c r="D292" t="s">
        <v>612</v>
      </c>
      <c r="E292" t="s">
        <v>1684</v>
      </c>
      <c r="F292" t="s">
        <v>2341</v>
      </c>
      <c r="G292" t="s">
        <v>612</v>
      </c>
      <c r="H292" t="s">
        <v>2342</v>
      </c>
      <c r="I292">
        <v>0</v>
      </c>
      <c r="J292">
        <v>0</v>
      </c>
      <c r="K292" t="s">
        <v>2343</v>
      </c>
    </row>
    <row r="293" spans="1:11" ht="15.75" customHeight="1" x14ac:dyDescent="0.2">
      <c r="A293" t="s">
        <v>276</v>
      </c>
      <c r="B293" t="s">
        <v>562</v>
      </c>
      <c r="C293" t="s">
        <v>563</v>
      </c>
      <c r="D293" t="s">
        <v>612</v>
      </c>
      <c r="E293" t="s">
        <v>1724</v>
      </c>
      <c r="F293" t="s">
        <v>2344</v>
      </c>
      <c r="G293" t="s">
        <v>612</v>
      </c>
      <c r="H293" t="s">
        <v>2345</v>
      </c>
      <c r="I293">
        <v>40</v>
      </c>
      <c r="J293">
        <v>4000</v>
      </c>
    </row>
    <row r="294" spans="1:11" ht="15.75" customHeight="1" x14ac:dyDescent="0.2">
      <c r="A294" t="s">
        <v>276</v>
      </c>
      <c r="B294" t="s">
        <v>562</v>
      </c>
      <c r="C294" t="s">
        <v>563</v>
      </c>
      <c r="D294" t="s">
        <v>612</v>
      </c>
      <c r="E294" t="s">
        <v>1724</v>
      </c>
      <c r="F294" t="s">
        <v>2344</v>
      </c>
      <c r="G294" t="s">
        <v>612</v>
      </c>
      <c r="H294" t="s">
        <v>2346</v>
      </c>
      <c r="I294">
        <v>30</v>
      </c>
      <c r="J294">
        <v>3000</v>
      </c>
    </row>
    <row r="295" spans="1:11" ht="15.75" customHeight="1" x14ac:dyDescent="0.2">
      <c r="A295" t="s">
        <v>276</v>
      </c>
      <c r="B295" t="s">
        <v>562</v>
      </c>
      <c r="C295" t="s">
        <v>563</v>
      </c>
      <c r="D295" t="s">
        <v>612</v>
      </c>
      <c r="E295" t="s">
        <v>1724</v>
      </c>
      <c r="F295" t="s">
        <v>2344</v>
      </c>
      <c r="G295" t="s">
        <v>612</v>
      </c>
      <c r="H295" t="s">
        <v>2347</v>
      </c>
      <c r="I295">
        <v>40</v>
      </c>
      <c r="J295">
        <v>4000</v>
      </c>
    </row>
    <row r="296" spans="1:11" ht="15.75" customHeight="1" x14ac:dyDescent="0.2">
      <c r="A296" t="s">
        <v>276</v>
      </c>
      <c r="B296" t="s">
        <v>562</v>
      </c>
      <c r="C296" t="s">
        <v>563</v>
      </c>
      <c r="D296" t="s">
        <v>612</v>
      </c>
      <c r="E296" t="s">
        <v>1724</v>
      </c>
      <c r="F296" t="s">
        <v>2344</v>
      </c>
      <c r="G296" t="s">
        <v>612</v>
      </c>
      <c r="H296" t="s">
        <v>2348</v>
      </c>
      <c r="I296">
        <v>40</v>
      </c>
      <c r="J296">
        <v>4000</v>
      </c>
    </row>
    <row r="297" spans="1:11" ht="15.75" customHeight="1" x14ac:dyDescent="0.2">
      <c r="A297" t="s">
        <v>276</v>
      </c>
      <c r="B297" t="s">
        <v>562</v>
      </c>
      <c r="C297" t="s">
        <v>563</v>
      </c>
      <c r="D297" t="s">
        <v>612</v>
      </c>
      <c r="E297" t="s">
        <v>1724</v>
      </c>
      <c r="F297" t="s">
        <v>2349</v>
      </c>
      <c r="G297" t="s">
        <v>612</v>
      </c>
      <c r="H297" t="s">
        <v>2350</v>
      </c>
      <c r="I297">
        <v>30</v>
      </c>
      <c r="J297">
        <v>3000</v>
      </c>
    </row>
    <row r="298" spans="1:11" ht="15.75" customHeight="1" x14ac:dyDescent="0.2">
      <c r="A298" t="s">
        <v>276</v>
      </c>
      <c r="B298" t="s">
        <v>562</v>
      </c>
      <c r="C298" t="s">
        <v>563</v>
      </c>
      <c r="D298" t="s">
        <v>612</v>
      </c>
      <c r="E298" t="s">
        <v>1724</v>
      </c>
      <c r="F298" t="s">
        <v>2351</v>
      </c>
      <c r="G298" t="s">
        <v>612</v>
      </c>
      <c r="H298" t="s">
        <v>2352</v>
      </c>
      <c r="I298">
        <v>30</v>
      </c>
      <c r="J298">
        <v>3000</v>
      </c>
    </row>
    <row r="299" spans="1:11" ht="15.75" customHeight="1" x14ac:dyDescent="0.2">
      <c r="A299" t="s">
        <v>276</v>
      </c>
      <c r="B299" t="s">
        <v>562</v>
      </c>
      <c r="C299" t="s">
        <v>563</v>
      </c>
      <c r="D299" t="s">
        <v>612</v>
      </c>
      <c r="E299" t="s">
        <v>1724</v>
      </c>
      <c r="F299" t="s">
        <v>2344</v>
      </c>
      <c r="G299" t="s">
        <v>612</v>
      </c>
      <c r="H299" t="s">
        <v>2353</v>
      </c>
      <c r="I299">
        <v>40</v>
      </c>
      <c r="J299">
        <v>4000</v>
      </c>
    </row>
    <row r="300" spans="1:11" ht="15.75" customHeight="1" x14ac:dyDescent="0.2">
      <c r="A300" t="s">
        <v>276</v>
      </c>
      <c r="B300" t="s">
        <v>562</v>
      </c>
      <c r="C300" t="s">
        <v>563</v>
      </c>
      <c r="D300" t="s">
        <v>612</v>
      </c>
      <c r="E300" t="s">
        <v>1724</v>
      </c>
      <c r="F300" t="s">
        <v>2344</v>
      </c>
      <c r="G300" t="s">
        <v>612</v>
      </c>
      <c r="H300" t="s">
        <v>2354</v>
      </c>
      <c r="I300">
        <v>30</v>
      </c>
      <c r="J300">
        <v>3000</v>
      </c>
    </row>
    <row r="301" spans="1:11" ht="15.75" customHeight="1" x14ac:dyDescent="0.2">
      <c r="A301" t="s">
        <v>276</v>
      </c>
      <c r="B301" t="s">
        <v>562</v>
      </c>
      <c r="C301" t="s">
        <v>563</v>
      </c>
      <c r="D301" t="s">
        <v>612</v>
      </c>
      <c r="E301" t="s">
        <v>2194</v>
      </c>
      <c r="F301" t="s">
        <v>2355</v>
      </c>
      <c r="G301" t="s">
        <v>612</v>
      </c>
      <c r="H301" t="s">
        <v>2356</v>
      </c>
      <c r="I301">
        <v>30</v>
      </c>
      <c r="J301">
        <v>3000</v>
      </c>
    </row>
    <row r="302" spans="1:11" ht="15.75" customHeight="1" x14ac:dyDescent="0.2">
      <c r="A302" t="s">
        <v>276</v>
      </c>
      <c r="B302" t="s">
        <v>568</v>
      </c>
      <c r="C302" t="s">
        <v>569</v>
      </c>
      <c r="D302" t="s">
        <v>913</v>
      </c>
    </row>
    <row r="303" spans="1:11" ht="15.75" customHeight="1" x14ac:dyDescent="0.2">
      <c r="A303" t="s">
        <v>276</v>
      </c>
      <c r="B303" t="s">
        <v>574</v>
      </c>
      <c r="C303" t="s">
        <v>575</v>
      </c>
      <c r="D303" t="s">
        <v>913</v>
      </c>
    </row>
    <row r="304" spans="1:11"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00"/>
  <sheetViews>
    <sheetView workbookViewId="0"/>
  </sheetViews>
  <sheetFormatPr baseColWidth="10" defaultColWidth="14.5" defaultRowHeight="15" customHeight="1" x14ac:dyDescent="0.2"/>
  <cols>
    <col min="1" max="26" width="8.6640625" customWidth="1"/>
  </cols>
  <sheetData>
    <row r="1" spans="1:9" x14ac:dyDescent="0.2">
      <c r="A1" s="1" t="s">
        <v>0</v>
      </c>
      <c r="B1" s="1" t="s">
        <v>1</v>
      </c>
      <c r="C1" s="1" t="s">
        <v>2</v>
      </c>
      <c r="D1" s="1" t="s">
        <v>2357</v>
      </c>
      <c r="E1" s="1" t="s">
        <v>2358</v>
      </c>
      <c r="F1" s="1" t="s">
        <v>2359</v>
      </c>
      <c r="G1" s="1" t="s">
        <v>1683</v>
      </c>
      <c r="H1" s="1" t="s">
        <v>2360</v>
      </c>
      <c r="I1" s="1" t="s">
        <v>16</v>
      </c>
    </row>
    <row r="2" spans="1:9" x14ac:dyDescent="0.2">
      <c r="A2" s="5" t="s">
        <v>26</v>
      </c>
      <c r="B2" s="5" t="s">
        <v>27</v>
      </c>
      <c r="C2" s="5" t="s">
        <v>28</v>
      </c>
      <c r="D2" s="5" t="s">
        <v>612</v>
      </c>
      <c r="E2" s="5" t="s">
        <v>2361</v>
      </c>
      <c r="F2" s="5" t="s">
        <v>2362</v>
      </c>
      <c r="G2" s="5">
        <v>10000</v>
      </c>
      <c r="H2" s="5" t="s">
        <v>2363</v>
      </c>
      <c r="I2" s="5" t="s">
        <v>2364</v>
      </c>
    </row>
    <row r="3" spans="1:9" x14ac:dyDescent="0.2">
      <c r="A3" s="5" t="s">
        <v>26</v>
      </c>
      <c r="B3" s="5" t="s">
        <v>40</v>
      </c>
      <c r="C3" s="5" t="s">
        <v>41</v>
      </c>
      <c r="D3" s="5" t="s">
        <v>913</v>
      </c>
    </row>
    <row r="4" spans="1:9" x14ac:dyDescent="0.2">
      <c r="A4" s="5" t="s">
        <v>26</v>
      </c>
      <c r="B4" s="5" t="s">
        <v>40</v>
      </c>
      <c r="C4" s="5" t="s">
        <v>41</v>
      </c>
      <c r="D4" s="5" t="s">
        <v>913</v>
      </c>
    </row>
    <row r="5" spans="1:9" x14ac:dyDescent="0.2">
      <c r="A5" s="5" t="s">
        <v>26</v>
      </c>
      <c r="B5" s="5" t="s">
        <v>50</v>
      </c>
      <c r="C5" s="5" t="s">
        <v>51</v>
      </c>
      <c r="D5" s="5" t="s">
        <v>913</v>
      </c>
    </row>
    <row r="6" spans="1:9" x14ac:dyDescent="0.2">
      <c r="A6" s="5" t="s">
        <v>26</v>
      </c>
      <c r="B6" s="5" t="s">
        <v>61</v>
      </c>
      <c r="C6" s="5" t="s">
        <v>62</v>
      </c>
      <c r="D6" s="5" t="s">
        <v>612</v>
      </c>
      <c r="E6" s="5" t="s">
        <v>2361</v>
      </c>
      <c r="F6" s="5" t="s">
        <v>2365</v>
      </c>
      <c r="G6" s="5">
        <v>45700</v>
      </c>
      <c r="H6" s="5" t="s">
        <v>2366</v>
      </c>
    </row>
    <row r="7" spans="1:9" x14ac:dyDescent="0.2">
      <c r="A7" s="5" t="s">
        <v>70</v>
      </c>
      <c r="B7" s="5" t="s">
        <v>71</v>
      </c>
      <c r="C7" s="5" t="s">
        <v>72</v>
      </c>
      <c r="D7" s="5" t="s">
        <v>612</v>
      </c>
      <c r="E7" s="5" t="s">
        <v>2361</v>
      </c>
      <c r="F7" s="5" t="s">
        <v>2367</v>
      </c>
      <c r="G7" s="5">
        <v>29000</v>
      </c>
      <c r="H7" s="5" t="s">
        <v>2368</v>
      </c>
      <c r="I7" s="5" t="s">
        <v>2369</v>
      </c>
    </row>
    <row r="8" spans="1:9" x14ac:dyDescent="0.2">
      <c r="A8" s="5" t="s">
        <v>70</v>
      </c>
      <c r="B8" s="5" t="s">
        <v>71</v>
      </c>
      <c r="C8" s="5" t="s">
        <v>72</v>
      </c>
      <c r="D8" s="5" t="s">
        <v>612</v>
      </c>
      <c r="E8" s="5" t="s">
        <v>2361</v>
      </c>
      <c r="F8" s="5" t="s">
        <v>2370</v>
      </c>
      <c r="G8" s="5">
        <v>58000</v>
      </c>
      <c r="H8" s="5" t="s">
        <v>2371</v>
      </c>
      <c r="I8" s="5" t="s">
        <v>2372</v>
      </c>
    </row>
    <row r="9" spans="1:9" x14ac:dyDescent="0.2">
      <c r="A9" s="5" t="s">
        <v>70</v>
      </c>
      <c r="B9" s="5" t="s">
        <v>71</v>
      </c>
      <c r="C9" s="5" t="s">
        <v>72</v>
      </c>
      <c r="D9" s="5" t="s">
        <v>612</v>
      </c>
      <c r="E9" s="5" t="s">
        <v>2373</v>
      </c>
      <c r="F9" s="5" t="s">
        <v>2374</v>
      </c>
      <c r="G9" s="5">
        <v>0</v>
      </c>
      <c r="H9" s="5" t="s">
        <v>2375</v>
      </c>
      <c r="I9" s="5" t="s">
        <v>2376</v>
      </c>
    </row>
    <row r="10" spans="1:9" x14ac:dyDescent="0.2">
      <c r="A10" s="5" t="s">
        <v>70</v>
      </c>
      <c r="B10" s="5" t="s">
        <v>71</v>
      </c>
      <c r="C10" s="5" t="s">
        <v>72</v>
      </c>
      <c r="D10" s="5" t="s">
        <v>612</v>
      </c>
      <c r="E10" s="5" t="s">
        <v>2361</v>
      </c>
      <c r="F10" s="5" t="s">
        <v>2377</v>
      </c>
      <c r="G10" s="5">
        <v>130000</v>
      </c>
      <c r="H10" s="5" t="s">
        <v>2378</v>
      </c>
      <c r="I10" s="5" t="s">
        <v>2379</v>
      </c>
    </row>
    <row r="11" spans="1:9" x14ac:dyDescent="0.2">
      <c r="A11" s="5" t="s">
        <v>70</v>
      </c>
      <c r="B11" s="5" t="s">
        <v>82</v>
      </c>
      <c r="C11" s="5" t="s">
        <v>83</v>
      </c>
      <c r="D11" s="5" t="s">
        <v>612</v>
      </c>
      <c r="E11" s="5" t="s">
        <v>2361</v>
      </c>
      <c r="F11" s="5" t="s">
        <v>2380</v>
      </c>
      <c r="G11" s="5">
        <v>0</v>
      </c>
      <c r="H11" s="5" t="s">
        <v>2381</v>
      </c>
      <c r="I11" s="5" t="s">
        <v>2382</v>
      </c>
    </row>
    <row r="12" spans="1:9" x14ac:dyDescent="0.2">
      <c r="A12" s="5" t="s">
        <v>70</v>
      </c>
      <c r="B12" s="5" t="s">
        <v>82</v>
      </c>
      <c r="C12" s="5" t="s">
        <v>83</v>
      </c>
      <c r="D12" s="5" t="s">
        <v>612</v>
      </c>
      <c r="E12" s="5" t="s">
        <v>2361</v>
      </c>
      <c r="F12" s="5" t="s">
        <v>2383</v>
      </c>
      <c r="G12" s="5">
        <v>11000</v>
      </c>
      <c r="H12" s="5" t="s">
        <v>2384</v>
      </c>
    </row>
    <row r="13" spans="1:9" x14ac:dyDescent="0.2">
      <c r="A13" s="5" t="s">
        <v>70</v>
      </c>
      <c r="B13" s="5" t="s">
        <v>82</v>
      </c>
      <c r="C13" s="5" t="s">
        <v>83</v>
      </c>
      <c r="D13" s="5" t="s">
        <v>612</v>
      </c>
      <c r="E13" s="5" t="s">
        <v>2361</v>
      </c>
      <c r="F13" s="5" t="s">
        <v>2385</v>
      </c>
      <c r="G13" s="5">
        <v>53000</v>
      </c>
      <c r="H13" s="5" t="s">
        <v>2386</v>
      </c>
    </row>
    <row r="14" spans="1:9" x14ac:dyDescent="0.2">
      <c r="A14" s="5" t="s">
        <v>70</v>
      </c>
      <c r="B14" s="5" t="s">
        <v>82</v>
      </c>
      <c r="C14" s="5" t="s">
        <v>83</v>
      </c>
      <c r="D14" s="5" t="s">
        <v>612</v>
      </c>
      <c r="E14" s="5" t="s">
        <v>2361</v>
      </c>
      <c r="F14" s="5" t="s">
        <v>2387</v>
      </c>
      <c r="G14" s="5">
        <v>8500</v>
      </c>
      <c r="H14" s="5" t="s">
        <v>2388</v>
      </c>
    </row>
    <row r="15" spans="1:9" x14ac:dyDescent="0.2">
      <c r="A15" s="5" t="s">
        <v>70</v>
      </c>
      <c r="B15" s="5" t="s">
        <v>93</v>
      </c>
      <c r="C15" s="5" t="s">
        <v>94</v>
      </c>
      <c r="D15" s="5" t="s">
        <v>612</v>
      </c>
      <c r="E15" s="5" t="s">
        <v>2361</v>
      </c>
      <c r="F15" s="5" t="s">
        <v>2389</v>
      </c>
      <c r="G15" s="5">
        <v>30334.5</v>
      </c>
      <c r="H15" s="5" t="s">
        <v>2390</v>
      </c>
      <c r="I15" s="5" t="s">
        <v>2391</v>
      </c>
    </row>
    <row r="16" spans="1:9" x14ac:dyDescent="0.2">
      <c r="A16" s="5" t="s">
        <v>70</v>
      </c>
      <c r="B16" s="5" t="s">
        <v>93</v>
      </c>
      <c r="C16" s="5" t="s">
        <v>94</v>
      </c>
      <c r="D16" s="5" t="s">
        <v>612</v>
      </c>
      <c r="E16" s="5" t="s">
        <v>2361</v>
      </c>
      <c r="F16" s="5" t="s">
        <v>2392</v>
      </c>
      <c r="G16" s="5">
        <v>61245.09</v>
      </c>
      <c r="H16" s="5" t="s">
        <v>2393</v>
      </c>
      <c r="I16" s="5" t="s">
        <v>2394</v>
      </c>
    </row>
    <row r="17" spans="1:9" x14ac:dyDescent="0.2">
      <c r="A17" s="5" t="s">
        <v>70</v>
      </c>
      <c r="B17" s="5" t="s">
        <v>93</v>
      </c>
      <c r="C17" s="5" t="s">
        <v>94</v>
      </c>
      <c r="D17" s="5" t="s">
        <v>612</v>
      </c>
      <c r="E17" s="5" t="s">
        <v>2361</v>
      </c>
      <c r="F17" s="5" t="s">
        <v>2395</v>
      </c>
      <c r="G17" s="5">
        <v>6500</v>
      </c>
      <c r="H17" s="5" t="s">
        <v>2396</v>
      </c>
      <c r="I17" s="5" t="s">
        <v>2397</v>
      </c>
    </row>
    <row r="18" spans="1:9" x14ac:dyDescent="0.2">
      <c r="A18" s="5" t="s">
        <v>70</v>
      </c>
      <c r="B18" s="5" t="s">
        <v>102</v>
      </c>
      <c r="C18" s="5" t="s">
        <v>103</v>
      </c>
      <c r="D18" s="5" t="s">
        <v>612</v>
      </c>
      <c r="E18" s="5" t="s">
        <v>2361</v>
      </c>
      <c r="F18" s="5" t="s">
        <v>2398</v>
      </c>
      <c r="G18" s="5">
        <v>10000</v>
      </c>
      <c r="H18" s="5" t="s">
        <v>2399</v>
      </c>
      <c r="I18" s="5" t="s">
        <v>2400</v>
      </c>
    </row>
    <row r="19" spans="1:9" x14ac:dyDescent="0.2">
      <c r="A19" s="5" t="s">
        <v>70</v>
      </c>
      <c r="B19" s="5" t="s">
        <v>112</v>
      </c>
      <c r="C19" s="5" t="s">
        <v>113</v>
      </c>
      <c r="D19" s="5" t="s">
        <v>612</v>
      </c>
      <c r="E19" s="5" t="s">
        <v>2361</v>
      </c>
      <c r="F19" s="5" t="s">
        <v>2401</v>
      </c>
      <c r="G19" s="5">
        <v>30000</v>
      </c>
      <c r="H19" s="5" t="s">
        <v>2402</v>
      </c>
    </row>
    <row r="20" spans="1:9" x14ac:dyDescent="0.2">
      <c r="A20" s="5" t="s">
        <v>70</v>
      </c>
      <c r="B20" s="5" t="s">
        <v>112</v>
      </c>
      <c r="C20" s="5" t="s">
        <v>113</v>
      </c>
      <c r="D20" s="5" t="s">
        <v>612</v>
      </c>
      <c r="E20" s="5" t="s">
        <v>2361</v>
      </c>
      <c r="F20" s="5" t="s">
        <v>2403</v>
      </c>
      <c r="G20" s="5">
        <v>500</v>
      </c>
      <c r="H20" s="5" t="s">
        <v>2404</v>
      </c>
      <c r="I20" s="5" t="s">
        <v>2405</v>
      </c>
    </row>
    <row r="21" spans="1:9" ht="15.75" customHeight="1" x14ac:dyDescent="0.2">
      <c r="A21" s="5" t="s">
        <v>70</v>
      </c>
      <c r="B21" s="5" t="s">
        <v>112</v>
      </c>
      <c r="C21" s="5" t="s">
        <v>113</v>
      </c>
      <c r="D21" s="5" t="s">
        <v>612</v>
      </c>
      <c r="E21" s="5" t="s">
        <v>2361</v>
      </c>
      <c r="F21" s="5" t="s">
        <v>2406</v>
      </c>
      <c r="G21" s="5">
        <v>35000</v>
      </c>
      <c r="H21" s="5" t="s">
        <v>2407</v>
      </c>
    </row>
    <row r="22" spans="1:9" ht="15.75" customHeight="1" x14ac:dyDescent="0.2">
      <c r="A22" s="5" t="s">
        <v>70</v>
      </c>
      <c r="B22" s="5" t="s">
        <v>123</v>
      </c>
      <c r="C22" s="5" t="s">
        <v>124</v>
      </c>
      <c r="D22" s="5" t="s">
        <v>612</v>
      </c>
      <c r="E22" s="5" t="s">
        <v>2361</v>
      </c>
      <c r="F22" s="5" t="s">
        <v>2408</v>
      </c>
      <c r="G22" s="5">
        <v>100</v>
      </c>
      <c r="H22" s="5" t="s">
        <v>2409</v>
      </c>
      <c r="I22" s="5" t="s">
        <v>2410</v>
      </c>
    </row>
    <row r="23" spans="1:9" ht="15.75" customHeight="1" x14ac:dyDescent="0.2">
      <c r="A23" s="5" t="s">
        <v>70</v>
      </c>
      <c r="B23" s="5" t="s">
        <v>123</v>
      </c>
      <c r="C23" s="5" t="s">
        <v>124</v>
      </c>
      <c r="D23" s="5" t="s">
        <v>612</v>
      </c>
      <c r="E23" s="5" t="s">
        <v>2361</v>
      </c>
      <c r="F23" s="5" t="s">
        <v>2411</v>
      </c>
      <c r="G23" s="5">
        <v>100</v>
      </c>
      <c r="H23" s="5" t="s">
        <v>2412</v>
      </c>
      <c r="I23" s="5" t="s">
        <v>2410</v>
      </c>
    </row>
    <row r="24" spans="1:9" ht="15.75" customHeight="1" x14ac:dyDescent="0.2">
      <c r="A24" s="5" t="s">
        <v>70</v>
      </c>
      <c r="B24" s="5" t="s">
        <v>123</v>
      </c>
      <c r="C24" s="5" t="s">
        <v>124</v>
      </c>
      <c r="D24" s="5" t="s">
        <v>612</v>
      </c>
      <c r="E24" s="5" t="s">
        <v>2361</v>
      </c>
      <c r="F24" s="5" t="s">
        <v>2413</v>
      </c>
      <c r="G24" s="5">
        <v>1000</v>
      </c>
      <c r="H24" s="5" t="s">
        <v>2414</v>
      </c>
      <c r="I24" s="5" t="s">
        <v>2410</v>
      </c>
    </row>
    <row r="25" spans="1:9" ht="15.75" customHeight="1" x14ac:dyDescent="0.2">
      <c r="A25" s="5" t="s">
        <v>70</v>
      </c>
      <c r="B25" s="5" t="s">
        <v>123</v>
      </c>
      <c r="C25" s="5" t="s">
        <v>124</v>
      </c>
      <c r="D25" s="5" t="s">
        <v>612</v>
      </c>
      <c r="E25" s="5" t="s">
        <v>2361</v>
      </c>
      <c r="F25" s="5" t="s">
        <v>2415</v>
      </c>
      <c r="G25" s="5">
        <v>100</v>
      </c>
      <c r="H25" s="5" t="s">
        <v>2416</v>
      </c>
      <c r="I25" s="5" t="s">
        <v>2410</v>
      </c>
    </row>
    <row r="26" spans="1:9" ht="15.75" customHeight="1" x14ac:dyDescent="0.2">
      <c r="A26" s="5" t="s">
        <v>70</v>
      </c>
      <c r="B26" s="5" t="s">
        <v>123</v>
      </c>
      <c r="C26" s="5" t="s">
        <v>124</v>
      </c>
      <c r="D26" s="5" t="s">
        <v>612</v>
      </c>
      <c r="E26" s="5" t="s">
        <v>2361</v>
      </c>
      <c r="F26" s="5" t="s">
        <v>2417</v>
      </c>
      <c r="G26" s="5">
        <v>100</v>
      </c>
      <c r="H26" s="5" t="s">
        <v>2409</v>
      </c>
      <c r="I26" s="5" t="s">
        <v>2410</v>
      </c>
    </row>
    <row r="27" spans="1:9" ht="15.75" customHeight="1" x14ac:dyDescent="0.2">
      <c r="A27" s="5" t="s">
        <v>70</v>
      </c>
      <c r="B27" s="5" t="s">
        <v>123</v>
      </c>
      <c r="C27" s="5" t="s">
        <v>124</v>
      </c>
      <c r="D27" s="5" t="s">
        <v>612</v>
      </c>
      <c r="E27" s="5" t="s">
        <v>2361</v>
      </c>
      <c r="F27" s="5" t="s">
        <v>2418</v>
      </c>
      <c r="G27" s="5">
        <v>0</v>
      </c>
      <c r="H27" s="5" t="s">
        <v>2416</v>
      </c>
      <c r="I27" s="5" t="s">
        <v>2419</v>
      </c>
    </row>
    <row r="28" spans="1:9" ht="15.75" customHeight="1" x14ac:dyDescent="0.2">
      <c r="A28" s="5" t="s">
        <v>70</v>
      </c>
      <c r="B28" s="5" t="s">
        <v>134</v>
      </c>
      <c r="C28" s="5" t="s">
        <v>135</v>
      </c>
      <c r="D28" s="5" t="s">
        <v>612</v>
      </c>
      <c r="E28" s="5" t="s">
        <v>2361</v>
      </c>
      <c r="F28" s="5" t="s">
        <v>2420</v>
      </c>
      <c r="G28" s="5">
        <v>500</v>
      </c>
      <c r="H28" s="5" t="s">
        <v>2421</v>
      </c>
      <c r="I28" s="5" t="s">
        <v>2422</v>
      </c>
    </row>
    <row r="29" spans="1:9" ht="15.75" customHeight="1" x14ac:dyDescent="0.2">
      <c r="A29" s="5" t="s">
        <v>70</v>
      </c>
      <c r="B29" s="5" t="s">
        <v>134</v>
      </c>
      <c r="C29" s="5" t="s">
        <v>135</v>
      </c>
      <c r="D29" s="5" t="s">
        <v>612</v>
      </c>
      <c r="E29" s="5" t="s">
        <v>2361</v>
      </c>
      <c r="F29" s="5" t="s">
        <v>2423</v>
      </c>
      <c r="G29" s="5">
        <v>12340</v>
      </c>
      <c r="H29" s="5" t="s">
        <v>2424</v>
      </c>
      <c r="I29" s="5" t="s">
        <v>2422</v>
      </c>
    </row>
    <row r="30" spans="1:9" ht="15.75" customHeight="1" x14ac:dyDescent="0.2">
      <c r="A30" s="5" t="s">
        <v>70</v>
      </c>
      <c r="B30" s="5" t="s">
        <v>134</v>
      </c>
      <c r="C30" s="5" t="s">
        <v>135</v>
      </c>
      <c r="D30" s="5" t="s">
        <v>612</v>
      </c>
      <c r="E30" s="5" t="s">
        <v>2361</v>
      </c>
      <c r="F30" s="5" t="s">
        <v>2425</v>
      </c>
      <c r="G30" s="5">
        <v>1000</v>
      </c>
      <c r="H30" s="5" t="s">
        <v>2426</v>
      </c>
      <c r="I30" s="5" t="s">
        <v>2422</v>
      </c>
    </row>
    <row r="31" spans="1:9" ht="15.75" customHeight="1" x14ac:dyDescent="0.2">
      <c r="A31" s="5" t="s">
        <v>70</v>
      </c>
      <c r="B31" s="5" t="s">
        <v>134</v>
      </c>
      <c r="C31" s="5" t="s">
        <v>135</v>
      </c>
      <c r="D31" s="5" t="s">
        <v>612</v>
      </c>
      <c r="E31" s="5" t="s">
        <v>2361</v>
      </c>
      <c r="F31" s="5" t="s">
        <v>2427</v>
      </c>
      <c r="G31" s="5">
        <v>38450</v>
      </c>
      <c r="H31" s="5" t="s">
        <v>2428</v>
      </c>
      <c r="I31" s="5" t="s">
        <v>2422</v>
      </c>
    </row>
    <row r="32" spans="1:9" ht="15.75" customHeight="1" x14ac:dyDescent="0.2">
      <c r="A32" s="5" t="s">
        <v>70</v>
      </c>
      <c r="B32" s="5" t="s">
        <v>134</v>
      </c>
      <c r="C32" s="5" t="s">
        <v>135</v>
      </c>
      <c r="D32" s="5" t="s">
        <v>612</v>
      </c>
      <c r="E32" s="5" t="s">
        <v>2361</v>
      </c>
      <c r="F32" s="5" t="s">
        <v>2429</v>
      </c>
      <c r="G32" s="5">
        <v>48141</v>
      </c>
      <c r="H32" s="5" t="s">
        <v>2430</v>
      </c>
      <c r="I32" s="5" t="s">
        <v>2422</v>
      </c>
    </row>
    <row r="33" spans="1:9" ht="15.75" customHeight="1" x14ac:dyDescent="0.2">
      <c r="A33" s="5" t="s">
        <v>70</v>
      </c>
      <c r="B33" s="5" t="s">
        <v>134</v>
      </c>
      <c r="C33" s="5" t="s">
        <v>135</v>
      </c>
      <c r="D33" s="5" t="s">
        <v>612</v>
      </c>
      <c r="E33" s="5" t="s">
        <v>2361</v>
      </c>
      <c r="F33" s="5" t="s">
        <v>2431</v>
      </c>
      <c r="G33" s="5">
        <v>5000</v>
      </c>
      <c r="H33" s="5" t="s">
        <v>2432</v>
      </c>
      <c r="I33" s="5" t="s">
        <v>2422</v>
      </c>
    </row>
    <row r="34" spans="1:9" ht="15.75" customHeight="1" x14ac:dyDescent="0.2">
      <c r="A34" s="5" t="s">
        <v>70</v>
      </c>
      <c r="B34" s="5" t="s">
        <v>144</v>
      </c>
      <c r="C34" s="5" t="s">
        <v>145</v>
      </c>
      <c r="D34" s="5" t="s">
        <v>612</v>
      </c>
      <c r="E34" s="5" t="s">
        <v>2361</v>
      </c>
      <c r="F34" s="5" t="s">
        <v>2433</v>
      </c>
      <c r="G34" s="5">
        <v>103850</v>
      </c>
      <c r="H34" s="5" t="s">
        <v>2434</v>
      </c>
      <c r="I34" s="5" t="s">
        <v>2435</v>
      </c>
    </row>
    <row r="35" spans="1:9" ht="15.75" customHeight="1" x14ac:dyDescent="0.2">
      <c r="A35" s="5" t="s">
        <v>70</v>
      </c>
      <c r="B35" s="5" t="s">
        <v>144</v>
      </c>
      <c r="C35" s="5" t="s">
        <v>145</v>
      </c>
      <c r="D35" s="5" t="s">
        <v>612</v>
      </c>
      <c r="E35" s="5" t="s">
        <v>2361</v>
      </c>
      <c r="F35" s="5" t="s">
        <v>2436</v>
      </c>
      <c r="G35" s="5">
        <v>445401</v>
      </c>
      <c r="H35" s="5" t="s">
        <v>2437</v>
      </c>
      <c r="I35" s="5" t="s">
        <v>2438</v>
      </c>
    </row>
    <row r="36" spans="1:9" ht="15.75" customHeight="1" x14ac:dyDescent="0.2">
      <c r="A36" s="5" t="s">
        <v>70</v>
      </c>
      <c r="B36" s="5" t="s">
        <v>154</v>
      </c>
      <c r="C36" s="5" t="s">
        <v>155</v>
      </c>
      <c r="D36" s="5" t="s">
        <v>913</v>
      </c>
    </row>
    <row r="37" spans="1:9" ht="15.75" customHeight="1" x14ac:dyDescent="0.2">
      <c r="A37" s="5" t="s">
        <v>70</v>
      </c>
      <c r="B37" s="5" t="s">
        <v>165</v>
      </c>
      <c r="C37" s="5" t="s">
        <v>166</v>
      </c>
      <c r="D37" s="5" t="s">
        <v>612</v>
      </c>
      <c r="E37" s="5" t="s">
        <v>2361</v>
      </c>
      <c r="F37" s="5" t="s">
        <v>2439</v>
      </c>
      <c r="G37" s="5">
        <v>174000</v>
      </c>
      <c r="H37" s="5" t="s">
        <v>2440</v>
      </c>
    </row>
    <row r="38" spans="1:9" ht="15.75" customHeight="1" x14ac:dyDescent="0.2">
      <c r="A38" s="5" t="s">
        <v>70</v>
      </c>
      <c r="B38" s="5" t="s">
        <v>165</v>
      </c>
      <c r="C38" s="5" t="s">
        <v>166</v>
      </c>
      <c r="D38" s="5" t="s">
        <v>612</v>
      </c>
      <c r="E38" s="5" t="s">
        <v>2361</v>
      </c>
      <c r="F38" s="5" t="s">
        <v>2441</v>
      </c>
      <c r="G38" s="5">
        <v>175000</v>
      </c>
      <c r="H38" s="5" t="s">
        <v>2442</v>
      </c>
    </row>
    <row r="39" spans="1:9" ht="15.75" customHeight="1" x14ac:dyDescent="0.2">
      <c r="A39" s="5" t="s">
        <v>70</v>
      </c>
      <c r="B39" s="5" t="s">
        <v>165</v>
      </c>
      <c r="C39" s="5" t="s">
        <v>166</v>
      </c>
      <c r="D39" s="5" t="s">
        <v>612</v>
      </c>
      <c r="E39" s="5" t="s">
        <v>2361</v>
      </c>
      <c r="F39" s="5" t="s">
        <v>2443</v>
      </c>
      <c r="G39" s="5">
        <v>175000</v>
      </c>
      <c r="H39" s="5" t="s">
        <v>2444</v>
      </c>
    </row>
    <row r="40" spans="1:9" ht="15.75" customHeight="1" x14ac:dyDescent="0.2">
      <c r="A40" s="5" t="s">
        <v>70</v>
      </c>
      <c r="B40" s="5" t="s">
        <v>176</v>
      </c>
      <c r="C40" s="5" t="s">
        <v>177</v>
      </c>
      <c r="D40" s="5" t="s">
        <v>612</v>
      </c>
      <c r="E40" s="5" t="s">
        <v>2361</v>
      </c>
      <c r="F40" s="5" t="s">
        <v>2445</v>
      </c>
      <c r="G40" s="5">
        <v>0</v>
      </c>
      <c r="H40" s="5" t="s">
        <v>2446</v>
      </c>
      <c r="I40" s="5" t="s">
        <v>2447</v>
      </c>
    </row>
    <row r="41" spans="1:9" ht="15.75" customHeight="1" x14ac:dyDescent="0.2">
      <c r="A41" s="5" t="s">
        <v>70</v>
      </c>
      <c r="B41" s="5" t="s">
        <v>176</v>
      </c>
      <c r="C41" s="5" t="s">
        <v>177</v>
      </c>
      <c r="D41" s="5" t="s">
        <v>612</v>
      </c>
      <c r="E41" s="5" t="s">
        <v>2361</v>
      </c>
      <c r="F41" s="5" t="s">
        <v>2448</v>
      </c>
      <c r="G41" s="5">
        <v>224416.5</v>
      </c>
      <c r="H41" s="5" t="s">
        <v>2449</v>
      </c>
      <c r="I41" s="5" t="s">
        <v>2450</v>
      </c>
    </row>
    <row r="42" spans="1:9" ht="15.75" customHeight="1" x14ac:dyDescent="0.2">
      <c r="A42" s="5" t="s">
        <v>70</v>
      </c>
      <c r="B42" s="5" t="s">
        <v>184</v>
      </c>
      <c r="C42" s="5" t="s">
        <v>185</v>
      </c>
      <c r="D42" s="5" t="s">
        <v>612</v>
      </c>
      <c r="E42" s="5" t="s">
        <v>2361</v>
      </c>
      <c r="F42" s="5" t="s">
        <v>2451</v>
      </c>
      <c r="G42" s="5">
        <v>0</v>
      </c>
      <c r="H42" s="5" t="s">
        <v>2452</v>
      </c>
      <c r="I42" s="5" t="s">
        <v>2453</v>
      </c>
    </row>
    <row r="43" spans="1:9" ht="15.75" customHeight="1" x14ac:dyDescent="0.2">
      <c r="A43" s="5" t="s">
        <v>70</v>
      </c>
      <c r="B43" s="5" t="s">
        <v>184</v>
      </c>
      <c r="C43" s="5" t="s">
        <v>185</v>
      </c>
      <c r="D43" s="5" t="s">
        <v>612</v>
      </c>
      <c r="E43" s="5" t="s">
        <v>2361</v>
      </c>
      <c r="F43" s="5" t="s">
        <v>2454</v>
      </c>
      <c r="G43" s="5">
        <v>74106</v>
      </c>
      <c r="H43" s="5" t="s">
        <v>2455</v>
      </c>
      <c r="I43" s="5" t="s">
        <v>2456</v>
      </c>
    </row>
    <row r="44" spans="1:9" ht="15.75" customHeight="1" x14ac:dyDescent="0.2">
      <c r="A44" s="5" t="s">
        <v>70</v>
      </c>
      <c r="B44" s="5" t="s">
        <v>193</v>
      </c>
      <c r="C44" s="5" t="s">
        <v>194</v>
      </c>
      <c r="D44" s="5" t="s">
        <v>612</v>
      </c>
      <c r="E44" s="5" t="s">
        <v>2361</v>
      </c>
      <c r="F44" s="5" t="s">
        <v>2457</v>
      </c>
      <c r="G44" s="5">
        <v>28800</v>
      </c>
      <c r="H44" s="5" t="s">
        <v>2458</v>
      </c>
    </row>
    <row r="45" spans="1:9" ht="15.75" customHeight="1" x14ac:dyDescent="0.2">
      <c r="A45" s="5" t="s">
        <v>70</v>
      </c>
      <c r="B45" s="5" t="s">
        <v>200</v>
      </c>
      <c r="C45" s="5" t="s">
        <v>201</v>
      </c>
      <c r="D45" s="5" t="s">
        <v>612</v>
      </c>
      <c r="E45" s="5" t="s">
        <v>2361</v>
      </c>
      <c r="F45" s="5" t="s">
        <v>2459</v>
      </c>
      <c r="G45" s="5">
        <v>2000</v>
      </c>
      <c r="H45" s="5" t="s">
        <v>2460</v>
      </c>
      <c r="I45" s="5" t="s">
        <v>2461</v>
      </c>
    </row>
    <row r="46" spans="1:9" ht="15.75" customHeight="1" x14ac:dyDescent="0.2">
      <c r="A46" s="5" t="s">
        <v>70</v>
      </c>
      <c r="B46" s="5" t="s">
        <v>200</v>
      </c>
      <c r="C46" s="5" t="s">
        <v>201</v>
      </c>
      <c r="D46" s="5" t="s">
        <v>612</v>
      </c>
      <c r="E46" s="5" t="s">
        <v>2361</v>
      </c>
      <c r="F46" s="5" t="s">
        <v>2462</v>
      </c>
      <c r="G46" s="5">
        <v>30000</v>
      </c>
      <c r="H46" s="5" t="s">
        <v>2463</v>
      </c>
      <c r="I46" s="5" t="s">
        <v>2464</v>
      </c>
    </row>
    <row r="47" spans="1:9" ht="15.75" customHeight="1" x14ac:dyDescent="0.2">
      <c r="A47" s="5" t="s">
        <v>70</v>
      </c>
      <c r="B47" s="5" t="s">
        <v>200</v>
      </c>
      <c r="C47" s="5" t="s">
        <v>201</v>
      </c>
      <c r="D47" s="5" t="s">
        <v>612</v>
      </c>
      <c r="E47" s="5" t="s">
        <v>2361</v>
      </c>
      <c r="F47" s="5" t="s">
        <v>2465</v>
      </c>
      <c r="G47" s="5">
        <v>500</v>
      </c>
      <c r="H47" s="5" t="s">
        <v>2460</v>
      </c>
    </row>
    <row r="48" spans="1:9" ht="15.75" customHeight="1" x14ac:dyDescent="0.2">
      <c r="A48" s="5" t="s">
        <v>70</v>
      </c>
      <c r="B48" s="5" t="s">
        <v>200</v>
      </c>
      <c r="C48" s="5" t="s">
        <v>201</v>
      </c>
      <c r="D48" s="5" t="s">
        <v>612</v>
      </c>
      <c r="E48" s="5" t="s">
        <v>2361</v>
      </c>
      <c r="F48" s="5" t="s">
        <v>2466</v>
      </c>
      <c r="G48" s="5">
        <v>60000</v>
      </c>
      <c r="H48" s="5" t="s">
        <v>2463</v>
      </c>
      <c r="I48" s="5" t="s">
        <v>2467</v>
      </c>
    </row>
    <row r="49" spans="1:9" ht="15.75" customHeight="1" x14ac:dyDescent="0.2">
      <c r="A49" s="5" t="s">
        <v>70</v>
      </c>
      <c r="B49" s="5" t="s">
        <v>200</v>
      </c>
      <c r="C49" s="5" t="s">
        <v>201</v>
      </c>
      <c r="D49" s="5" t="s">
        <v>612</v>
      </c>
      <c r="E49" s="5" t="s">
        <v>2361</v>
      </c>
      <c r="F49" s="5" t="s">
        <v>2468</v>
      </c>
      <c r="G49" s="5">
        <v>20000</v>
      </c>
      <c r="H49" s="5" t="s">
        <v>2469</v>
      </c>
      <c r="I49" s="5" t="s">
        <v>2470</v>
      </c>
    </row>
    <row r="50" spans="1:9" ht="15.75" customHeight="1" x14ac:dyDescent="0.2">
      <c r="A50" s="5" t="s">
        <v>70</v>
      </c>
      <c r="B50" s="5" t="s">
        <v>211</v>
      </c>
      <c r="C50" s="5" t="s">
        <v>212</v>
      </c>
      <c r="D50" s="5" t="s">
        <v>913</v>
      </c>
    </row>
    <row r="51" spans="1:9" ht="15.75" customHeight="1" x14ac:dyDescent="0.2">
      <c r="A51" s="5" t="s">
        <v>70</v>
      </c>
      <c r="B51" s="5" t="s">
        <v>221</v>
      </c>
      <c r="C51" s="5" t="s">
        <v>222</v>
      </c>
      <c r="D51" s="5" t="s">
        <v>913</v>
      </c>
    </row>
    <row r="52" spans="1:9" ht="15.75" customHeight="1" x14ac:dyDescent="0.2">
      <c r="A52" s="5" t="s">
        <v>70</v>
      </c>
      <c r="B52" s="5" t="s">
        <v>229</v>
      </c>
      <c r="C52" s="5" t="s">
        <v>230</v>
      </c>
      <c r="D52" s="5" t="s">
        <v>612</v>
      </c>
      <c r="E52" s="5" t="s">
        <v>2361</v>
      </c>
      <c r="F52" s="5" t="s">
        <v>2471</v>
      </c>
      <c r="G52" s="5">
        <v>49500</v>
      </c>
      <c r="H52" s="5" t="s">
        <v>2472</v>
      </c>
      <c r="I52" s="5" t="s">
        <v>2473</v>
      </c>
    </row>
    <row r="53" spans="1:9" ht="15.75" customHeight="1" x14ac:dyDescent="0.2">
      <c r="A53" s="5" t="s">
        <v>70</v>
      </c>
      <c r="B53" s="5" t="s">
        <v>229</v>
      </c>
      <c r="C53" s="5" t="s">
        <v>230</v>
      </c>
      <c r="D53" s="5" t="s">
        <v>612</v>
      </c>
      <c r="E53" s="5" t="s">
        <v>2361</v>
      </c>
      <c r="F53" s="5" t="s">
        <v>2474</v>
      </c>
      <c r="G53" s="5">
        <v>49500</v>
      </c>
      <c r="H53" s="5" t="s">
        <v>2475</v>
      </c>
      <c r="I53" s="5" t="s">
        <v>2473</v>
      </c>
    </row>
    <row r="54" spans="1:9" ht="15.75" customHeight="1" x14ac:dyDescent="0.2">
      <c r="A54" s="5" t="s">
        <v>70</v>
      </c>
      <c r="B54" s="5" t="s">
        <v>229</v>
      </c>
      <c r="C54" s="5" t="s">
        <v>230</v>
      </c>
      <c r="D54" s="5" t="s">
        <v>612</v>
      </c>
      <c r="E54" s="5" t="s">
        <v>2361</v>
      </c>
      <c r="F54" s="5" t="s">
        <v>2476</v>
      </c>
      <c r="G54" s="5">
        <v>43000</v>
      </c>
      <c r="H54" s="5" t="s">
        <v>2477</v>
      </c>
      <c r="I54" s="5" t="s">
        <v>2473</v>
      </c>
    </row>
    <row r="55" spans="1:9" ht="15.75" customHeight="1" x14ac:dyDescent="0.2">
      <c r="A55" s="5" t="s">
        <v>70</v>
      </c>
      <c r="B55" s="5" t="s">
        <v>229</v>
      </c>
      <c r="C55" s="5" t="s">
        <v>230</v>
      </c>
      <c r="D55" s="5" t="s">
        <v>612</v>
      </c>
      <c r="E55" s="5" t="s">
        <v>2361</v>
      </c>
      <c r="F55" s="5" t="s">
        <v>2478</v>
      </c>
      <c r="G55" s="5">
        <v>1000</v>
      </c>
      <c r="H55" s="5" t="s">
        <v>2479</v>
      </c>
      <c r="I55" s="5" t="s">
        <v>2473</v>
      </c>
    </row>
    <row r="56" spans="1:9" ht="15.75" customHeight="1" x14ac:dyDescent="0.2">
      <c r="A56" s="5" t="s">
        <v>70</v>
      </c>
      <c r="B56" s="5" t="s">
        <v>238</v>
      </c>
      <c r="C56" s="5" t="s">
        <v>239</v>
      </c>
      <c r="D56" s="5" t="s">
        <v>612</v>
      </c>
      <c r="E56" s="5" t="s">
        <v>2361</v>
      </c>
      <c r="F56" s="5" t="s">
        <v>2480</v>
      </c>
      <c r="G56" s="5">
        <v>30600</v>
      </c>
      <c r="H56" s="5" t="s">
        <v>2481</v>
      </c>
      <c r="I56" s="5" t="s">
        <v>2482</v>
      </c>
    </row>
    <row r="57" spans="1:9" ht="15.75" customHeight="1" x14ac:dyDescent="0.2">
      <c r="A57" s="5" t="s">
        <v>70</v>
      </c>
      <c r="B57" s="5" t="s">
        <v>238</v>
      </c>
      <c r="C57" s="5" t="s">
        <v>239</v>
      </c>
      <c r="D57" s="5" t="s">
        <v>612</v>
      </c>
      <c r="E57" s="5" t="s">
        <v>2361</v>
      </c>
      <c r="F57" s="5" t="s">
        <v>2483</v>
      </c>
      <c r="G57" s="5">
        <v>59160</v>
      </c>
      <c r="H57" s="5" t="s">
        <v>2484</v>
      </c>
      <c r="I57" s="5" t="s">
        <v>2482</v>
      </c>
    </row>
    <row r="58" spans="1:9" ht="15.75" customHeight="1" x14ac:dyDescent="0.2">
      <c r="A58" s="5" t="s">
        <v>70</v>
      </c>
      <c r="B58" s="5" t="s">
        <v>247</v>
      </c>
      <c r="C58" s="5" t="s">
        <v>248</v>
      </c>
      <c r="D58" s="5" t="s">
        <v>612</v>
      </c>
      <c r="E58" s="5" t="s">
        <v>2361</v>
      </c>
      <c r="F58" s="5" t="s">
        <v>2485</v>
      </c>
      <c r="G58" s="5">
        <v>0</v>
      </c>
      <c r="H58" s="5" t="s">
        <v>2486</v>
      </c>
      <c r="I58" s="5" t="s">
        <v>2487</v>
      </c>
    </row>
    <row r="59" spans="1:9" ht="15.75" customHeight="1" x14ac:dyDescent="0.2">
      <c r="A59" s="5" t="s">
        <v>70</v>
      </c>
      <c r="B59" s="5" t="s">
        <v>247</v>
      </c>
      <c r="C59" s="5" t="s">
        <v>248</v>
      </c>
      <c r="D59" s="5" t="s">
        <v>612</v>
      </c>
      <c r="E59" s="5" t="s">
        <v>2361</v>
      </c>
      <c r="F59" s="5" t="s">
        <v>2488</v>
      </c>
      <c r="G59" s="5">
        <v>0</v>
      </c>
      <c r="H59" s="5" t="s">
        <v>2486</v>
      </c>
      <c r="I59" s="5" t="s">
        <v>2487</v>
      </c>
    </row>
    <row r="60" spans="1:9" ht="15.75" customHeight="1" x14ac:dyDescent="0.2">
      <c r="A60" s="5" t="s">
        <v>70</v>
      </c>
      <c r="B60" s="5" t="s">
        <v>247</v>
      </c>
      <c r="C60" s="5" t="s">
        <v>248</v>
      </c>
      <c r="D60" s="5" t="s">
        <v>612</v>
      </c>
      <c r="E60" s="5" t="s">
        <v>2361</v>
      </c>
      <c r="F60" s="5" t="s">
        <v>2489</v>
      </c>
      <c r="G60" s="5">
        <v>800</v>
      </c>
      <c r="H60" s="5" t="s">
        <v>2490</v>
      </c>
    </row>
    <row r="61" spans="1:9" ht="15.75" customHeight="1" x14ac:dyDescent="0.2">
      <c r="A61" s="5" t="s">
        <v>70</v>
      </c>
      <c r="B61" s="5" t="s">
        <v>247</v>
      </c>
      <c r="C61" s="5" t="s">
        <v>248</v>
      </c>
      <c r="D61" s="5" t="s">
        <v>612</v>
      </c>
      <c r="E61" s="5" t="s">
        <v>2361</v>
      </c>
      <c r="F61" s="5" t="s">
        <v>2491</v>
      </c>
      <c r="G61" s="5">
        <v>20000</v>
      </c>
      <c r="H61" s="5" t="s">
        <v>2492</v>
      </c>
      <c r="I61" s="5" t="s">
        <v>2493</v>
      </c>
    </row>
    <row r="62" spans="1:9" ht="15.75" customHeight="1" x14ac:dyDescent="0.2">
      <c r="A62" s="5" t="s">
        <v>70</v>
      </c>
      <c r="B62" s="5" t="s">
        <v>257</v>
      </c>
      <c r="C62" s="5" t="s">
        <v>258</v>
      </c>
      <c r="D62" s="5" t="s">
        <v>612</v>
      </c>
      <c r="E62" s="5" t="s">
        <v>2361</v>
      </c>
      <c r="F62" s="5" t="s">
        <v>2494</v>
      </c>
      <c r="G62" s="5">
        <v>194359.5</v>
      </c>
      <c r="H62" s="5" t="s">
        <v>2495</v>
      </c>
      <c r="I62" s="5" t="s">
        <v>2482</v>
      </c>
    </row>
    <row r="63" spans="1:9" ht="15.75" customHeight="1" x14ac:dyDescent="0.2">
      <c r="A63" s="5" t="s">
        <v>70</v>
      </c>
      <c r="B63" s="5" t="s">
        <v>268</v>
      </c>
      <c r="C63" s="5" t="s">
        <v>269</v>
      </c>
      <c r="D63" s="5" t="s">
        <v>612</v>
      </c>
      <c r="E63" s="5" t="s">
        <v>2361</v>
      </c>
      <c r="F63" s="5" t="s">
        <v>2496</v>
      </c>
      <c r="G63" s="5">
        <v>0</v>
      </c>
      <c r="H63" s="5" t="s">
        <v>2497</v>
      </c>
      <c r="I63" s="5" t="s">
        <v>2498</v>
      </c>
    </row>
    <row r="64" spans="1:9" ht="15.75" customHeight="1" x14ac:dyDescent="0.2">
      <c r="A64" s="5" t="s">
        <v>70</v>
      </c>
      <c r="B64" s="5" t="s">
        <v>268</v>
      </c>
      <c r="C64" s="5" t="s">
        <v>269</v>
      </c>
      <c r="D64" s="5" t="s">
        <v>612</v>
      </c>
      <c r="E64" s="5" t="s">
        <v>2361</v>
      </c>
      <c r="F64" s="5" t="s">
        <v>2499</v>
      </c>
      <c r="G64" s="5">
        <v>50000</v>
      </c>
      <c r="H64" s="5" t="s">
        <v>2500</v>
      </c>
      <c r="I64" s="5" t="s">
        <v>2143</v>
      </c>
    </row>
    <row r="65" spans="1:9" ht="15.75" customHeight="1" x14ac:dyDescent="0.2">
      <c r="A65" s="5" t="s">
        <v>70</v>
      </c>
      <c r="B65" s="5" t="s">
        <v>268</v>
      </c>
      <c r="C65" s="5" t="s">
        <v>269</v>
      </c>
      <c r="D65" s="5" t="s">
        <v>612</v>
      </c>
      <c r="E65" s="5" t="s">
        <v>2361</v>
      </c>
      <c r="F65" s="5" t="s">
        <v>2501</v>
      </c>
      <c r="G65" s="5">
        <v>0</v>
      </c>
      <c r="H65" s="5" t="s">
        <v>2497</v>
      </c>
      <c r="I65" s="5" t="s">
        <v>2498</v>
      </c>
    </row>
    <row r="66" spans="1:9" ht="15.75" customHeight="1" x14ac:dyDescent="0.2">
      <c r="A66" s="5" t="s">
        <v>70</v>
      </c>
      <c r="B66" s="5" t="s">
        <v>268</v>
      </c>
      <c r="C66" s="5" t="s">
        <v>269</v>
      </c>
      <c r="D66" s="5" t="s">
        <v>612</v>
      </c>
      <c r="E66" s="5" t="s">
        <v>2502</v>
      </c>
      <c r="F66" s="5" t="s">
        <v>2503</v>
      </c>
      <c r="G66" s="5">
        <v>52800</v>
      </c>
      <c r="H66" s="5" t="s">
        <v>2504</v>
      </c>
      <c r="I66" s="5" t="s">
        <v>2505</v>
      </c>
    </row>
    <row r="67" spans="1:9" ht="15.75" customHeight="1" x14ac:dyDescent="0.2">
      <c r="A67" s="5" t="s">
        <v>276</v>
      </c>
      <c r="B67" s="5" t="s">
        <v>277</v>
      </c>
      <c r="C67" s="5" t="s">
        <v>278</v>
      </c>
      <c r="D67" s="5" t="s">
        <v>612</v>
      </c>
      <c r="E67" s="5" t="s">
        <v>2361</v>
      </c>
      <c r="F67" s="5" t="s">
        <v>2506</v>
      </c>
      <c r="G67" s="5">
        <v>6000</v>
      </c>
      <c r="H67" s="5" t="s">
        <v>2507</v>
      </c>
    </row>
    <row r="68" spans="1:9" ht="15.75" customHeight="1" x14ac:dyDescent="0.2">
      <c r="A68" s="5" t="s">
        <v>276</v>
      </c>
      <c r="B68" s="5" t="s">
        <v>288</v>
      </c>
      <c r="C68" s="5" t="s">
        <v>289</v>
      </c>
      <c r="D68" s="5" t="s">
        <v>913</v>
      </c>
    </row>
    <row r="69" spans="1:9" ht="15.75" customHeight="1" x14ac:dyDescent="0.2">
      <c r="A69" s="5" t="s">
        <v>276</v>
      </c>
      <c r="B69" s="5" t="s">
        <v>296</v>
      </c>
      <c r="C69" s="5" t="s">
        <v>297</v>
      </c>
      <c r="D69" s="5" t="s">
        <v>612</v>
      </c>
      <c r="E69" s="5" t="s">
        <v>2361</v>
      </c>
      <c r="F69" s="5" t="s">
        <v>2508</v>
      </c>
      <c r="G69" s="5">
        <v>32000</v>
      </c>
      <c r="H69" s="5" t="s">
        <v>2509</v>
      </c>
    </row>
    <row r="70" spans="1:9" ht="15.75" customHeight="1" x14ac:dyDescent="0.2">
      <c r="A70" s="5" t="s">
        <v>276</v>
      </c>
      <c r="B70" s="5" t="s">
        <v>305</v>
      </c>
      <c r="C70" s="5" t="s">
        <v>306</v>
      </c>
      <c r="D70" s="5" t="s">
        <v>913</v>
      </c>
    </row>
    <row r="71" spans="1:9" ht="15.75" customHeight="1" x14ac:dyDescent="0.2">
      <c r="A71" s="5" t="s">
        <v>276</v>
      </c>
      <c r="B71" s="5" t="s">
        <v>316</v>
      </c>
      <c r="C71" s="5" t="s">
        <v>317</v>
      </c>
      <c r="D71" s="5" t="s">
        <v>612</v>
      </c>
      <c r="E71" s="5" t="s">
        <v>2510</v>
      </c>
      <c r="F71" s="5" t="s">
        <v>2511</v>
      </c>
      <c r="G71" s="5">
        <v>5000</v>
      </c>
      <c r="H71" s="5" t="s">
        <v>2512</v>
      </c>
      <c r="I71" s="5" t="s">
        <v>2513</v>
      </c>
    </row>
    <row r="72" spans="1:9" ht="15.75" customHeight="1" x14ac:dyDescent="0.2">
      <c r="A72" s="5" t="s">
        <v>276</v>
      </c>
      <c r="B72" s="5" t="s">
        <v>327</v>
      </c>
      <c r="C72" s="5" t="s">
        <v>328</v>
      </c>
      <c r="D72" s="5" t="s">
        <v>913</v>
      </c>
    </row>
    <row r="73" spans="1:9" ht="15.75" customHeight="1" x14ac:dyDescent="0.2">
      <c r="A73" s="5" t="s">
        <v>276</v>
      </c>
      <c r="B73" s="5" t="s">
        <v>337</v>
      </c>
      <c r="C73" s="5" t="s">
        <v>338</v>
      </c>
      <c r="D73" s="5" t="s">
        <v>913</v>
      </c>
    </row>
    <row r="74" spans="1:9" ht="15.75" customHeight="1" x14ac:dyDescent="0.2">
      <c r="A74" s="5" t="s">
        <v>276</v>
      </c>
      <c r="B74" s="5" t="s">
        <v>346</v>
      </c>
      <c r="C74" s="5" t="s">
        <v>347</v>
      </c>
      <c r="D74" s="5" t="s">
        <v>612</v>
      </c>
      <c r="E74" s="5" t="s">
        <v>2361</v>
      </c>
      <c r="F74" s="5" t="s">
        <v>2514</v>
      </c>
      <c r="G74" s="5">
        <v>5000</v>
      </c>
      <c r="H74" s="5" t="s">
        <v>2404</v>
      </c>
    </row>
    <row r="75" spans="1:9" ht="15.75" customHeight="1" x14ac:dyDescent="0.2">
      <c r="A75" s="5" t="s">
        <v>276</v>
      </c>
      <c r="B75" s="5" t="s">
        <v>355</v>
      </c>
      <c r="C75" s="5" t="s">
        <v>356</v>
      </c>
      <c r="D75" s="5" t="s">
        <v>612</v>
      </c>
      <c r="E75" s="5" t="s">
        <v>2361</v>
      </c>
      <c r="F75" s="5" t="s">
        <v>2515</v>
      </c>
      <c r="G75" s="5">
        <v>153605.76999999999</v>
      </c>
      <c r="H75" s="5" t="s">
        <v>2516</v>
      </c>
    </row>
    <row r="76" spans="1:9" ht="15.75" customHeight="1" x14ac:dyDescent="0.2">
      <c r="A76" s="5" t="s">
        <v>276</v>
      </c>
      <c r="B76" s="5" t="s">
        <v>363</v>
      </c>
      <c r="C76" s="5" t="s">
        <v>364</v>
      </c>
      <c r="D76" s="5" t="s">
        <v>612</v>
      </c>
      <c r="E76" s="5" t="s">
        <v>2361</v>
      </c>
      <c r="F76" s="5" t="s">
        <v>2517</v>
      </c>
      <c r="G76" s="5">
        <v>192240</v>
      </c>
      <c r="H76" s="5" t="s">
        <v>2518</v>
      </c>
    </row>
    <row r="77" spans="1:9" ht="15.75" customHeight="1" x14ac:dyDescent="0.2">
      <c r="A77" s="5" t="s">
        <v>276</v>
      </c>
      <c r="B77" s="5" t="s">
        <v>372</v>
      </c>
      <c r="C77" s="5" t="s">
        <v>373</v>
      </c>
      <c r="D77" s="5" t="s">
        <v>913</v>
      </c>
    </row>
    <row r="78" spans="1:9" ht="15.75" customHeight="1" x14ac:dyDescent="0.2">
      <c r="A78" s="5" t="s">
        <v>380</v>
      </c>
      <c r="B78" s="5" t="s">
        <v>381</v>
      </c>
      <c r="C78" s="5" t="s">
        <v>382</v>
      </c>
      <c r="D78" s="5" t="s">
        <v>913</v>
      </c>
    </row>
    <row r="79" spans="1:9" ht="15.75" customHeight="1" x14ac:dyDescent="0.2">
      <c r="A79" s="5" t="s">
        <v>380</v>
      </c>
      <c r="B79" s="5" t="s">
        <v>390</v>
      </c>
      <c r="C79" s="5" t="s">
        <v>391</v>
      </c>
      <c r="D79" s="5" t="s">
        <v>913</v>
      </c>
    </row>
    <row r="80" spans="1:9" ht="15.75" customHeight="1" x14ac:dyDescent="0.2">
      <c r="A80" s="5" t="s">
        <v>380</v>
      </c>
      <c r="B80" s="5" t="s">
        <v>390</v>
      </c>
      <c r="C80" s="5" t="s">
        <v>391</v>
      </c>
      <c r="D80" s="5" t="s">
        <v>913</v>
      </c>
    </row>
    <row r="81" spans="1:9" ht="15.75" customHeight="1" x14ac:dyDescent="0.2">
      <c r="A81" s="5" t="s">
        <v>380</v>
      </c>
      <c r="B81" s="5" t="s">
        <v>399</v>
      </c>
      <c r="C81" s="5" t="s">
        <v>400</v>
      </c>
      <c r="D81" s="5" t="s">
        <v>913</v>
      </c>
    </row>
    <row r="82" spans="1:9" ht="15.75" customHeight="1" x14ac:dyDescent="0.2">
      <c r="A82" s="5" t="s">
        <v>380</v>
      </c>
      <c r="B82" s="5" t="s">
        <v>407</v>
      </c>
      <c r="C82" s="5" t="s">
        <v>408</v>
      </c>
      <c r="D82" s="5" t="s">
        <v>913</v>
      </c>
    </row>
    <row r="83" spans="1:9" ht="15.75" customHeight="1" x14ac:dyDescent="0.2">
      <c r="A83" s="5" t="s">
        <v>380</v>
      </c>
      <c r="B83" s="5" t="s">
        <v>417</v>
      </c>
      <c r="C83" s="5" t="s">
        <v>418</v>
      </c>
      <c r="D83" s="5" t="s">
        <v>612</v>
      </c>
      <c r="E83" s="5" t="s">
        <v>2361</v>
      </c>
      <c r="F83" s="5" t="s">
        <v>2519</v>
      </c>
      <c r="G83" s="5">
        <v>15000</v>
      </c>
      <c r="H83" s="5" t="s">
        <v>2520</v>
      </c>
      <c r="I83" s="5" t="s">
        <v>2521</v>
      </c>
    </row>
    <row r="84" spans="1:9" ht="15.75" customHeight="1" x14ac:dyDescent="0.2">
      <c r="A84" s="5" t="s">
        <v>380</v>
      </c>
      <c r="B84" s="5" t="s">
        <v>417</v>
      </c>
      <c r="C84" s="5" t="s">
        <v>418</v>
      </c>
      <c r="D84" s="5" t="s">
        <v>612</v>
      </c>
      <c r="E84" s="5" t="s">
        <v>2361</v>
      </c>
      <c r="F84" s="5" t="s">
        <v>2522</v>
      </c>
      <c r="G84" s="5">
        <v>50000</v>
      </c>
      <c r="H84" s="5" t="s">
        <v>2523</v>
      </c>
      <c r="I84" s="5" t="s">
        <v>2524</v>
      </c>
    </row>
    <row r="85" spans="1:9" ht="15.75" customHeight="1" x14ac:dyDescent="0.2">
      <c r="A85" s="5" t="s">
        <v>426</v>
      </c>
      <c r="B85" s="5" t="s">
        <v>427</v>
      </c>
      <c r="C85" s="5" t="s">
        <v>428</v>
      </c>
      <c r="D85" s="5" t="s">
        <v>612</v>
      </c>
      <c r="E85" s="5" t="s">
        <v>2361</v>
      </c>
      <c r="F85" s="5" t="s">
        <v>2525</v>
      </c>
      <c r="G85" s="5">
        <v>75000</v>
      </c>
      <c r="H85" s="5" t="s">
        <v>2526</v>
      </c>
    </row>
    <row r="86" spans="1:9" ht="15.75" customHeight="1" x14ac:dyDescent="0.2">
      <c r="A86" s="5" t="s">
        <v>426</v>
      </c>
      <c r="B86" s="5" t="s">
        <v>435</v>
      </c>
      <c r="C86" s="5" t="s">
        <v>436</v>
      </c>
      <c r="D86" s="5" t="s">
        <v>612</v>
      </c>
      <c r="E86" s="5" t="s">
        <v>2361</v>
      </c>
      <c r="F86" s="5" t="s">
        <v>2527</v>
      </c>
      <c r="G86" s="5">
        <v>52000</v>
      </c>
      <c r="H86" s="5" t="s">
        <v>2528</v>
      </c>
    </row>
    <row r="87" spans="1:9" ht="15.75" customHeight="1" x14ac:dyDescent="0.2">
      <c r="A87" s="5" t="s">
        <v>426</v>
      </c>
      <c r="B87" s="5" t="s">
        <v>435</v>
      </c>
      <c r="C87" s="5" t="s">
        <v>436</v>
      </c>
      <c r="D87" s="5" t="s">
        <v>612</v>
      </c>
      <c r="E87" s="5" t="s">
        <v>2361</v>
      </c>
      <c r="F87" s="5" t="s">
        <v>2529</v>
      </c>
      <c r="G87" s="5">
        <v>48000</v>
      </c>
      <c r="H87" s="5" t="s">
        <v>2530</v>
      </c>
    </row>
    <row r="88" spans="1:9" ht="15.75" customHeight="1" x14ac:dyDescent="0.2">
      <c r="A88" s="5" t="s">
        <v>426</v>
      </c>
      <c r="B88" s="5" t="s">
        <v>435</v>
      </c>
      <c r="C88" s="5" t="s">
        <v>436</v>
      </c>
      <c r="D88" s="5" t="s">
        <v>612</v>
      </c>
      <c r="E88" s="5" t="s">
        <v>2361</v>
      </c>
      <c r="F88" s="5" t="s">
        <v>2529</v>
      </c>
      <c r="G88" s="5">
        <v>48000</v>
      </c>
      <c r="H88" s="5" t="s">
        <v>2530</v>
      </c>
    </row>
    <row r="89" spans="1:9" ht="15.75" customHeight="1" x14ac:dyDescent="0.2">
      <c r="A89" s="5" t="s">
        <v>426</v>
      </c>
      <c r="B89" s="5" t="s">
        <v>435</v>
      </c>
      <c r="C89" s="5" t="s">
        <v>436</v>
      </c>
      <c r="D89" s="5" t="s">
        <v>612</v>
      </c>
      <c r="E89" s="5" t="s">
        <v>2361</v>
      </c>
      <c r="F89" s="5" t="s">
        <v>2527</v>
      </c>
      <c r="G89" s="5">
        <v>52000</v>
      </c>
      <c r="H89" s="5" t="s">
        <v>2528</v>
      </c>
    </row>
    <row r="90" spans="1:9" ht="15.75" customHeight="1" x14ac:dyDescent="0.2">
      <c r="A90" s="5" t="s">
        <v>426</v>
      </c>
      <c r="B90" s="5" t="s">
        <v>444</v>
      </c>
      <c r="C90" s="5" t="s">
        <v>445</v>
      </c>
      <c r="D90" s="5" t="s">
        <v>612</v>
      </c>
      <c r="E90" s="5" t="s">
        <v>2361</v>
      </c>
      <c r="F90" s="5" t="s">
        <v>2531</v>
      </c>
      <c r="G90" s="5">
        <v>53120</v>
      </c>
      <c r="H90" s="5" t="s">
        <v>2532</v>
      </c>
    </row>
    <row r="91" spans="1:9" ht="15.75" customHeight="1" x14ac:dyDescent="0.2">
      <c r="A91" s="5" t="s">
        <v>426</v>
      </c>
      <c r="B91" s="5" t="s">
        <v>452</v>
      </c>
      <c r="C91" s="5" t="s">
        <v>453</v>
      </c>
      <c r="D91" s="5" t="s">
        <v>612</v>
      </c>
      <c r="E91" s="5" t="s">
        <v>2361</v>
      </c>
      <c r="F91" s="5" t="s">
        <v>2533</v>
      </c>
      <c r="G91" s="5">
        <v>38000</v>
      </c>
      <c r="H91" s="5" t="s">
        <v>2534</v>
      </c>
    </row>
    <row r="92" spans="1:9" ht="15.75" customHeight="1" x14ac:dyDescent="0.2">
      <c r="A92" s="5" t="s">
        <v>426</v>
      </c>
      <c r="B92" s="5" t="s">
        <v>460</v>
      </c>
      <c r="C92" s="5" t="s">
        <v>461</v>
      </c>
      <c r="D92" s="5" t="s">
        <v>913</v>
      </c>
    </row>
    <row r="93" spans="1:9" ht="15.75" customHeight="1" x14ac:dyDescent="0.2">
      <c r="A93" s="5" t="s">
        <v>426</v>
      </c>
      <c r="B93" s="5" t="s">
        <v>468</v>
      </c>
      <c r="C93" s="5" t="s">
        <v>469</v>
      </c>
      <c r="D93" s="5" t="s">
        <v>612</v>
      </c>
      <c r="E93" s="5" t="s">
        <v>2361</v>
      </c>
      <c r="F93" s="5" t="s">
        <v>2535</v>
      </c>
      <c r="G93" s="5">
        <v>40000</v>
      </c>
      <c r="H93" s="5" t="s">
        <v>2536</v>
      </c>
      <c r="I93" s="5" t="s">
        <v>2537</v>
      </c>
    </row>
    <row r="94" spans="1:9" ht="15.75" customHeight="1" x14ac:dyDescent="0.2">
      <c r="A94" s="5" t="s">
        <v>426</v>
      </c>
      <c r="B94" s="5" t="s">
        <v>476</v>
      </c>
      <c r="C94" s="5" t="s">
        <v>477</v>
      </c>
      <c r="D94" s="5" t="s">
        <v>913</v>
      </c>
    </row>
    <row r="95" spans="1:9" ht="15.75" customHeight="1" x14ac:dyDescent="0.2">
      <c r="A95" s="5" t="s">
        <v>426</v>
      </c>
      <c r="B95" s="5" t="s">
        <v>476</v>
      </c>
      <c r="C95" s="5" t="s">
        <v>477</v>
      </c>
      <c r="D95" s="5" t="s">
        <v>913</v>
      </c>
    </row>
    <row r="96" spans="1:9" ht="15.75" customHeight="1" x14ac:dyDescent="0.2">
      <c r="A96" s="5" t="s">
        <v>485</v>
      </c>
      <c r="B96" s="5" t="s">
        <v>486</v>
      </c>
      <c r="C96" s="5" t="s">
        <v>487</v>
      </c>
      <c r="D96" s="5" t="s">
        <v>913</v>
      </c>
    </row>
    <row r="97" spans="1:9" ht="15.75" customHeight="1" x14ac:dyDescent="0.2">
      <c r="A97" s="5" t="s">
        <v>485</v>
      </c>
      <c r="B97" s="5" t="s">
        <v>494</v>
      </c>
      <c r="C97" s="5" t="s">
        <v>495</v>
      </c>
      <c r="D97" s="5" t="s">
        <v>612</v>
      </c>
      <c r="E97" s="5" t="s">
        <v>2361</v>
      </c>
      <c r="F97" s="5" t="s">
        <v>2538</v>
      </c>
      <c r="G97" s="5">
        <v>75000</v>
      </c>
      <c r="H97" s="5" t="s">
        <v>2539</v>
      </c>
      <c r="I97" s="5" t="s">
        <v>2289</v>
      </c>
    </row>
    <row r="98" spans="1:9" ht="15.75" customHeight="1" x14ac:dyDescent="0.2">
      <c r="A98" s="5" t="s">
        <v>485</v>
      </c>
      <c r="B98" s="5" t="s">
        <v>494</v>
      </c>
      <c r="C98" s="5" t="s">
        <v>495</v>
      </c>
      <c r="D98" s="5" t="s">
        <v>612</v>
      </c>
      <c r="E98" s="5" t="s">
        <v>2361</v>
      </c>
      <c r="F98" s="5" t="s">
        <v>2540</v>
      </c>
      <c r="G98" s="5">
        <v>19200</v>
      </c>
      <c r="H98" s="5" t="s">
        <v>2539</v>
      </c>
      <c r="I98" s="5" t="s">
        <v>2289</v>
      </c>
    </row>
    <row r="99" spans="1:9" ht="15.75" customHeight="1" x14ac:dyDescent="0.2">
      <c r="A99" s="5" t="s">
        <v>485</v>
      </c>
      <c r="B99" s="5" t="s">
        <v>494</v>
      </c>
      <c r="C99" s="5" t="s">
        <v>495</v>
      </c>
      <c r="D99" s="5" t="s">
        <v>612</v>
      </c>
      <c r="E99" s="5" t="s">
        <v>2361</v>
      </c>
      <c r="F99" s="5" t="s">
        <v>2541</v>
      </c>
      <c r="G99" s="5">
        <v>99000</v>
      </c>
      <c r="H99" s="5" t="s">
        <v>2539</v>
      </c>
      <c r="I99" s="5" t="s">
        <v>2289</v>
      </c>
    </row>
    <row r="100" spans="1:9" ht="15.75" customHeight="1" x14ac:dyDescent="0.2">
      <c r="A100" s="5" t="s">
        <v>485</v>
      </c>
      <c r="B100" s="5" t="s">
        <v>503</v>
      </c>
      <c r="C100" s="5" t="s">
        <v>504</v>
      </c>
      <c r="D100" s="5" t="s">
        <v>612</v>
      </c>
      <c r="E100" s="5" t="s">
        <v>2361</v>
      </c>
      <c r="F100" s="5" t="s">
        <v>2542</v>
      </c>
      <c r="G100" s="5">
        <v>5000</v>
      </c>
      <c r="H100" s="5" t="s">
        <v>2543</v>
      </c>
      <c r="I100" s="5" t="s">
        <v>2544</v>
      </c>
    </row>
    <row r="101" spans="1:9" ht="15.75" customHeight="1" x14ac:dyDescent="0.2">
      <c r="A101" s="5" t="s">
        <v>485</v>
      </c>
      <c r="B101" s="5" t="s">
        <v>503</v>
      </c>
      <c r="C101" s="5" t="s">
        <v>504</v>
      </c>
      <c r="D101" s="5" t="s">
        <v>612</v>
      </c>
      <c r="E101" s="5" t="s">
        <v>2361</v>
      </c>
      <c r="F101" s="5" t="s">
        <v>2545</v>
      </c>
      <c r="G101" s="5">
        <v>3500</v>
      </c>
      <c r="H101" s="5" t="s">
        <v>2546</v>
      </c>
      <c r="I101" s="5" t="s">
        <v>2547</v>
      </c>
    </row>
    <row r="102" spans="1:9" ht="15.75" customHeight="1" x14ac:dyDescent="0.2">
      <c r="A102" s="5" t="s">
        <v>485</v>
      </c>
      <c r="B102" s="5" t="s">
        <v>503</v>
      </c>
      <c r="C102" s="5" t="s">
        <v>504</v>
      </c>
      <c r="D102" s="5" t="s">
        <v>612</v>
      </c>
      <c r="E102" s="5" t="s">
        <v>2463</v>
      </c>
      <c r="F102" s="5" t="s">
        <v>2548</v>
      </c>
      <c r="G102" s="5">
        <v>50000</v>
      </c>
      <c r="H102" s="5" t="s">
        <v>2549</v>
      </c>
      <c r="I102" s="5" t="s">
        <v>2550</v>
      </c>
    </row>
    <row r="103" spans="1:9" ht="15.75" customHeight="1" x14ac:dyDescent="0.2">
      <c r="A103" s="5" t="s">
        <v>485</v>
      </c>
      <c r="B103" s="5" t="s">
        <v>511</v>
      </c>
      <c r="C103" s="5" t="s">
        <v>512</v>
      </c>
      <c r="D103" s="5" t="s">
        <v>612</v>
      </c>
      <c r="E103" s="5" t="s">
        <v>2539</v>
      </c>
      <c r="F103" s="5" t="s">
        <v>2551</v>
      </c>
      <c r="G103" s="5">
        <v>95821.6</v>
      </c>
      <c r="H103" s="5" t="s">
        <v>2552</v>
      </c>
    </row>
    <row r="104" spans="1:9" ht="15.75" customHeight="1" x14ac:dyDescent="0.2">
      <c r="A104" s="5" t="s">
        <v>485</v>
      </c>
      <c r="B104" s="5" t="s">
        <v>511</v>
      </c>
      <c r="C104" s="5" t="s">
        <v>512</v>
      </c>
      <c r="D104" s="5" t="s">
        <v>612</v>
      </c>
      <c r="E104" s="5" t="s">
        <v>2361</v>
      </c>
      <c r="F104" s="5" t="s">
        <v>2553</v>
      </c>
      <c r="G104" s="5">
        <v>88750</v>
      </c>
      <c r="H104" s="5" t="s">
        <v>2554</v>
      </c>
    </row>
    <row r="105" spans="1:9" ht="15.75" customHeight="1" x14ac:dyDescent="0.2">
      <c r="A105" s="5" t="s">
        <v>485</v>
      </c>
      <c r="B105" s="5" t="s">
        <v>519</v>
      </c>
      <c r="C105" s="5" t="s">
        <v>520</v>
      </c>
      <c r="D105" s="5" t="s">
        <v>913</v>
      </c>
    </row>
    <row r="106" spans="1:9" ht="15.75" customHeight="1" x14ac:dyDescent="0.2">
      <c r="A106" s="5" t="s">
        <v>485</v>
      </c>
      <c r="B106" s="5" t="s">
        <v>519</v>
      </c>
      <c r="C106" s="5" t="s">
        <v>520</v>
      </c>
      <c r="D106" s="5" t="s">
        <v>913</v>
      </c>
    </row>
    <row r="107" spans="1:9" ht="15.75" customHeight="1" x14ac:dyDescent="0.2">
      <c r="A107" s="5" t="s">
        <v>485</v>
      </c>
      <c r="B107" s="5" t="s">
        <v>527</v>
      </c>
      <c r="C107" s="5" t="s">
        <v>528</v>
      </c>
      <c r="D107" s="5" t="s">
        <v>612</v>
      </c>
      <c r="E107" s="5" t="s">
        <v>2361</v>
      </c>
      <c r="F107" s="5" t="s">
        <v>2555</v>
      </c>
      <c r="G107" s="5">
        <v>28000</v>
      </c>
      <c r="H107" s="5" t="s">
        <v>2539</v>
      </c>
    </row>
    <row r="108" spans="1:9" ht="15.75" customHeight="1" x14ac:dyDescent="0.2">
      <c r="A108" s="5" t="s">
        <v>485</v>
      </c>
      <c r="B108" s="5" t="s">
        <v>537</v>
      </c>
      <c r="C108" s="5" t="s">
        <v>538</v>
      </c>
      <c r="D108" s="5" t="s">
        <v>612</v>
      </c>
      <c r="E108" s="5" t="s">
        <v>2361</v>
      </c>
      <c r="F108" s="5" t="s">
        <v>2556</v>
      </c>
      <c r="G108" s="5">
        <v>59500</v>
      </c>
      <c r="H108" s="5" t="s">
        <v>2557</v>
      </c>
    </row>
    <row r="109" spans="1:9" ht="15.75" customHeight="1" x14ac:dyDescent="0.2">
      <c r="A109" s="5" t="s">
        <v>485</v>
      </c>
      <c r="B109" s="5" t="s">
        <v>546</v>
      </c>
      <c r="C109" s="5" t="s">
        <v>547</v>
      </c>
      <c r="D109" s="5" t="s">
        <v>913</v>
      </c>
    </row>
    <row r="110" spans="1:9" ht="15.75" customHeight="1" x14ac:dyDescent="0.2">
      <c r="A110" t="s">
        <v>70</v>
      </c>
      <c r="B110" t="s">
        <v>555</v>
      </c>
      <c r="C110" t="s">
        <v>556</v>
      </c>
      <c r="D110" t="s">
        <v>612</v>
      </c>
      <c r="E110" t="s">
        <v>2361</v>
      </c>
      <c r="F110" t="s">
        <v>2558</v>
      </c>
      <c r="G110">
        <v>49442.04</v>
      </c>
      <c r="H110" t="s">
        <v>2559</v>
      </c>
      <c r="I110" t="s">
        <v>2560</v>
      </c>
    </row>
    <row r="111" spans="1:9" ht="15.75" customHeight="1" x14ac:dyDescent="0.2">
      <c r="A111" t="s">
        <v>70</v>
      </c>
      <c r="B111" t="s">
        <v>555</v>
      </c>
      <c r="C111" t="s">
        <v>556</v>
      </c>
      <c r="D111" t="s">
        <v>612</v>
      </c>
      <c r="E111" t="s">
        <v>2361</v>
      </c>
      <c r="F111" t="s">
        <v>2561</v>
      </c>
      <c r="G111">
        <v>0</v>
      </c>
      <c r="H111" t="s">
        <v>2562</v>
      </c>
      <c r="I111" t="s">
        <v>2563</v>
      </c>
    </row>
    <row r="112" spans="1:9" ht="15.75" customHeight="1" x14ac:dyDescent="0.2">
      <c r="A112" t="s">
        <v>70</v>
      </c>
      <c r="B112" t="s">
        <v>555</v>
      </c>
      <c r="C112" t="s">
        <v>556</v>
      </c>
      <c r="D112" t="s">
        <v>612</v>
      </c>
      <c r="E112" t="s">
        <v>2361</v>
      </c>
      <c r="F112" t="s">
        <v>2564</v>
      </c>
      <c r="G112">
        <v>49000</v>
      </c>
      <c r="H112" t="s">
        <v>2565</v>
      </c>
      <c r="I112" t="s">
        <v>2566</v>
      </c>
    </row>
    <row r="113" spans="1:8" ht="15.75" customHeight="1" x14ac:dyDescent="0.2">
      <c r="A113" t="s">
        <v>276</v>
      </c>
      <c r="B113" t="s">
        <v>562</v>
      </c>
      <c r="C113" t="s">
        <v>563</v>
      </c>
      <c r="D113" t="s">
        <v>612</v>
      </c>
      <c r="E113" t="s">
        <v>2361</v>
      </c>
      <c r="F113" t="s">
        <v>2567</v>
      </c>
      <c r="G113">
        <v>13600</v>
      </c>
      <c r="H113" t="s">
        <v>2568</v>
      </c>
    </row>
    <row r="114" spans="1:8" ht="15.75" customHeight="1" x14ac:dyDescent="0.2">
      <c r="A114" t="s">
        <v>276</v>
      </c>
      <c r="B114" t="s">
        <v>562</v>
      </c>
      <c r="C114" t="s">
        <v>563</v>
      </c>
      <c r="D114" t="s">
        <v>612</v>
      </c>
      <c r="E114" t="s">
        <v>2361</v>
      </c>
      <c r="F114" t="s">
        <v>2569</v>
      </c>
      <c r="G114">
        <v>3150</v>
      </c>
      <c r="H114" t="s">
        <v>2570</v>
      </c>
    </row>
    <row r="115" spans="1:8" ht="15.75" customHeight="1" x14ac:dyDescent="0.2">
      <c r="A115" t="s">
        <v>276</v>
      </c>
      <c r="B115" t="s">
        <v>568</v>
      </c>
      <c r="C115" t="s">
        <v>569</v>
      </c>
      <c r="D115" t="s">
        <v>913</v>
      </c>
    </row>
    <row r="116" spans="1:8" ht="15.75" customHeight="1" x14ac:dyDescent="0.2">
      <c r="A116" t="s">
        <v>276</v>
      </c>
      <c r="B116" t="s">
        <v>574</v>
      </c>
      <c r="C116" t="s">
        <v>575</v>
      </c>
      <c r="D116" t="s">
        <v>612</v>
      </c>
      <c r="E116" t="s">
        <v>2361</v>
      </c>
      <c r="F116" t="s">
        <v>2571</v>
      </c>
      <c r="G116">
        <v>3500</v>
      </c>
      <c r="H116" t="s">
        <v>2572</v>
      </c>
    </row>
    <row r="117" spans="1:8" ht="15.75" customHeight="1" x14ac:dyDescent="0.2"/>
    <row r="118" spans="1:8" ht="15.75" customHeight="1" x14ac:dyDescent="0.2"/>
    <row r="119" spans="1:8" ht="15.75" customHeight="1" x14ac:dyDescent="0.2"/>
    <row r="120" spans="1:8" ht="15.75" customHeight="1" x14ac:dyDescent="0.2"/>
    <row r="121" spans="1:8" ht="15.75" customHeight="1" x14ac:dyDescent="0.2"/>
    <row r="122" spans="1:8" ht="15.75" customHeight="1" x14ac:dyDescent="0.2"/>
    <row r="123" spans="1:8" ht="15.75" customHeight="1" x14ac:dyDescent="0.2"/>
    <row r="124" spans="1:8" ht="15.75" customHeight="1" x14ac:dyDescent="0.2"/>
    <row r="125" spans="1:8" ht="15.75" customHeight="1" x14ac:dyDescent="0.2"/>
    <row r="126" spans="1:8" ht="15.75" customHeight="1" x14ac:dyDescent="0.2"/>
    <row r="127" spans="1:8" ht="15.75" customHeight="1" x14ac:dyDescent="0.2"/>
    <row r="128" spans="1: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00"/>
  <sheetViews>
    <sheetView workbookViewId="0"/>
  </sheetViews>
  <sheetFormatPr baseColWidth="10" defaultColWidth="14.5" defaultRowHeight="15" customHeight="1" x14ac:dyDescent="0.2"/>
  <cols>
    <col min="1" max="26" width="8.6640625" customWidth="1"/>
  </cols>
  <sheetData>
    <row r="1" spans="1:9" x14ac:dyDescent="0.2">
      <c r="A1" s="1" t="s">
        <v>0</v>
      </c>
      <c r="B1" s="1" t="s">
        <v>1</v>
      </c>
      <c r="C1" s="1" t="s">
        <v>2</v>
      </c>
      <c r="D1" s="1" t="s">
        <v>2573</v>
      </c>
      <c r="E1" s="1" t="s">
        <v>2574</v>
      </c>
      <c r="F1" s="1" t="s">
        <v>2575</v>
      </c>
      <c r="G1" s="1" t="s">
        <v>2576</v>
      </c>
      <c r="H1" s="1" t="s">
        <v>1683</v>
      </c>
      <c r="I1" s="1" t="s">
        <v>16</v>
      </c>
    </row>
    <row r="2" spans="1:9" x14ac:dyDescent="0.2">
      <c r="A2" s="5" t="s">
        <v>26</v>
      </c>
      <c r="B2" s="5" t="s">
        <v>27</v>
      </c>
      <c r="C2" s="5" t="s">
        <v>28</v>
      </c>
      <c r="D2" s="5" t="s">
        <v>913</v>
      </c>
    </row>
    <row r="3" spans="1:9" x14ac:dyDescent="0.2">
      <c r="A3" s="5" t="s">
        <v>26</v>
      </c>
      <c r="B3" s="5" t="s">
        <v>40</v>
      </c>
      <c r="C3" s="5" t="s">
        <v>41</v>
      </c>
      <c r="D3" s="5" t="s">
        <v>913</v>
      </c>
    </row>
    <row r="4" spans="1:9" x14ac:dyDescent="0.2">
      <c r="A4" s="5" t="s">
        <v>26</v>
      </c>
      <c r="B4" s="5" t="s">
        <v>40</v>
      </c>
      <c r="C4" s="5" t="s">
        <v>41</v>
      </c>
      <c r="D4" s="5" t="s">
        <v>913</v>
      </c>
    </row>
    <row r="5" spans="1:9" x14ac:dyDescent="0.2">
      <c r="A5" s="5" t="s">
        <v>26</v>
      </c>
      <c r="B5" s="5" t="s">
        <v>50</v>
      </c>
      <c r="C5" s="5" t="s">
        <v>51</v>
      </c>
      <c r="D5" s="5" t="s">
        <v>913</v>
      </c>
    </row>
    <row r="6" spans="1:9" x14ac:dyDescent="0.2">
      <c r="A6" s="5" t="s">
        <v>26</v>
      </c>
      <c r="B6" s="5" t="s">
        <v>61</v>
      </c>
      <c r="C6" s="5" t="s">
        <v>62</v>
      </c>
      <c r="D6" s="5" t="s">
        <v>913</v>
      </c>
    </row>
    <row r="7" spans="1:9" x14ac:dyDescent="0.2">
      <c r="A7" s="5" t="s">
        <v>70</v>
      </c>
      <c r="B7" s="5" t="s">
        <v>71</v>
      </c>
      <c r="C7" s="5" t="s">
        <v>72</v>
      </c>
      <c r="D7" s="5" t="s">
        <v>612</v>
      </c>
      <c r="E7" s="5" t="s">
        <v>2577</v>
      </c>
      <c r="F7" s="5" t="s">
        <v>2578</v>
      </c>
      <c r="G7" s="5">
        <v>195000000</v>
      </c>
      <c r="H7" s="5">
        <v>1</v>
      </c>
      <c r="I7" s="5" t="s">
        <v>2579</v>
      </c>
    </row>
    <row r="8" spans="1:9" x14ac:dyDescent="0.2">
      <c r="A8" s="5" t="s">
        <v>70</v>
      </c>
      <c r="B8" s="5" t="s">
        <v>71</v>
      </c>
      <c r="C8" s="5" t="s">
        <v>72</v>
      </c>
      <c r="D8" s="5" t="s">
        <v>612</v>
      </c>
      <c r="E8" s="5" t="s">
        <v>2580</v>
      </c>
      <c r="F8" s="5" t="s">
        <v>2578</v>
      </c>
      <c r="G8" s="5">
        <v>10</v>
      </c>
      <c r="H8" s="5">
        <v>1</v>
      </c>
      <c r="I8" s="5" t="s">
        <v>2581</v>
      </c>
    </row>
    <row r="9" spans="1:9" x14ac:dyDescent="0.2">
      <c r="A9" s="5" t="s">
        <v>70</v>
      </c>
      <c r="B9" s="5" t="s">
        <v>82</v>
      </c>
      <c r="C9" s="5" t="s">
        <v>83</v>
      </c>
      <c r="D9" s="5" t="s">
        <v>612</v>
      </c>
      <c r="E9" s="5" t="s">
        <v>2582</v>
      </c>
      <c r="F9" s="5" t="s">
        <v>2578</v>
      </c>
      <c r="G9" s="5">
        <v>49873</v>
      </c>
      <c r="H9" s="5">
        <v>1</v>
      </c>
      <c r="I9" s="5" t="s">
        <v>2583</v>
      </c>
    </row>
    <row r="10" spans="1:9" x14ac:dyDescent="0.2">
      <c r="A10" s="5" t="s">
        <v>70</v>
      </c>
      <c r="B10" s="5" t="s">
        <v>93</v>
      </c>
      <c r="C10" s="5" t="s">
        <v>94</v>
      </c>
      <c r="D10" s="5" t="s">
        <v>913</v>
      </c>
    </row>
    <row r="11" spans="1:9" x14ac:dyDescent="0.2">
      <c r="A11" s="5" t="s">
        <v>70</v>
      </c>
      <c r="B11" s="5" t="s">
        <v>102</v>
      </c>
      <c r="C11" s="5" t="s">
        <v>103</v>
      </c>
      <c r="D11" s="5" t="s">
        <v>612</v>
      </c>
      <c r="E11" s="5" t="s">
        <v>2584</v>
      </c>
      <c r="F11" s="5" t="s">
        <v>2578</v>
      </c>
      <c r="G11" s="5">
        <v>9500</v>
      </c>
      <c r="H11" s="5">
        <v>10</v>
      </c>
      <c r="I11" s="5" t="s">
        <v>2585</v>
      </c>
    </row>
    <row r="12" spans="1:9" x14ac:dyDescent="0.2">
      <c r="A12" s="5" t="s">
        <v>70</v>
      </c>
      <c r="B12" s="5" t="s">
        <v>102</v>
      </c>
      <c r="C12" s="5" t="s">
        <v>103</v>
      </c>
      <c r="D12" s="5" t="s">
        <v>612</v>
      </c>
      <c r="E12" s="5" t="s">
        <v>2586</v>
      </c>
      <c r="F12" s="5" t="s">
        <v>2578</v>
      </c>
      <c r="G12" s="5">
        <v>9500</v>
      </c>
      <c r="H12" s="5">
        <v>10</v>
      </c>
      <c r="I12" s="5" t="s">
        <v>2587</v>
      </c>
    </row>
    <row r="13" spans="1:9" x14ac:dyDescent="0.2">
      <c r="A13" s="5" t="s">
        <v>70</v>
      </c>
      <c r="B13" s="5" t="s">
        <v>112</v>
      </c>
      <c r="C13" s="5" t="s">
        <v>113</v>
      </c>
      <c r="D13" s="5" t="s">
        <v>913</v>
      </c>
    </row>
    <row r="14" spans="1:9" x14ac:dyDescent="0.2">
      <c r="A14" s="5" t="s">
        <v>70</v>
      </c>
      <c r="B14" s="5" t="s">
        <v>123</v>
      </c>
      <c r="C14" s="5" t="s">
        <v>124</v>
      </c>
      <c r="D14" s="5" t="s">
        <v>913</v>
      </c>
    </row>
    <row r="15" spans="1:9" x14ac:dyDescent="0.2">
      <c r="A15" s="5" t="s">
        <v>70</v>
      </c>
      <c r="B15" s="5" t="s">
        <v>134</v>
      </c>
      <c r="C15" s="5" t="s">
        <v>135</v>
      </c>
      <c r="D15" s="5" t="s">
        <v>612</v>
      </c>
      <c r="E15" s="5" t="s">
        <v>2588</v>
      </c>
      <c r="F15" s="5" t="s">
        <v>2578</v>
      </c>
      <c r="G15" s="5">
        <v>1031487</v>
      </c>
      <c r="H15" s="5">
        <v>1</v>
      </c>
      <c r="I15" s="5" t="s">
        <v>2589</v>
      </c>
    </row>
    <row r="16" spans="1:9" x14ac:dyDescent="0.2">
      <c r="A16" s="5" t="s">
        <v>70</v>
      </c>
      <c r="B16" s="5" t="s">
        <v>134</v>
      </c>
      <c r="C16" s="5" t="s">
        <v>135</v>
      </c>
      <c r="D16" s="5" t="s">
        <v>612</v>
      </c>
      <c r="E16" s="5" t="s">
        <v>2590</v>
      </c>
      <c r="F16" s="5" t="s">
        <v>2578</v>
      </c>
      <c r="G16" s="5">
        <v>800</v>
      </c>
      <c r="H16" s="5">
        <v>1</v>
      </c>
      <c r="I16" s="5" t="s">
        <v>2591</v>
      </c>
    </row>
    <row r="17" spans="1:9" x14ac:dyDescent="0.2">
      <c r="A17" s="5" t="s">
        <v>70</v>
      </c>
      <c r="B17" s="5" t="s">
        <v>134</v>
      </c>
      <c r="C17" s="5" t="s">
        <v>135</v>
      </c>
      <c r="D17" s="5" t="s">
        <v>612</v>
      </c>
      <c r="E17" s="5" t="s">
        <v>2592</v>
      </c>
      <c r="F17" s="5" t="s">
        <v>2578</v>
      </c>
      <c r="G17" s="5">
        <v>700</v>
      </c>
      <c r="H17" s="5">
        <v>1</v>
      </c>
      <c r="I17" s="5" t="s">
        <v>2593</v>
      </c>
    </row>
    <row r="18" spans="1:9" x14ac:dyDescent="0.2">
      <c r="A18" s="5" t="s">
        <v>70</v>
      </c>
      <c r="B18" s="5" t="s">
        <v>134</v>
      </c>
      <c r="C18" s="5" t="s">
        <v>135</v>
      </c>
      <c r="D18" s="5" t="s">
        <v>612</v>
      </c>
      <c r="E18" s="5" t="s">
        <v>746</v>
      </c>
      <c r="F18" s="5" t="s">
        <v>2578</v>
      </c>
      <c r="G18" s="5">
        <v>21000</v>
      </c>
      <c r="H18" s="5">
        <v>10</v>
      </c>
      <c r="I18" s="5" t="s">
        <v>2594</v>
      </c>
    </row>
    <row r="19" spans="1:9" x14ac:dyDescent="0.2">
      <c r="A19" s="5" t="s">
        <v>70</v>
      </c>
      <c r="B19" s="5" t="s">
        <v>134</v>
      </c>
      <c r="C19" s="5" t="s">
        <v>135</v>
      </c>
      <c r="D19" s="5" t="s">
        <v>612</v>
      </c>
      <c r="E19" s="5" t="s">
        <v>2595</v>
      </c>
      <c r="F19" s="5" t="s">
        <v>2578</v>
      </c>
      <c r="G19" s="5">
        <v>33401</v>
      </c>
      <c r="H19" s="5">
        <v>1</v>
      </c>
      <c r="I19" s="5" t="s">
        <v>2596</v>
      </c>
    </row>
    <row r="20" spans="1:9" x14ac:dyDescent="0.2">
      <c r="A20" s="5" t="s">
        <v>70</v>
      </c>
      <c r="B20" s="5" t="s">
        <v>134</v>
      </c>
      <c r="C20" s="5" t="s">
        <v>135</v>
      </c>
      <c r="D20" s="5" t="s">
        <v>612</v>
      </c>
      <c r="E20" s="5" t="s">
        <v>2597</v>
      </c>
      <c r="F20" s="5" t="s">
        <v>2578</v>
      </c>
      <c r="G20" s="5">
        <v>10500</v>
      </c>
      <c r="H20" s="5">
        <v>10</v>
      </c>
      <c r="I20" s="5" t="s">
        <v>2598</v>
      </c>
    </row>
    <row r="21" spans="1:9" ht="15.75" customHeight="1" x14ac:dyDescent="0.2">
      <c r="A21" s="5" t="s">
        <v>70</v>
      </c>
      <c r="B21" s="5" t="s">
        <v>144</v>
      </c>
      <c r="C21" s="5" t="s">
        <v>145</v>
      </c>
      <c r="D21" s="5" t="s">
        <v>612</v>
      </c>
      <c r="E21" s="5" t="s">
        <v>754</v>
      </c>
      <c r="F21" s="5" t="s">
        <v>2578</v>
      </c>
      <c r="G21" s="5">
        <v>838025</v>
      </c>
      <c r="H21" s="5">
        <v>1</v>
      </c>
      <c r="I21" s="5" t="s">
        <v>2599</v>
      </c>
    </row>
    <row r="22" spans="1:9" ht="15.75" customHeight="1" x14ac:dyDescent="0.2">
      <c r="A22" s="5" t="s">
        <v>70</v>
      </c>
      <c r="B22" s="5" t="s">
        <v>144</v>
      </c>
      <c r="C22" s="5" t="s">
        <v>145</v>
      </c>
      <c r="D22" s="5" t="s">
        <v>612</v>
      </c>
      <c r="E22" s="5" t="s">
        <v>2600</v>
      </c>
      <c r="F22" s="5" t="s">
        <v>2578</v>
      </c>
      <c r="G22" s="5">
        <v>50729</v>
      </c>
      <c r="H22" s="5">
        <v>1</v>
      </c>
      <c r="I22" s="5" t="s">
        <v>2601</v>
      </c>
    </row>
    <row r="23" spans="1:9" ht="15.75" customHeight="1" x14ac:dyDescent="0.2">
      <c r="A23" s="5" t="s">
        <v>70</v>
      </c>
      <c r="B23" s="5" t="s">
        <v>154</v>
      </c>
      <c r="C23" s="5" t="s">
        <v>155</v>
      </c>
      <c r="D23" s="5" t="s">
        <v>913</v>
      </c>
    </row>
    <row r="24" spans="1:9" ht="15.75" customHeight="1" x14ac:dyDescent="0.2">
      <c r="A24" s="5" t="s">
        <v>70</v>
      </c>
      <c r="B24" s="5" t="s">
        <v>165</v>
      </c>
      <c r="C24" s="5" t="s">
        <v>166</v>
      </c>
      <c r="D24" s="5" t="s">
        <v>612</v>
      </c>
      <c r="E24" s="5" t="s">
        <v>2602</v>
      </c>
      <c r="F24" s="5" t="s">
        <v>2578</v>
      </c>
      <c r="G24" s="5">
        <v>88</v>
      </c>
      <c r="H24" s="5">
        <v>63600</v>
      </c>
      <c r="I24" s="5" t="s">
        <v>2603</v>
      </c>
    </row>
    <row r="25" spans="1:9" ht="15.75" customHeight="1" x14ac:dyDescent="0.2">
      <c r="A25" s="5" t="s">
        <v>70</v>
      </c>
      <c r="B25" s="5" t="s">
        <v>165</v>
      </c>
      <c r="C25" s="5" t="s">
        <v>166</v>
      </c>
      <c r="D25" s="5" t="s">
        <v>612</v>
      </c>
      <c r="E25" s="5" t="s">
        <v>2604</v>
      </c>
      <c r="F25" s="5" t="s">
        <v>2578</v>
      </c>
      <c r="G25" s="5">
        <v>97</v>
      </c>
      <c r="H25" s="5">
        <v>527203.89</v>
      </c>
      <c r="I25" s="5" t="s">
        <v>2605</v>
      </c>
    </row>
    <row r="26" spans="1:9" ht="15.75" customHeight="1" x14ac:dyDescent="0.2">
      <c r="A26" s="5" t="s">
        <v>70</v>
      </c>
      <c r="B26" s="5" t="s">
        <v>165</v>
      </c>
      <c r="C26" s="5" t="s">
        <v>166</v>
      </c>
      <c r="D26" s="5" t="s">
        <v>612</v>
      </c>
      <c r="E26" s="5" t="s">
        <v>2606</v>
      </c>
      <c r="F26" s="5" t="s">
        <v>2578</v>
      </c>
      <c r="G26" s="5">
        <v>100</v>
      </c>
      <c r="H26" s="5">
        <v>4900</v>
      </c>
      <c r="I26" s="5" t="s">
        <v>2607</v>
      </c>
    </row>
    <row r="27" spans="1:9" ht="15.75" customHeight="1" x14ac:dyDescent="0.2">
      <c r="A27" s="5" t="s">
        <v>70</v>
      </c>
      <c r="B27" s="5" t="s">
        <v>176</v>
      </c>
      <c r="C27" s="5" t="s">
        <v>177</v>
      </c>
      <c r="D27" s="5" t="s">
        <v>612</v>
      </c>
      <c r="E27" s="5" t="s">
        <v>2608</v>
      </c>
      <c r="F27" s="5" t="s">
        <v>2609</v>
      </c>
      <c r="G27" s="5">
        <v>50</v>
      </c>
      <c r="H27" s="5">
        <v>100</v>
      </c>
      <c r="I27" s="5" t="s">
        <v>2610</v>
      </c>
    </row>
    <row r="28" spans="1:9" ht="15.75" customHeight="1" x14ac:dyDescent="0.2">
      <c r="A28" s="5" t="s">
        <v>70</v>
      </c>
      <c r="B28" s="5" t="s">
        <v>176</v>
      </c>
      <c r="C28" s="5" t="s">
        <v>177</v>
      </c>
      <c r="D28" s="5" t="s">
        <v>612</v>
      </c>
      <c r="E28" s="5" t="s">
        <v>2611</v>
      </c>
      <c r="F28" s="5" t="s">
        <v>2578</v>
      </c>
      <c r="G28" s="5">
        <v>5000</v>
      </c>
      <c r="H28" s="5">
        <v>1</v>
      </c>
      <c r="I28" s="5" t="s">
        <v>2610</v>
      </c>
    </row>
    <row r="29" spans="1:9" ht="15.75" customHeight="1" x14ac:dyDescent="0.2">
      <c r="A29" s="5" t="s">
        <v>70</v>
      </c>
      <c r="B29" s="5" t="s">
        <v>176</v>
      </c>
      <c r="C29" s="5" t="s">
        <v>177</v>
      </c>
      <c r="D29" s="5" t="s">
        <v>612</v>
      </c>
      <c r="E29" s="5" t="s">
        <v>2612</v>
      </c>
      <c r="F29" s="5" t="s">
        <v>2609</v>
      </c>
      <c r="G29" s="5">
        <v>50</v>
      </c>
      <c r="H29" s="5">
        <v>100</v>
      </c>
      <c r="I29" s="5" t="s">
        <v>2610</v>
      </c>
    </row>
    <row r="30" spans="1:9" ht="15.75" customHeight="1" x14ac:dyDescent="0.2">
      <c r="A30" s="5" t="s">
        <v>70</v>
      </c>
      <c r="B30" s="5" t="s">
        <v>176</v>
      </c>
      <c r="C30" s="5" t="s">
        <v>177</v>
      </c>
      <c r="D30" s="5" t="s">
        <v>612</v>
      </c>
      <c r="E30" s="5" t="s">
        <v>2613</v>
      </c>
      <c r="F30" s="5" t="s">
        <v>2578</v>
      </c>
      <c r="G30" s="5">
        <v>70</v>
      </c>
      <c r="H30" s="5">
        <v>100000</v>
      </c>
      <c r="I30" s="5" t="s">
        <v>2614</v>
      </c>
    </row>
    <row r="31" spans="1:9" ht="15.75" customHeight="1" x14ac:dyDescent="0.2">
      <c r="A31" s="5" t="s">
        <v>70</v>
      </c>
      <c r="B31" s="5" t="s">
        <v>176</v>
      </c>
      <c r="C31" s="5" t="s">
        <v>177</v>
      </c>
      <c r="D31" s="5" t="s">
        <v>612</v>
      </c>
      <c r="E31" s="5" t="s">
        <v>2615</v>
      </c>
      <c r="F31" s="5" t="s">
        <v>2578</v>
      </c>
      <c r="G31" s="5">
        <v>80</v>
      </c>
      <c r="H31" s="5">
        <v>5</v>
      </c>
      <c r="I31" s="5" t="s">
        <v>2616</v>
      </c>
    </row>
    <row r="32" spans="1:9" ht="15.75" customHeight="1" x14ac:dyDescent="0.2">
      <c r="A32" s="5" t="s">
        <v>70</v>
      </c>
      <c r="B32" s="5" t="s">
        <v>176</v>
      </c>
      <c r="C32" s="5" t="s">
        <v>177</v>
      </c>
      <c r="D32" s="5" t="s">
        <v>612</v>
      </c>
      <c r="E32" s="5" t="s">
        <v>2617</v>
      </c>
      <c r="F32" s="5" t="s">
        <v>2578</v>
      </c>
      <c r="G32" s="5">
        <v>5</v>
      </c>
      <c r="H32" s="5">
        <v>100</v>
      </c>
      <c r="I32" s="5" t="s">
        <v>2618</v>
      </c>
    </row>
    <row r="33" spans="1:9" ht="15.75" customHeight="1" x14ac:dyDescent="0.2">
      <c r="A33" s="5" t="s">
        <v>70</v>
      </c>
      <c r="B33" s="5" t="s">
        <v>176</v>
      </c>
      <c r="C33" s="5" t="s">
        <v>177</v>
      </c>
      <c r="D33" s="5" t="s">
        <v>612</v>
      </c>
      <c r="E33" s="5" t="s">
        <v>2619</v>
      </c>
      <c r="F33" s="5" t="s">
        <v>2578</v>
      </c>
      <c r="G33" s="5">
        <v>7200</v>
      </c>
      <c r="H33" s="5">
        <v>1</v>
      </c>
      <c r="I33" s="5" t="s">
        <v>2620</v>
      </c>
    </row>
    <row r="34" spans="1:9" ht="15.75" customHeight="1" x14ac:dyDescent="0.2">
      <c r="A34" s="5" t="s">
        <v>70</v>
      </c>
      <c r="B34" s="5" t="s">
        <v>176</v>
      </c>
      <c r="C34" s="5" t="s">
        <v>177</v>
      </c>
      <c r="D34" s="5" t="s">
        <v>612</v>
      </c>
      <c r="E34" s="5" t="s">
        <v>2621</v>
      </c>
      <c r="F34" s="5" t="s">
        <v>2609</v>
      </c>
      <c r="G34" s="5">
        <v>100</v>
      </c>
      <c r="H34" s="5">
        <v>1</v>
      </c>
      <c r="I34" s="5" t="s">
        <v>2622</v>
      </c>
    </row>
    <row r="35" spans="1:9" ht="15.75" customHeight="1" x14ac:dyDescent="0.2">
      <c r="A35" s="5" t="s">
        <v>70</v>
      </c>
      <c r="B35" s="5" t="s">
        <v>184</v>
      </c>
      <c r="C35" s="5" t="s">
        <v>185</v>
      </c>
      <c r="D35" s="5" t="s">
        <v>913</v>
      </c>
    </row>
    <row r="36" spans="1:9" ht="15.75" customHeight="1" x14ac:dyDescent="0.2">
      <c r="A36" s="5" t="s">
        <v>70</v>
      </c>
      <c r="B36" s="5" t="s">
        <v>193</v>
      </c>
      <c r="C36" s="5" t="s">
        <v>194</v>
      </c>
      <c r="D36" s="5" t="s">
        <v>913</v>
      </c>
    </row>
    <row r="37" spans="1:9" ht="15.75" customHeight="1" x14ac:dyDescent="0.2">
      <c r="A37" s="5" t="s">
        <v>70</v>
      </c>
      <c r="B37" s="5" t="s">
        <v>200</v>
      </c>
      <c r="C37" s="5" t="s">
        <v>201</v>
      </c>
      <c r="D37" s="5" t="s">
        <v>612</v>
      </c>
      <c r="E37" s="5" t="s">
        <v>2623</v>
      </c>
      <c r="F37" s="5" t="s">
        <v>2578</v>
      </c>
      <c r="G37" s="5">
        <v>30100</v>
      </c>
      <c r="H37" s="5">
        <v>1</v>
      </c>
      <c r="I37" s="5" t="s">
        <v>2624</v>
      </c>
    </row>
    <row r="38" spans="1:9" ht="15.75" customHeight="1" x14ac:dyDescent="0.2">
      <c r="A38" s="5" t="s">
        <v>70</v>
      </c>
      <c r="B38" s="5" t="s">
        <v>211</v>
      </c>
      <c r="C38" s="5" t="s">
        <v>212</v>
      </c>
      <c r="D38" s="5" t="s">
        <v>612</v>
      </c>
      <c r="E38" s="5" t="s">
        <v>2625</v>
      </c>
      <c r="F38" s="5" t="s">
        <v>2578</v>
      </c>
      <c r="G38" s="5">
        <v>16650</v>
      </c>
      <c r="H38" s="5">
        <v>16650</v>
      </c>
    </row>
    <row r="39" spans="1:9" ht="15.75" customHeight="1" x14ac:dyDescent="0.2">
      <c r="A39" s="5" t="s">
        <v>70</v>
      </c>
      <c r="B39" s="5" t="s">
        <v>211</v>
      </c>
      <c r="C39" s="5" t="s">
        <v>212</v>
      </c>
      <c r="D39" s="5" t="s">
        <v>612</v>
      </c>
      <c r="E39" s="5" t="s">
        <v>2626</v>
      </c>
      <c r="F39" s="5" t="s">
        <v>2578</v>
      </c>
      <c r="G39" s="5">
        <v>500000</v>
      </c>
      <c r="H39" s="5">
        <v>500000</v>
      </c>
    </row>
    <row r="40" spans="1:9" ht="15.75" customHeight="1" x14ac:dyDescent="0.2">
      <c r="A40" s="5" t="s">
        <v>70</v>
      </c>
      <c r="B40" s="5" t="s">
        <v>221</v>
      </c>
      <c r="C40" s="5" t="s">
        <v>222</v>
      </c>
      <c r="D40" s="5" t="s">
        <v>612</v>
      </c>
      <c r="E40" s="5" t="s">
        <v>2627</v>
      </c>
      <c r="F40" s="5" t="s">
        <v>2609</v>
      </c>
      <c r="G40" s="5">
        <v>1</v>
      </c>
      <c r="H40" s="5">
        <v>1000</v>
      </c>
    </row>
    <row r="41" spans="1:9" ht="15.75" customHeight="1" x14ac:dyDescent="0.2">
      <c r="A41" s="5" t="s">
        <v>70</v>
      </c>
      <c r="B41" s="5" t="s">
        <v>229</v>
      </c>
      <c r="C41" s="5" t="s">
        <v>230</v>
      </c>
      <c r="D41" s="5" t="s">
        <v>913</v>
      </c>
    </row>
    <row r="42" spans="1:9" ht="15.75" customHeight="1" x14ac:dyDescent="0.2">
      <c r="A42" s="5" t="s">
        <v>70</v>
      </c>
      <c r="B42" s="5" t="s">
        <v>238</v>
      </c>
      <c r="C42" s="5" t="s">
        <v>239</v>
      </c>
      <c r="D42" s="5" t="s">
        <v>913</v>
      </c>
    </row>
    <row r="43" spans="1:9" ht="15.75" customHeight="1" x14ac:dyDescent="0.2">
      <c r="A43" s="5" t="s">
        <v>70</v>
      </c>
      <c r="B43" s="5" t="s">
        <v>247</v>
      </c>
      <c r="C43" s="5" t="s">
        <v>248</v>
      </c>
      <c r="D43" s="5" t="s">
        <v>913</v>
      </c>
    </row>
    <row r="44" spans="1:9" ht="15.75" customHeight="1" x14ac:dyDescent="0.2">
      <c r="A44" s="5" t="s">
        <v>70</v>
      </c>
      <c r="B44" s="5" t="s">
        <v>257</v>
      </c>
      <c r="C44" s="5" t="s">
        <v>258</v>
      </c>
      <c r="D44" s="5" t="s">
        <v>913</v>
      </c>
    </row>
    <row r="45" spans="1:9" ht="15.75" customHeight="1" x14ac:dyDescent="0.2">
      <c r="A45" s="5" t="s">
        <v>70</v>
      </c>
      <c r="B45" s="5" t="s">
        <v>268</v>
      </c>
      <c r="C45" s="5" t="s">
        <v>269</v>
      </c>
      <c r="D45" s="5" t="s">
        <v>612</v>
      </c>
      <c r="E45" s="5" t="s">
        <v>2628</v>
      </c>
      <c r="F45" s="5" t="s">
        <v>2609</v>
      </c>
      <c r="G45" s="5">
        <v>47340</v>
      </c>
      <c r="H45" s="5">
        <v>1</v>
      </c>
      <c r="I45" s="5" t="s">
        <v>2629</v>
      </c>
    </row>
    <row r="46" spans="1:9" ht="15.75" customHeight="1" x14ac:dyDescent="0.2">
      <c r="A46" s="5" t="s">
        <v>70</v>
      </c>
      <c r="B46" s="5" t="s">
        <v>268</v>
      </c>
      <c r="C46" s="5" t="s">
        <v>269</v>
      </c>
      <c r="D46" s="5" t="s">
        <v>612</v>
      </c>
      <c r="E46" s="5" t="s">
        <v>2630</v>
      </c>
      <c r="F46" s="5" t="s">
        <v>2609</v>
      </c>
      <c r="G46" s="5">
        <v>42136</v>
      </c>
      <c r="H46" s="5">
        <v>1</v>
      </c>
      <c r="I46" s="5" t="s">
        <v>2631</v>
      </c>
    </row>
    <row r="47" spans="1:9" ht="15.75" customHeight="1" x14ac:dyDescent="0.2">
      <c r="A47" s="5" t="s">
        <v>70</v>
      </c>
      <c r="B47" s="5" t="s">
        <v>268</v>
      </c>
      <c r="C47" s="5" t="s">
        <v>269</v>
      </c>
      <c r="D47" s="5" t="s">
        <v>612</v>
      </c>
      <c r="E47" s="5" t="s">
        <v>2632</v>
      </c>
      <c r="F47" s="5" t="s">
        <v>2578</v>
      </c>
      <c r="G47" s="5">
        <v>800</v>
      </c>
      <c r="H47" s="5">
        <v>1</v>
      </c>
      <c r="I47" s="5" t="s">
        <v>2633</v>
      </c>
    </row>
    <row r="48" spans="1:9" ht="15.75" customHeight="1" x14ac:dyDescent="0.2">
      <c r="A48" s="5" t="s">
        <v>70</v>
      </c>
      <c r="B48" s="5" t="s">
        <v>268</v>
      </c>
      <c r="C48" s="5" t="s">
        <v>269</v>
      </c>
      <c r="D48" s="5" t="s">
        <v>612</v>
      </c>
      <c r="E48" s="5" t="s">
        <v>2634</v>
      </c>
      <c r="F48" s="5" t="s">
        <v>2609</v>
      </c>
      <c r="G48" s="5">
        <v>429445</v>
      </c>
      <c r="H48" s="5">
        <v>1</v>
      </c>
      <c r="I48" s="5" t="s">
        <v>2635</v>
      </c>
    </row>
    <row r="49" spans="1:9" ht="15.75" customHeight="1" x14ac:dyDescent="0.2">
      <c r="A49" s="5" t="s">
        <v>276</v>
      </c>
      <c r="B49" s="5" t="s">
        <v>277</v>
      </c>
      <c r="C49" s="5" t="s">
        <v>278</v>
      </c>
      <c r="D49" s="5" t="s">
        <v>612</v>
      </c>
      <c r="E49" s="5" t="s">
        <v>2636</v>
      </c>
      <c r="F49" s="5" t="s">
        <v>2609</v>
      </c>
      <c r="G49" s="5">
        <v>65</v>
      </c>
      <c r="H49" s="5">
        <v>350000</v>
      </c>
    </row>
    <row r="50" spans="1:9" ht="15.75" customHeight="1" x14ac:dyDescent="0.2">
      <c r="A50" s="5" t="s">
        <v>276</v>
      </c>
      <c r="B50" s="5" t="s">
        <v>288</v>
      </c>
      <c r="C50" s="5" t="s">
        <v>289</v>
      </c>
      <c r="D50" s="5" t="s">
        <v>913</v>
      </c>
    </row>
    <row r="51" spans="1:9" ht="15.75" customHeight="1" x14ac:dyDescent="0.2">
      <c r="A51" s="5" t="s">
        <v>276</v>
      </c>
      <c r="B51" s="5" t="s">
        <v>296</v>
      </c>
      <c r="C51" s="5" t="s">
        <v>297</v>
      </c>
      <c r="D51" s="5" t="s">
        <v>913</v>
      </c>
    </row>
    <row r="52" spans="1:9" ht="15.75" customHeight="1" x14ac:dyDescent="0.2">
      <c r="A52" s="5" t="s">
        <v>276</v>
      </c>
      <c r="B52" s="5" t="s">
        <v>305</v>
      </c>
      <c r="C52" s="5" t="s">
        <v>306</v>
      </c>
      <c r="D52" s="5" t="s">
        <v>913</v>
      </c>
    </row>
    <row r="53" spans="1:9" ht="15.75" customHeight="1" x14ac:dyDescent="0.2">
      <c r="A53" s="5" t="s">
        <v>276</v>
      </c>
      <c r="B53" s="5" t="s">
        <v>316</v>
      </c>
      <c r="C53" s="5" t="s">
        <v>317</v>
      </c>
      <c r="D53" s="5" t="s">
        <v>913</v>
      </c>
    </row>
    <row r="54" spans="1:9" ht="15.75" customHeight="1" x14ac:dyDescent="0.2">
      <c r="A54" s="5" t="s">
        <v>276</v>
      </c>
      <c r="B54" s="5" t="s">
        <v>327</v>
      </c>
      <c r="C54" s="5" t="s">
        <v>328</v>
      </c>
      <c r="D54" s="5" t="s">
        <v>913</v>
      </c>
    </row>
    <row r="55" spans="1:9" ht="15.75" customHeight="1" x14ac:dyDescent="0.2">
      <c r="A55" s="5" t="s">
        <v>276</v>
      </c>
      <c r="B55" s="5" t="s">
        <v>337</v>
      </c>
      <c r="C55" s="5" t="s">
        <v>338</v>
      </c>
      <c r="D55" s="5" t="s">
        <v>913</v>
      </c>
    </row>
    <row r="56" spans="1:9" ht="15.75" customHeight="1" x14ac:dyDescent="0.2">
      <c r="A56" s="5" t="s">
        <v>276</v>
      </c>
      <c r="B56" s="5" t="s">
        <v>346</v>
      </c>
      <c r="C56" s="5" t="s">
        <v>347</v>
      </c>
      <c r="D56" s="5" t="s">
        <v>913</v>
      </c>
    </row>
    <row r="57" spans="1:9" ht="15.75" customHeight="1" x14ac:dyDescent="0.2">
      <c r="A57" s="5" t="s">
        <v>276</v>
      </c>
      <c r="B57" s="5" t="s">
        <v>355</v>
      </c>
      <c r="C57" s="5" t="s">
        <v>356</v>
      </c>
      <c r="D57" s="5" t="s">
        <v>913</v>
      </c>
    </row>
    <row r="58" spans="1:9" ht="15.75" customHeight="1" x14ac:dyDescent="0.2">
      <c r="A58" s="5" t="s">
        <v>276</v>
      </c>
      <c r="B58" s="5" t="s">
        <v>363</v>
      </c>
      <c r="C58" s="5" t="s">
        <v>364</v>
      </c>
      <c r="D58" s="5" t="s">
        <v>612</v>
      </c>
      <c r="E58" s="5" t="s">
        <v>2637</v>
      </c>
      <c r="F58" s="5" t="s">
        <v>2609</v>
      </c>
      <c r="G58" s="5">
        <v>50</v>
      </c>
      <c r="H58" s="5">
        <v>35000</v>
      </c>
      <c r="I58" s="5" t="s">
        <v>2638</v>
      </c>
    </row>
    <row r="59" spans="1:9" ht="15.75" customHeight="1" x14ac:dyDescent="0.2">
      <c r="A59" s="5" t="s">
        <v>276</v>
      </c>
      <c r="B59" s="5" t="s">
        <v>372</v>
      </c>
      <c r="C59" s="5" t="s">
        <v>373</v>
      </c>
      <c r="D59" s="5" t="s">
        <v>913</v>
      </c>
    </row>
    <row r="60" spans="1:9" ht="15.75" customHeight="1" x14ac:dyDescent="0.2">
      <c r="A60" s="5" t="s">
        <v>380</v>
      </c>
      <c r="B60" s="5" t="s">
        <v>381</v>
      </c>
      <c r="C60" s="5" t="s">
        <v>382</v>
      </c>
      <c r="D60" s="5" t="s">
        <v>913</v>
      </c>
    </row>
    <row r="61" spans="1:9" ht="15.75" customHeight="1" x14ac:dyDescent="0.2">
      <c r="A61" s="5" t="s">
        <v>380</v>
      </c>
      <c r="B61" s="5" t="s">
        <v>390</v>
      </c>
      <c r="C61" s="5" t="s">
        <v>391</v>
      </c>
      <c r="D61" s="5" t="s">
        <v>913</v>
      </c>
    </row>
    <row r="62" spans="1:9" ht="15.75" customHeight="1" x14ac:dyDescent="0.2">
      <c r="A62" s="5" t="s">
        <v>380</v>
      </c>
      <c r="B62" s="5" t="s">
        <v>390</v>
      </c>
      <c r="C62" s="5" t="s">
        <v>391</v>
      </c>
      <c r="D62" s="5" t="s">
        <v>913</v>
      </c>
    </row>
    <row r="63" spans="1:9" ht="15.75" customHeight="1" x14ac:dyDescent="0.2">
      <c r="A63" s="5" t="s">
        <v>380</v>
      </c>
      <c r="B63" s="5" t="s">
        <v>399</v>
      </c>
      <c r="C63" s="5" t="s">
        <v>400</v>
      </c>
      <c r="D63" s="5" t="s">
        <v>913</v>
      </c>
    </row>
    <row r="64" spans="1:9" ht="15.75" customHeight="1" x14ac:dyDescent="0.2">
      <c r="A64" s="5" t="s">
        <v>380</v>
      </c>
      <c r="B64" s="5" t="s">
        <v>407</v>
      </c>
      <c r="C64" s="5" t="s">
        <v>408</v>
      </c>
      <c r="D64" s="5" t="s">
        <v>913</v>
      </c>
    </row>
    <row r="65" spans="1:9" ht="15.75" customHeight="1" x14ac:dyDescent="0.2">
      <c r="A65" s="5" t="s">
        <v>380</v>
      </c>
      <c r="B65" s="5" t="s">
        <v>417</v>
      </c>
      <c r="C65" s="5" t="s">
        <v>418</v>
      </c>
      <c r="D65" s="5" t="s">
        <v>612</v>
      </c>
      <c r="E65" s="5" t="s">
        <v>2639</v>
      </c>
      <c r="F65" s="5" t="s">
        <v>2609</v>
      </c>
      <c r="G65" s="5">
        <v>919700</v>
      </c>
      <c r="H65" s="5">
        <v>3.6</v>
      </c>
    </row>
    <row r="66" spans="1:9" ht="15.75" customHeight="1" x14ac:dyDescent="0.2">
      <c r="A66" s="5" t="s">
        <v>426</v>
      </c>
      <c r="B66" s="5" t="s">
        <v>427</v>
      </c>
      <c r="C66" s="5" t="s">
        <v>428</v>
      </c>
      <c r="D66" s="5" t="s">
        <v>612</v>
      </c>
      <c r="E66" s="5" t="s">
        <v>2640</v>
      </c>
      <c r="F66" s="5" t="s">
        <v>2578</v>
      </c>
      <c r="G66" s="5">
        <v>800</v>
      </c>
      <c r="H66" s="5">
        <v>1</v>
      </c>
    </row>
    <row r="67" spans="1:9" ht="15.75" customHeight="1" x14ac:dyDescent="0.2">
      <c r="A67" s="5" t="s">
        <v>426</v>
      </c>
      <c r="B67" s="5" t="s">
        <v>435</v>
      </c>
      <c r="C67" s="5" t="s">
        <v>436</v>
      </c>
      <c r="D67" s="5" t="s">
        <v>612</v>
      </c>
      <c r="E67" s="5" t="s">
        <v>1022</v>
      </c>
      <c r="F67" s="5" t="s">
        <v>2609</v>
      </c>
      <c r="G67" s="5">
        <v>75</v>
      </c>
      <c r="H67" s="5">
        <v>75</v>
      </c>
    </row>
    <row r="68" spans="1:9" ht="15.75" customHeight="1" x14ac:dyDescent="0.2">
      <c r="A68" s="5" t="s">
        <v>426</v>
      </c>
      <c r="B68" s="5" t="s">
        <v>435</v>
      </c>
      <c r="C68" s="5" t="s">
        <v>436</v>
      </c>
      <c r="D68" s="5" t="s">
        <v>612</v>
      </c>
      <c r="E68" s="5" t="s">
        <v>1022</v>
      </c>
      <c r="F68" s="5" t="s">
        <v>2609</v>
      </c>
      <c r="G68" s="5">
        <v>75</v>
      </c>
      <c r="H68" s="5">
        <v>75</v>
      </c>
    </row>
    <row r="69" spans="1:9" ht="15.75" customHeight="1" x14ac:dyDescent="0.2">
      <c r="A69" s="5" t="s">
        <v>426</v>
      </c>
      <c r="B69" s="5" t="s">
        <v>444</v>
      </c>
      <c r="C69" s="5" t="s">
        <v>445</v>
      </c>
      <c r="D69" s="5" t="s">
        <v>913</v>
      </c>
    </row>
    <row r="70" spans="1:9" ht="15.75" customHeight="1" x14ac:dyDescent="0.2">
      <c r="A70" s="5" t="s">
        <v>426</v>
      </c>
      <c r="B70" s="5" t="s">
        <v>452</v>
      </c>
      <c r="C70" s="5" t="s">
        <v>453</v>
      </c>
      <c r="D70" s="5" t="s">
        <v>913</v>
      </c>
    </row>
    <row r="71" spans="1:9" ht="15.75" customHeight="1" x14ac:dyDescent="0.2">
      <c r="A71" s="5" t="s">
        <v>426</v>
      </c>
      <c r="B71" s="5" t="s">
        <v>460</v>
      </c>
      <c r="C71" s="5" t="s">
        <v>461</v>
      </c>
      <c r="D71" s="5" t="s">
        <v>913</v>
      </c>
    </row>
    <row r="72" spans="1:9" ht="15.75" customHeight="1" x14ac:dyDescent="0.2">
      <c r="A72" s="5" t="s">
        <v>426</v>
      </c>
      <c r="B72" s="5" t="s">
        <v>468</v>
      </c>
      <c r="C72" s="5" t="s">
        <v>469</v>
      </c>
      <c r="D72" s="5" t="s">
        <v>913</v>
      </c>
    </row>
    <row r="73" spans="1:9" ht="15.75" customHeight="1" x14ac:dyDescent="0.2">
      <c r="A73" s="5" t="s">
        <v>426</v>
      </c>
      <c r="B73" s="5" t="s">
        <v>476</v>
      </c>
      <c r="C73" s="5" t="s">
        <v>477</v>
      </c>
      <c r="D73" s="5" t="s">
        <v>913</v>
      </c>
    </row>
    <row r="74" spans="1:9" ht="15.75" customHeight="1" x14ac:dyDescent="0.2">
      <c r="A74" s="5" t="s">
        <v>426</v>
      </c>
      <c r="B74" s="5" t="s">
        <v>476</v>
      </c>
      <c r="C74" s="5" t="s">
        <v>477</v>
      </c>
      <c r="D74" s="5" t="s">
        <v>913</v>
      </c>
    </row>
    <row r="75" spans="1:9" ht="15.75" customHeight="1" x14ac:dyDescent="0.2">
      <c r="A75" s="5" t="s">
        <v>485</v>
      </c>
      <c r="B75" s="5" t="s">
        <v>486</v>
      </c>
      <c r="C75" s="5" t="s">
        <v>487</v>
      </c>
      <c r="D75" s="5" t="s">
        <v>913</v>
      </c>
    </row>
    <row r="76" spans="1:9" ht="15.75" customHeight="1" x14ac:dyDescent="0.2">
      <c r="A76" s="5" t="s">
        <v>485</v>
      </c>
      <c r="B76" s="5" t="s">
        <v>494</v>
      </c>
      <c r="C76" s="5" t="s">
        <v>495</v>
      </c>
      <c r="D76" s="5" t="s">
        <v>612</v>
      </c>
      <c r="E76" s="5" t="s">
        <v>2641</v>
      </c>
      <c r="F76" s="5" t="s">
        <v>2578</v>
      </c>
      <c r="G76" s="5">
        <v>99</v>
      </c>
      <c r="H76" s="5">
        <v>19800</v>
      </c>
    </row>
    <row r="77" spans="1:9" ht="15.75" customHeight="1" x14ac:dyDescent="0.2">
      <c r="A77" s="5" t="s">
        <v>485</v>
      </c>
      <c r="B77" s="5" t="s">
        <v>503</v>
      </c>
      <c r="C77" s="5" t="s">
        <v>504</v>
      </c>
      <c r="D77" s="5" t="s">
        <v>612</v>
      </c>
      <c r="E77" s="5" t="s">
        <v>2642</v>
      </c>
      <c r="F77" s="5" t="s">
        <v>2578</v>
      </c>
      <c r="G77" s="5">
        <v>1000</v>
      </c>
      <c r="H77" s="5">
        <v>1</v>
      </c>
      <c r="I77" s="5" t="s">
        <v>2643</v>
      </c>
    </row>
    <row r="78" spans="1:9" ht="15.75" customHeight="1" x14ac:dyDescent="0.2">
      <c r="A78" s="5" t="s">
        <v>485</v>
      </c>
      <c r="B78" s="5" t="s">
        <v>511</v>
      </c>
      <c r="C78" s="5" t="s">
        <v>512</v>
      </c>
      <c r="D78" s="5" t="s">
        <v>913</v>
      </c>
    </row>
    <row r="79" spans="1:9" ht="15.75" customHeight="1" x14ac:dyDescent="0.2">
      <c r="A79" s="5" t="s">
        <v>485</v>
      </c>
      <c r="B79" s="5" t="s">
        <v>519</v>
      </c>
      <c r="C79" s="5" t="s">
        <v>520</v>
      </c>
      <c r="D79" s="5" t="s">
        <v>612</v>
      </c>
      <c r="E79" s="5" t="s">
        <v>2644</v>
      </c>
      <c r="F79" s="5" t="s">
        <v>2578</v>
      </c>
      <c r="G79" s="5">
        <v>1</v>
      </c>
      <c r="H79" s="5">
        <v>1</v>
      </c>
      <c r="I79" s="5" t="s">
        <v>2645</v>
      </c>
    </row>
    <row r="80" spans="1:9" ht="15.75" customHeight="1" x14ac:dyDescent="0.2">
      <c r="A80" s="5" t="s">
        <v>485</v>
      </c>
      <c r="B80" s="5" t="s">
        <v>519</v>
      </c>
      <c r="C80" s="5" t="s">
        <v>520</v>
      </c>
      <c r="D80" s="5" t="s">
        <v>612</v>
      </c>
      <c r="E80" s="5" t="s">
        <v>2646</v>
      </c>
      <c r="F80" s="5" t="s">
        <v>2578</v>
      </c>
      <c r="G80" s="5">
        <v>50</v>
      </c>
      <c r="H80" s="5">
        <v>17000</v>
      </c>
      <c r="I80" s="5" t="s">
        <v>2647</v>
      </c>
    </row>
    <row r="81" spans="1:9" ht="15.75" customHeight="1" x14ac:dyDescent="0.2">
      <c r="A81" s="5" t="s">
        <v>485</v>
      </c>
      <c r="B81" s="5" t="s">
        <v>519</v>
      </c>
      <c r="C81" s="5" t="s">
        <v>520</v>
      </c>
      <c r="D81" s="5" t="s">
        <v>612</v>
      </c>
      <c r="E81" s="5" t="s">
        <v>2648</v>
      </c>
      <c r="F81" s="5" t="s">
        <v>2578</v>
      </c>
      <c r="G81" s="5">
        <v>1</v>
      </c>
      <c r="H81" s="5">
        <v>1</v>
      </c>
      <c r="I81" s="5" t="s">
        <v>2645</v>
      </c>
    </row>
    <row r="82" spans="1:9" ht="15.75" customHeight="1" x14ac:dyDescent="0.2">
      <c r="A82" s="5" t="s">
        <v>485</v>
      </c>
      <c r="B82" s="5" t="s">
        <v>519</v>
      </c>
      <c r="C82" s="5" t="s">
        <v>520</v>
      </c>
      <c r="D82" s="5" t="s">
        <v>612</v>
      </c>
      <c r="E82" s="5" t="s">
        <v>2649</v>
      </c>
      <c r="F82" s="5" t="s">
        <v>2578</v>
      </c>
      <c r="G82" s="5">
        <v>1</v>
      </c>
      <c r="H82" s="5">
        <v>1</v>
      </c>
      <c r="I82" s="5" t="s">
        <v>2645</v>
      </c>
    </row>
    <row r="83" spans="1:9" ht="15.75" customHeight="1" x14ac:dyDescent="0.2">
      <c r="A83" s="5" t="s">
        <v>485</v>
      </c>
      <c r="B83" s="5" t="s">
        <v>519</v>
      </c>
      <c r="C83" s="5" t="s">
        <v>520</v>
      </c>
      <c r="D83" s="5" t="s">
        <v>612</v>
      </c>
      <c r="E83" s="5" t="s">
        <v>2650</v>
      </c>
      <c r="F83" s="5" t="s">
        <v>2578</v>
      </c>
      <c r="G83" s="5">
        <v>1</v>
      </c>
      <c r="H83" s="5">
        <v>1</v>
      </c>
      <c r="I83" s="5" t="s">
        <v>2645</v>
      </c>
    </row>
    <row r="84" spans="1:9" ht="15.75" customHeight="1" x14ac:dyDescent="0.2">
      <c r="A84" s="5" t="s">
        <v>485</v>
      </c>
      <c r="B84" s="5" t="s">
        <v>519</v>
      </c>
      <c r="C84" s="5" t="s">
        <v>520</v>
      </c>
      <c r="D84" s="5" t="s">
        <v>612</v>
      </c>
      <c r="E84" s="5" t="s">
        <v>2650</v>
      </c>
      <c r="F84" s="5" t="s">
        <v>2578</v>
      </c>
      <c r="G84" s="5">
        <v>1</v>
      </c>
      <c r="H84" s="5">
        <v>1</v>
      </c>
      <c r="I84" s="5" t="s">
        <v>2645</v>
      </c>
    </row>
    <row r="85" spans="1:9" ht="15.75" customHeight="1" x14ac:dyDescent="0.2">
      <c r="A85" s="5" t="s">
        <v>485</v>
      </c>
      <c r="B85" s="5" t="s">
        <v>519</v>
      </c>
      <c r="C85" s="5" t="s">
        <v>520</v>
      </c>
      <c r="D85" s="5" t="s">
        <v>612</v>
      </c>
      <c r="E85" s="5" t="s">
        <v>2651</v>
      </c>
      <c r="F85" s="5" t="s">
        <v>2578</v>
      </c>
      <c r="G85" s="5">
        <v>50</v>
      </c>
      <c r="H85" s="5">
        <v>17000</v>
      </c>
      <c r="I85" s="5" t="s">
        <v>2652</v>
      </c>
    </row>
    <row r="86" spans="1:9" ht="15.75" customHeight="1" x14ac:dyDescent="0.2">
      <c r="A86" s="5" t="s">
        <v>485</v>
      </c>
      <c r="B86" s="5" t="s">
        <v>519</v>
      </c>
      <c r="C86" s="5" t="s">
        <v>520</v>
      </c>
      <c r="D86" s="5" t="s">
        <v>612</v>
      </c>
      <c r="E86" s="5" t="s">
        <v>2653</v>
      </c>
      <c r="F86" s="5" t="s">
        <v>2578</v>
      </c>
      <c r="G86" s="5">
        <v>1</v>
      </c>
      <c r="H86" s="5">
        <v>1</v>
      </c>
      <c r="I86" s="5" t="s">
        <v>2645</v>
      </c>
    </row>
    <row r="87" spans="1:9" ht="15.75" customHeight="1" x14ac:dyDescent="0.2">
      <c r="A87" s="5" t="s">
        <v>485</v>
      </c>
      <c r="B87" s="5" t="s">
        <v>519</v>
      </c>
      <c r="C87" s="5" t="s">
        <v>520</v>
      </c>
      <c r="D87" s="5" t="s">
        <v>612</v>
      </c>
      <c r="E87" s="5" t="s">
        <v>2654</v>
      </c>
      <c r="F87" s="5" t="s">
        <v>2578</v>
      </c>
      <c r="G87" s="5">
        <v>100</v>
      </c>
      <c r="H87" s="5">
        <v>34000</v>
      </c>
      <c r="I87" s="5" t="s">
        <v>2655</v>
      </c>
    </row>
    <row r="88" spans="1:9" ht="15.75" customHeight="1" x14ac:dyDescent="0.2">
      <c r="A88" s="5" t="s">
        <v>485</v>
      </c>
      <c r="B88" s="5" t="s">
        <v>519</v>
      </c>
      <c r="C88" s="5" t="s">
        <v>520</v>
      </c>
      <c r="D88" s="5" t="s">
        <v>612</v>
      </c>
      <c r="E88" s="5" t="s">
        <v>2656</v>
      </c>
      <c r="F88" s="5" t="s">
        <v>2578</v>
      </c>
      <c r="G88" s="5">
        <v>100000</v>
      </c>
      <c r="H88" s="5">
        <v>100000</v>
      </c>
      <c r="I88" s="5" t="s">
        <v>2645</v>
      </c>
    </row>
    <row r="89" spans="1:9" ht="15.75" customHeight="1" x14ac:dyDescent="0.2">
      <c r="A89" s="5" t="s">
        <v>485</v>
      </c>
      <c r="B89" s="5" t="s">
        <v>519</v>
      </c>
      <c r="C89" s="5" t="s">
        <v>520</v>
      </c>
      <c r="D89" s="5" t="s">
        <v>612</v>
      </c>
      <c r="E89" s="5" t="s">
        <v>2657</v>
      </c>
      <c r="F89" s="5" t="s">
        <v>2578</v>
      </c>
      <c r="G89" s="5">
        <v>1049576</v>
      </c>
      <c r="H89" s="5">
        <v>1049576</v>
      </c>
      <c r="I89" s="5" t="s">
        <v>2645</v>
      </c>
    </row>
    <row r="90" spans="1:9" ht="15.75" customHeight="1" x14ac:dyDescent="0.2">
      <c r="A90" s="5" t="s">
        <v>485</v>
      </c>
      <c r="B90" s="5" t="s">
        <v>519</v>
      </c>
      <c r="C90" s="5" t="s">
        <v>520</v>
      </c>
      <c r="D90" s="5" t="s">
        <v>612</v>
      </c>
      <c r="E90" s="5" t="s">
        <v>2644</v>
      </c>
      <c r="F90" s="5" t="s">
        <v>2578</v>
      </c>
      <c r="G90" s="5">
        <v>1</v>
      </c>
      <c r="H90" s="5">
        <v>1</v>
      </c>
      <c r="I90" s="5" t="s">
        <v>2645</v>
      </c>
    </row>
    <row r="91" spans="1:9" ht="15.75" customHeight="1" x14ac:dyDescent="0.2">
      <c r="A91" s="5" t="s">
        <v>485</v>
      </c>
      <c r="B91" s="5" t="s">
        <v>519</v>
      </c>
      <c r="C91" s="5" t="s">
        <v>520</v>
      </c>
      <c r="D91" s="5" t="s">
        <v>612</v>
      </c>
      <c r="E91" s="5" t="s">
        <v>2646</v>
      </c>
      <c r="F91" s="5" t="s">
        <v>2578</v>
      </c>
      <c r="G91" s="5">
        <v>50</v>
      </c>
      <c r="H91" s="5">
        <v>17000</v>
      </c>
      <c r="I91" s="5" t="s">
        <v>2647</v>
      </c>
    </row>
    <row r="92" spans="1:9" ht="15.75" customHeight="1" x14ac:dyDescent="0.2">
      <c r="A92" s="5" t="s">
        <v>485</v>
      </c>
      <c r="B92" s="5" t="s">
        <v>519</v>
      </c>
      <c r="C92" s="5" t="s">
        <v>520</v>
      </c>
      <c r="D92" s="5" t="s">
        <v>612</v>
      </c>
      <c r="E92" s="5" t="s">
        <v>2648</v>
      </c>
      <c r="F92" s="5" t="s">
        <v>2578</v>
      </c>
      <c r="G92" s="5">
        <v>1</v>
      </c>
      <c r="H92" s="5">
        <v>1</v>
      </c>
      <c r="I92" s="5" t="s">
        <v>2645</v>
      </c>
    </row>
    <row r="93" spans="1:9" ht="15.75" customHeight="1" x14ac:dyDescent="0.2">
      <c r="A93" s="5" t="s">
        <v>485</v>
      </c>
      <c r="B93" s="5" t="s">
        <v>519</v>
      </c>
      <c r="C93" s="5" t="s">
        <v>520</v>
      </c>
      <c r="D93" s="5" t="s">
        <v>612</v>
      </c>
      <c r="E93" s="5" t="s">
        <v>2649</v>
      </c>
      <c r="F93" s="5" t="s">
        <v>2578</v>
      </c>
      <c r="G93" s="5">
        <v>1</v>
      </c>
      <c r="H93" s="5">
        <v>1</v>
      </c>
      <c r="I93" s="5" t="s">
        <v>2645</v>
      </c>
    </row>
    <row r="94" spans="1:9" ht="15.75" customHeight="1" x14ac:dyDescent="0.2">
      <c r="A94" s="5" t="s">
        <v>485</v>
      </c>
      <c r="B94" s="5" t="s">
        <v>519</v>
      </c>
      <c r="C94" s="5" t="s">
        <v>520</v>
      </c>
      <c r="D94" s="5" t="s">
        <v>612</v>
      </c>
      <c r="E94" s="5" t="s">
        <v>2657</v>
      </c>
      <c r="F94" s="5" t="s">
        <v>2578</v>
      </c>
      <c r="G94" s="5">
        <v>1049576</v>
      </c>
      <c r="H94" s="5">
        <v>1049576</v>
      </c>
      <c r="I94" s="5" t="s">
        <v>2645</v>
      </c>
    </row>
    <row r="95" spans="1:9" ht="15.75" customHeight="1" x14ac:dyDescent="0.2">
      <c r="A95" s="5" t="s">
        <v>485</v>
      </c>
      <c r="B95" s="5" t="s">
        <v>519</v>
      </c>
      <c r="C95" s="5" t="s">
        <v>520</v>
      </c>
      <c r="D95" s="5" t="s">
        <v>612</v>
      </c>
      <c r="E95" s="5" t="s">
        <v>2656</v>
      </c>
      <c r="F95" s="5" t="s">
        <v>2578</v>
      </c>
      <c r="G95" s="5">
        <v>100000</v>
      </c>
      <c r="H95" s="5">
        <v>100000</v>
      </c>
      <c r="I95" s="5" t="s">
        <v>2645</v>
      </c>
    </row>
    <row r="96" spans="1:9" ht="15.75" customHeight="1" x14ac:dyDescent="0.2">
      <c r="A96" s="5" t="s">
        <v>485</v>
      </c>
      <c r="B96" s="5" t="s">
        <v>519</v>
      </c>
      <c r="C96" s="5" t="s">
        <v>520</v>
      </c>
      <c r="D96" s="5" t="s">
        <v>612</v>
      </c>
      <c r="E96" s="5" t="s">
        <v>2654</v>
      </c>
      <c r="F96" s="5" t="s">
        <v>2578</v>
      </c>
      <c r="G96" s="5">
        <v>100</v>
      </c>
      <c r="H96" s="5">
        <v>34000</v>
      </c>
      <c r="I96" s="5" t="s">
        <v>2655</v>
      </c>
    </row>
    <row r="97" spans="1:9" ht="15.75" customHeight="1" x14ac:dyDescent="0.2">
      <c r="A97" s="5" t="s">
        <v>485</v>
      </c>
      <c r="B97" s="5" t="s">
        <v>519</v>
      </c>
      <c r="C97" s="5" t="s">
        <v>520</v>
      </c>
      <c r="D97" s="5" t="s">
        <v>612</v>
      </c>
      <c r="E97" s="5" t="s">
        <v>2651</v>
      </c>
      <c r="F97" s="5" t="s">
        <v>2578</v>
      </c>
      <c r="G97" s="5">
        <v>50</v>
      </c>
      <c r="H97" s="5">
        <v>17000</v>
      </c>
      <c r="I97" s="5" t="s">
        <v>2652</v>
      </c>
    </row>
    <row r="98" spans="1:9" ht="15.75" customHeight="1" x14ac:dyDescent="0.2">
      <c r="A98" s="5" t="s">
        <v>485</v>
      </c>
      <c r="B98" s="5" t="s">
        <v>519</v>
      </c>
      <c r="C98" s="5" t="s">
        <v>520</v>
      </c>
      <c r="D98" s="5" t="s">
        <v>612</v>
      </c>
      <c r="E98" s="5" t="s">
        <v>2653</v>
      </c>
      <c r="F98" s="5" t="s">
        <v>2578</v>
      </c>
      <c r="G98" s="5">
        <v>1</v>
      </c>
      <c r="H98" s="5">
        <v>1</v>
      </c>
      <c r="I98" s="5" t="s">
        <v>2645</v>
      </c>
    </row>
    <row r="99" spans="1:9" ht="15.75" customHeight="1" x14ac:dyDescent="0.2">
      <c r="A99" s="5" t="s">
        <v>485</v>
      </c>
      <c r="B99" s="5" t="s">
        <v>527</v>
      </c>
      <c r="C99" s="5" t="s">
        <v>528</v>
      </c>
      <c r="D99" s="5" t="s">
        <v>913</v>
      </c>
    </row>
    <row r="100" spans="1:9" ht="15.75" customHeight="1" x14ac:dyDescent="0.2">
      <c r="A100" s="5" t="s">
        <v>485</v>
      </c>
      <c r="B100" s="5" t="s">
        <v>537</v>
      </c>
      <c r="C100" s="5" t="s">
        <v>538</v>
      </c>
      <c r="D100" s="5" t="s">
        <v>913</v>
      </c>
    </row>
    <row r="101" spans="1:9" ht="15.75" customHeight="1" x14ac:dyDescent="0.2">
      <c r="A101" s="5" t="s">
        <v>485</v>
      </c>
      <c r="B101" s="5" t="s">
        <v>546</v>
      </c>
      <c r="C101" s="5" t="s">
        <v>547</v>
      </c>
      <c r="D101" s="5" t="s">
        <v>913</v>
      </c>
    </row>
    <row r="102" spans="1:9" ht="15.75" customHeight="1" x14ac:dyDescent="0.2">
      <c r="A102" t="s">
        <v>70</v>
      </c>
      <c r="B102" t="s">
        <v>555</v>
      </c>
      <c r="C102" t="s">
        <v>556</v>
      </c>
      <c r="D102" t="s">
        <v>913</v>
      </c>
    </row>
    <row r="103" spans="1:9" ht="15.75" customHeight="1" x14ac:dyDescent="0.2">
      <c r="A103" t="s">
        <v>276</v>
      </c>
      <c r="B103" t="s">
        <v>562</v>
      </c>
      <c r="C103" t="s">
        <v>563</v>
      </c>
      <c r="D103" t="s">
        <v>913</v>
      </c>
    </row>
    <row r="104" spans="1:9" ht="15.75" customHeight="1" x14ac:dyDescent="0.2">
      <c r="A104" t="s">
        <v>276</v>
      </c>
      <c r="B104" t="s">
        <v>568</v>
      </c>
      <c r="C104" t="s">
        <v>569</v>
      </c>
      <c r="D104" t="s">
        <v>612</v>
      </c>
      <c r="E104" t="s">
        <v>2658</v>
      </c>
      <c r="F104" t="s">
        <v>2578</v>
      </c>
      <c r="G104">
        <v>30000</v>
      </c>
      <c r="H104">
        <v>30000</v>
      </c>
    </row>
    <row r="105" spans="1:9" ht="15.75" customHeight="1" x14ac:dyDescent="0.2">
      <c r="A105" t="s">
        <v>276</v>
      </c>
      <c r="B105" t="s">
        <v>574</v>
      </c>
      <c r="C105" t="s">
        <v>575</v>
      </c>
      <c r="D105" t="s">
        <v>913</v>
      </c>
    </row>
    <row r="106" spans="1:9" ht="15.75" customHeight="1" x14ac:dyDescent="0.2"/>
    <row r="107" spans="1:9" ht="15.75" customHeight="1" x14ac:dyDescent="0.2"/>
    <row r="108" spans="1:9" ht="15.75" customHeight="1" x14ac:dyDescent="0.2"/>
    <row r="109" spans="1:9" ht="15.75" customHeight="1" x14ac:dyDescent="0.2"/>
    <row r="110" spans="1:9" ht="15.75" customHeight="1" x14ac:dyDescent="0.2"/>
    <row r="111" spans="1:9" ht="15.75" customHeight="1" x14ac:dyDescent="0.2"/>
    <row r="112" spans="1:9"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000"/>
  <sheetViews>
    <sheetView workbookViewId="0"/>
  </sheetViews>
  <sheetFormatPr baseColWidth="10" defaultColWidth="14.5" defaultRowHeight="15" customHeight="1" x14ac:dyDescent="0.2"/>
  <cols>
    <col min="1" max="26" width="8.6640625" customWidth="1"/>
  </cols>
  <sheetData>
    <row r="1" spans="1:6" x14ac:dyDescent="0.2">
      <c r="A1" s="1" t="s">
        <v>0</v>
      </c>
      <c r="B1" s="1" t="s">
        <v>1</v>
      </c>
      <c r="C1" s="1" t="s">
        <v>2</v>
      </c>
      <c r="D1" s="1" t="s">
        <v>2659</v>
      </c>
      <c r="E1" s="1" t="s">
        <v>2660</v>
      </c>
      <c r="F1" s="1" t="s">
        <v>610</v>
      </c>
    </row>
    <row r="2" spans="1:6" x14ac:dyDescent="0.2">
      <c r="A2" s="5" t="s">
        <v>26</v>
      </c>
      <c r="B2" s="5" t="s">
        <v>27</v>
      </c>
      <c r="C2" s="5" t="s">
        <v>28</v>
      </c>
      <c r="D2" s="5" t="s">
        <v>612</v>
      </c>
      <c r="E2" s="5" t="s">
        <v>2661</v>
      </c>
      <c r="F2" s="5" t="s">
        <v>2662</v>
      </c>
    </row>
    <row r="3" spans="1:6" x14ac:dyDescent="0.2">
      <c r="A3" s="5" t="s">
        <v>26</v>
      </c>
      <c r="B3" s="5" t="s">
        <v>40</v>
      </c>
      <c r="C3" s="5" t="s">
        <v>41</v>
      </c>
      <c r="D3" s="5" t="s">
        <v>913</v>
      </c>
    </row>
    <row r="4" spans="1:6" x14ac:dyDescent="0.2">
      <c r="A4" s="5" t="s">
        <v>26</v>
      </c>
      <c r="B4" s="5" t="s">
        <v>40</v>
      </c>
      <c r="C4" s="5" t="s">
        <v>41</v>
      </c>
      <c r="D4" s="5" t="s">
        <v>913</v>
      </c>
    </row>
    <row r="5" spans="1:6" x14ac:dyDescent="0.2">
      <c r="A5" s="5" t="s">
        <v>26</v>
      </c>
      <c r="B5" s="5" t="s">
        <v>50</v>
      </c>
      <c r="C5" s="5" t="s">
        <v>51</v>
      </c>
      <c r="D5" s="5" t="s">
        <v>913</v>
      </c>
    </row>
    <row r="6" spans="1:6" x14ac:dyDescent="0.2">
      <c r="A6" s="5" t="s">
        <v>26</v>
      </c>
      <c r="B6" s="5" t="s">
        <v>61</v>
      </c>
      <c r="C6" s="5" t="s">
        <v>62</v>
      </c>
      <c r="D6" s="5" t="s">
        <v>913</v>
      </c>
    </row>
    <row r="7" spans="1:6" x14ac:dyDescent="0.2">
      <c r="A7" s="5" t="s">
        <v>70</v>
      </c>
      <c r="B7" s="5" t="s">
        <v>71</v>
      </c>
      <c r="C7" s="5" t="s">
        <v>72</v>
      </c>
      <c r="D7" s="5" t="s">
        <v>612</v>
      </c>
      <c r="E7" s="5" t="s">
        <v>2663</v>
      </c>
      <c r="F7" s="5" t="s">
        <v>2664</v>
      </c>
    </row>
    <row r="8" spans="1:6" x14ac:dyDescent="0.2">
      <c r="A8" s="5" t="s">
        <v>70</v>
      </c>
      <c r="B8" s="5" t="s">
        <v>71</v>
      </c>
      <c r="C8" s="5" t="s">
        <v>72</v>
      </c>
      <c r="D8" s="5" t="s">
        <v>612</v>
      </c>
      <c r="E8" s="5" t="s">
        <v>2665</v>
      </c>
      <c r="F8" s="5" t="s">
        <v>2666</v>
      </c>
    </row>
    <row r="9" spans="1:6" x14ac:dyDescent="0.2">
      <c r="A9" s="5" t="s">
        <v>70</v>
      </c>
      <c r="B9" s="5" t="s">
        <v>71</v>
      </c>
      <c r="C9" s="5" t="s">
        <v>72</v>
      </c>
      <c r="D9" s="5" t="s">
        <v>612</v>
      </c>
      <c r="E9" s="5" t="s">
        <v>2661</v>
      </c>
      <c r="F9" s="5" t="s">
        <v>2667</v>
      </c>
    </row>
    <row r="10" spans="1:6" x14ac:dyDescent="0.2">
      <c r="A10" s="5" t="s">
        <v>70</v>
      </c>
      <c r="B10" s="5" t="s">
        <v>82</v>
      </c>
      <c r="C10" s="5" t="s">
        <v>83</v>
      </c>
      <c r="D10" s="5" t="s">
        <v>612</v>
      </c>
      <c r="E10" s="5" t="s">
        <v>2663</v>
      </c>
      <c r="F10" s="5" t="s">
        <v>2668</v>
      </c>
    </row>
    <row r="11" spans="1:6" x14ac:dyDescent="0.2">
      <c r="A11" s="5" t="s">
        <v>70</v>
      </c>
      <c r="B11" s="5" t="s">
        <v>82</v>
      </c>
      <c r="C11" s="5" t="s">
        <v>83</v>
      </c>
      <c r="D11" s="5" t="s">
        <v>612</v>
      </c>
      <c r="E11" s="5" t="s">
        <v>2661</v>
      </c>
      <c r="F11" s="5" t="s">
        <v>2669</v>
      </c>
    </row>
    <row r="12" spans="1:6" x14ac:dyDescent="0.2">
      <c r="A12" s="5" t="s">
        <v>70</v>
      </c>
      <c r="B12" s="5" t="s">
        <v>82</v>
      </c>
      <c r="C12" s="5" t="s">
        <v>83</v>
      </c>
      <c r="D12" s="5" t="s">
        <v>612</v>
      </c>
      <c r="E12" s="5" t="s">
        <v>2670</v>
      </c>
      <c r="F12" s="5" t="s">
        <v>2671</v>
      </c>
    </row>
    <row r="13" spans="1:6" x14ac:dyDescent="0.2">
      <c r="A13" s="5" t="s">
        <v>70</v>
      </c>
      <c r="B13" s="5" t="s">
        <v>82</v>
      </c>
      <c r="C13" s="5" t="s">
        <v>83</v>
      </c>
      <c r="D13" s="5" t="s">
        <v>612</v>
      </c>
      <c r="E13" s="5" t="s">
        <v>2670</v>
      </c>
      <c r="F13" s="5" t="s">
        <v>2672</v>
      </c>
    </row>
    <row r="14" spans="1:6" x14ac:dyDescent="0.2">
      <c r="A14" s="5" t="s">
        <v>70</v>
      </c>
      <c r="B14" s="5" t="s">
        <v>82</v>
      </c>
      <c r="C14" s="5" t="s">
        <v>83</v>
      </c>
      <c r="D14" s="5" t="s">
        <v>612</v>
      </c>
      <c r="E14" s="5" t="s">
        <v>2670</v>
      </c>
      <c r="F14" s="5" t="s">
        <v>2673</v>
      </c>
    </row>
    <row r="15" spans="1:6" x14ac:dyDescent="0.2">
      <c r="A15" s="5" t="s">
        <v>70</v>
      </c>
      <c r="B15" s="5" t="s">
        <v>93</v>
      </c>
      <c r="C15" s="5" t="s">
        <v>94</v>
      </c>
      <c r="D15" s="5" t="s">
        <v>612</v>
      </c>
      <c r="E15" s="5" t="s">
        <v>2670</v>
      </c>
      <c r="F15" s="5" t="s">
        <v>2674</v>
      </c>
    </row>
    <row r="16" spans="1:6" x14ac:dyDescent="0.2">
      <c r="A16" s="5" t="s">
        <v>70</v>
      </c>
      <c r="B16" s="5" t="s">
        <v>93</v>
      </c>
      <c r="C16" s="5" t="s">
        <v>94</v>
      </c>
      <c r="D16" s="5" t="s">
        <v>612</v>
      </c>
      <c r="E16" s="5" t="s">
        <v>2661</v>
      </c>
      <c r="F16" s="5" t="s">
        <v>2675</v>
      </c>
    </row>
    <row r="17" spans="1:6" x14ac:dyDescent="0.2">
      <c r="A17" s="5" t="s">
        <v>70</v>
      </c>
      <c r="B17" s="5" t="s">
        <v>102</v>
      </c>
      <c r="C17" s="5" t="s">
        <v>103</v>
      </c>
      <c r="D17" s="5" t="s">
        <v>612</v>
      </c>
      <c r="E17" s="5" t="s">
        <v>2670</v>
      </c>
      <c r="F17" s="5" t="s">
        <v>2676</v>
      </c>
    </row>
    <row r="18" spans="1:6" x14ac:dyDescent="0.2">
      <c r="A18" s="5" t="s">
        <v>70</v>
      </c>
      <c r="B18" s="5" t="s">
        <v>102</v>
      </c>
      <c r="C18" s="5" t="s">
        <v>103</v>
      </c>
      <c r="D18" s="5" t="s">
        <v>612</v>
      </c>
      <c r="E18" s="5" t="s">
        <v>2670</v>
      </c>
      <c r="F18" s="5" t="s">
        <v>2677</v>
      </c>
    </row>
    <row r="19" spans="1:6" x14ac:dyDescent="0.2">
      <c r="A19" s="5" t="s">
        <v>70</v>
      </c>
      <c r="B19" s="5" t="s">
        <v>112</v>
      </c>
      <c r="C19" s="5" t="s">
        <v>113</v>
      </c>
      <c r="D19" s="5" t="s">
        <v>612</v>
      </c>
      <c r="E19" s="5" t="s">
        <v>2678</v>
      </c>
      <c r="F19" s="5" t="s">
        <v>2679</v>
      </c>
    </row>
    <row r="20" spans="1:6" x14ac:dyDescent="0.2">
      <c r="A20" s="5" t="s">
        <v>70</v>
      </c>
      <c r="B20" s="5" t="s">
        <v>112</v>
      </c>
      <c r="C20" s="5" t="s">
        <v>113</v>
      </c>
      <c r="D20" s="5" t="s">
        <v>612</v>
      </c>
      <c r="E20" s="5" t="s">
        <v>2665</v>
      </c>
      <c r="F20" s="5" t="s">
        <v>2680</v>
      </c>
    </row>
    <row r="21" spans="1:6" ht="15.75" customHeight="1" x14ac:dyDescent="0.2">
      <c r="A21" s="5" t="s">
        <v>70</v>
      </c>
      <c r="B21" s="5" t="s">
        <v>112</v>
      </c>
      <c r="C21" s="5" t="s">
        <v>113</v>
      </c>
      <c r="D21" s="5" t="s">
        <v>612</v>
      </c>
      <c r="E21" s="5" t="s">
        <v>2670</v>
      </c>
      <c r="F21" s="5" t="s">
        <v>2681</v>
      </c>
    </row>
    <row r="22" spans="1:6" ht="15.75" customHeight="1" x14ac:dyDescent="0.2">
      <c r="A22" s="5" t="s">
        <v>70</v>
      </c>
      <c r="B22" s="5" t="s">
        <v>123</v>
      </c>
      <c r="C22" s="5" t="s">
        <v>124</v>
      </c>
      <c r="D22" s="5" t="s">
        <v>612</v>
      </c>
      <c r="E22" s="5" t="s">
        <v>2670</v>
      </c>
      <c r="F22" s="5" t="s">
        <v>2682</v>
      </c>
    </row>
    <row r="23" spans="1:6" ht="15.75" customHeight="1" x14ac:dyDescent="0.2">
      <c r="A23" s="5" t="s">
        <v>70</v>
      </c>
      <c r="B23" s="5" t="s">
        <v>123</v>
      </c>
      <c r="C23" s="5" t="s">
        <v>124</v>
      </c>
      <c r="D23" s="5" t="s">
        <v>612</v>
      </c>
      <c r="E23" s="5" t="s">
        <v>2670</v>
      </c>
      <c r="F23" s="5" t="s">
        <v>2683</v>
      </c>
    </row>
    <row r="24" spans="1:6" ht="15.75" customHeight="1" x14ac:dyDescent="0.2">
      <c r="A24" s="5" t="s">
        <v>70</v>
      </c>
      <c r="B24" s="5" t="s">
        <v>123</v>
      </c>
      <c r="C24" s="5" t="s">
        <v>124</v>
      </c>
      <c r="D24" s="5" t="s">
        <v>612</v>
      </c>
      <c r="E24" s="5" t="s">
        <v>2670</v>
      </c>
      <c r="F24" s="5" t="s">
        <v>2684</v>
      </c>
    </row>
    <row r="25" spans="1:6" ht="15.75" customHeight="1" x14ac:dyDescent="0.2">
      <c r="A25" s="5" t="s">
        <v>70</v>
      </c>
      <c r="B25" s="5" t="s">
        <v>123</v>
      </c>
      <c r="C25" s="5" t="s">
        <v>124</v>
      </c>
      <c r="D25" s="5" t="s">
        <v>612</v>
      </c>
      <c r="E25" s="5" t="s">
        <v>2670</v>
      </c>
      <c r="F25" s="5" t="s">
        <v>2685</v>
      </c>
    </row>
    <row r="26" spans="1:6" ht="15.75" customHeight="1" x14ac:dyDescent="0.2">
      <c r="A26" s="5" t="s">
        <v>70</v>
      </c>
      <c r="B26" s="5" t="s">
        <v>123</v>
      </c>
      <c r="C26" s="5" t="s">
        <v>124</v>
      </c>
      <c r="D26" s="5" t="s">
        <v>612</v>
      </c>
      <c r="E26" s="5" t="s">
        <v>2670</v>
      </c>
      <c r="F26" s="5" t="s">
        <v>2686</v>
      </c>
    </row>
    <row r="27" spans="1:6" ht="15.75" customHeight="1" x14ac:dyDescent="0.2">
      <c r="A27" s="5" t="s">
        <v>70</v>
      </c>
      <c r="B27" s="5" t="s">
        <v>123</v>
      </c>
      <c r="C27" s="5" t="s">
        <v>124</v>
      </c>
      <c r="D27" s="5" t="s">
        <v>612</v>
      </c>
      <c r="E27" s="5" t="s">
        <v>2670</v>
      </c>
      <c r="F27" s="5" t="s">
        <v>2687</v>
      </c>
    </row>
    <row r="28" spans="1:6" ht="15.75" customHeight="1" x14ac:dyDescent="0.2">
      <c r="A28" s="5" t="s">
        <v>70</v>
      </c>
      <c r="B28" s="5" t="s">
        <v>134</v>
      </c>
      <c r="C28" s="5" t="s">
        <v>135</v>
      </c>
      <c r="D28" s="5" t="s">
        <v>612</v>
      </c>
      <c r="E28" s="5" t="s">
        <v>2670</v>
      </c>
      <c r="F28" s="5" t="s">
        <v>2688</v>
      </c>
    </row>
    <row r="29" spans="1:6" ht="15.75" customHeight="1" x14ac:dyDescent="0.2">
      <c r="A29" s="5" t="s">
        <v>70</v>
      </c>
      <c r="B29" s="5" t="s">
        <v>134</v>
      </c>
      <c r="C29" s="5" t="s">
        <v>135</v>
      </c>
      <c r="D29" s="5" t="s">
        <v>612</v>
      </c>
      <c r="E29" s="5" t="s">
        <v>2670</v>
      </c>
      <c r="F29" s="5" t="s">
        <v>2689</v>
      </c>
    </row>
    <row r="30" spans="1:6" ht="15.75" customHeight="1" x14ac:dyDescent="0.2">
      <c r="A30" s="5" t="s">
        <v>70</v>
      </c>
      <c r="B30" s="5" t="s">
        <v>134</v>
      </c>
      <c r="C30" s="5" t="s">
        <v>135</v>
      </c>
      <c r="D30" s="5" t="s">
        <v>612</v>
      </c>
      <c r="E30" s="5" t="s">
        <v>2670</v>
      </c>
      <c r="F30" s="5" t="s">
        <v>2690</v>
      </c>
    </row>
    <row r="31" spans="1:6" ht="15.75" customHeight="1" x14ac:dyDescent="0.2">
      <c r="A31" s="5" t="s">
        <v>70</v>
      </c>
      <c r="B31" s="5" t="s">
        <v>144</v>
      </c>
      <c r="C31" s="5" t="s">
        <v>145</v>
      </c>
      <c r="D31" s="5" t="s">
        <v>913</v>
      </c>
    </row>
    <row r="32" spans="1:6" ht="15.75" customHeight="1" x14ac:dyDescent="0.2">
      <c r="A32" s="5" t="s">
        <v>70</v>
      </c>
      <c r="B32" s="5" t="s">
        <v>154</v>
      </c>
      <c r="C32" s="5" t="s">
        <v>155</v>
      </c>
      <c r="D32" s="5" t="s">
        <v>612</v>
      </c>
      <c r="E32" s="5" t="s">
        <v>2670</v>
      </c>
      <c r="F32" s="5" t="s">
        <v>2691</v>
      </c>
    </row>
    <row r="33" spans="1:6" ht="15.75" customHeight="1" x14ac:dyDescent="0.2">
      <c r="A33" s="5" t="s">
        <v>70</v>
      </c>
      <c r="B33" s="5" t="s">
        <v>165</v>
      </c>
      <c r="C33" s="5" t="s">
        <v>166</v>
      </c>
      <c r="D33" s="5" t="s">
        <v>612</v>
      </c>
      <c r="E33" s="5" t="s">
        <v>2670</v>
      </c>
      <c r="F33" s="5" t="s">
        <v>2692</v>
      </c>
    </row>
    <row r="34" spans="1:6" ht="15.75" customHeight="1" x14ac:dyDescent="0.2">
      <c r="A34" s="5" t="s">
        <v>70</v>
      </c>
      <c r="B34" s="5" t="s">
        <v>165</v>
      </c>
      <c r="C34" s="5" t="s">
        <v>166</v>
      </c>
      <c r="D34" s="5" t="s">
        <v>612</v>
      </c>
      <c r="E34" s="5" t="s">
        <v>2670</v>
      </c>
      <c r="F34" s="5" t="s">
        <v>2693</v>
      </c>
    </row>
    <row r="35" spans="1:6" ht="15.75" customHeight="1" x14ac:dyDescent="0.2">
      <c r="A35" s="5" t="s">
        <v>70</v>
      </c>
      <c r="B35" s="5" t="s">
        <v>176</v>
      </c>
      <c r="C35" s="5" t="s">
        <v>177</v>
      </c>
      <c r="D35" s="5" t="s">
        <v>612</v>
      </c>
      <c r="E35" s="5" t="s">
        <v>2670</v>
      </c>
      <c r="F35" s="5" t="s">
        <v>2694</v>
      </c>
    </row>
    <row r="36" spans="1:6" ht="15.75" customHeight="1" x14ac:dyDescent="0.2">
      <c r="A36" s="5" t="s">
        <v>70</v>
      </c>
      <c r="B36" s="5" t="s">
        <v>176</v>
      </c>
      <c r="C36" s="5" t="s">
        <v>177</v>
      </c>
      <c r="D36" s="5" t="s">
        <v>612</v>
      </c>
      <c r="E36" s="5" t="s">
        <v>2670</v>
      </c>
      <c r="F36" s="5" t="s">
        <v>2695</v>
      </c>
    </row>
    <row r="37" spans="1:6" ht="15.75" customHeight="1" x14ac:dyDescent="0.2">
      <c r="A37" s="5" t="s">
        <v>70</v>
      </c>
      <c r="B37" s="5" t="s">
        <v>176</v>
      </c>
      <c r="C37" s="5" t="s">
        <v>177</v>
      </c>
      <c r="D37" s="5" t="s">
        <v>612</v>
      </c>
      <c r="E37" s="5" t="s">
        <v>2670</v>
      </c>
      <c r="F37" s="5" t="s">
        <v>2696</v>
      </c>
    </row>
    <row r="38" spans="1:6" ht="15.75" customHeight="1" x14ac:dyDescent="0.2">
      <c r="A38" s="5" t="s">
        <v>70</v>
      </c>
      <c r="B38" s="5" t="s">
        <v>176</v>
      </c>
      <c r="C38" s="5" t="s">
        <v>177</v>
      </c>
      <c r="D38" s="5" t="s">
        <v>612</v>
      </c>
      <c r="E38" s="5" t="s">
        <v>2670</v>
      </c>
      <c r="F38" s="5" t="s">
        <v>2697</v>
      </c>
    </row>
    <row r="39" spans="1:6" ht="15.75" customHeight="1" x14ac:dyDescent="0.2">
      <c r="A39" s="5" t="s">
        <v>70</v>
      </c>
      <c r="B39" s="5" t="s">
        <v>176</v>
      </c>
      <c r="C39" s="5" t="s">
        <v>177</v>
      </c>
      <c r="D39" s="5" t="s">
        <v>612</v>
      </c>
      <c r="E39" s="5" t="s">
        <v>2670</v>
      </c>
      <c r="F39" s="5" t="s">
        <v>2698</v>
      </c>
    </row>
    <row r="40" spans="1:6" ht="15.75" customHeight="1" x14ac:dyDescent="0.2">
      <c r="A40" s="5" t="s">
        <v>70</v>
      </c>
      <c r="B40" s="5" t="s">
        <v>176</v>
      </c>
      <c r="C40" s="5" t="s">
        <v>177</v>
      </c>
      <c r="D40" s="5" t="s">
        <v>612</v>
      </c>
      <c r="E40" s="5" t="s">
        <v>2670</v>
      </c>
      <c r="F40" s="5" t="s">
        <v>2699</v>
      </c>
    </row>
    <row r="41" spans="1:6" ht="15.75" customHeight="1" x14ac:dyDescent="0.2">
      <c r="A41" s="5" t="s">
        <v>70</v>
      </c>
      <c r="B41" s="5" t="s">
        <v>176</v>
      </c>
      <c r="C41" s="5" t="s">
        <v>177</v>
      </c>
      <c r="D41" s="5" t="s">
        <v>612</v>
      </c>
      <c r="E41" s="5" t="s">
        <v>2670</v>
      </c>
      <c r="F41" s="5" t="s">
        <v>2700</v>
      </c>
    </row>
    <row r="42" spans="1:6" ht="15.75" customHeight="1" x14ac:dyDescent="0.2">
      <c r="A42" s="5" t="s">
        <v>70</v>
      </c>
      <c r="B42" s="5" t="s">
        <v>184</v>
      </c>
      <c r="C42" s="5" t="s">
        <v>185</v>
      </c>
      <c r="D42" s="5" t="s">
        <v>913</v>
      </c>
    </row>
    <row r="43" spans="1:6" ht="15.75" customHeight="1" x14ac:dyDescent="0.2">
      <c r="A43" s="5" t="s">
        <v>70</v>
      </c>
      <c r="B43" s="5" t="s">
        <v>193</v>
      </c>
      <c r="C43" s="5" t="s">
        <v>194</v>
      </c>
      <c r="D43" s="5" t="s">
        <v>612</v>
      </c>
      <c r="E43" s="5" t="s">
        <v>2665</v>
      </c>
      <c r="F43" s="5" t="s">
        <v>2701</v>
      </c>
    </row>
    <row r="44" spans="1:6" ht="15.75" customHeight="1" x14ac:dyDescent="0.2">
      <c r="A44" s="5" t="s">
        <v>70</v>
      </c>
      <c r="B44" s="5" t="s">
        <v>193</v>
      </c>
      <c r="C44" s="5" t="s">
        <v>194</v>
      </c>
      <c r="D44" s="5" t="s">
        <v>612</v>
      </c>
      <c r="E44" s="5" t="s">
        <v>2665</v>
      </c>
      <c r="F44" s="5" t="s">
        <v>2702</v>
      </c>
    </row>
    <row r="45" spans="1:6" ht="15.75" customHeight="1" x14ac:dyDescent="0.2">
      <c r="A45" s="5" t="s">
        <v>70</v>
      </c>
      <c r="B45" s="5" t="s">
        <v>200</v>
      </c>
      <c r="C45" s="5" t="s">
        <v>201</v>
      </c>
      <c r="D45" s="5" t="s">
        <v>612</v>
      </c>
      <c r="E45" s="5" t="s">
        <v>2703</v>
      </c>
      <c r="F45" s="5" t="s">
        <v>2704</v>
      </c>
    </row>
    <row r="46" spans="1:6" ht="15.75" customHeight="1" x14ac:dyDescent="0.2">
      <c r="A46" s="5" t="s">
        <v>70</v>
      </c>
      <c r="B46" s="5" t="s">
        <v>200</v>
      </c>
      <c r="C46" s="5" t="s">
        <v>201</v>
      </c>
      <c r="D46" s="5" t="s">
        <v>612</v>
      </c>
      <c r="E46" s="5" t="s">
        <v>2661</v>
      </c>
      <c r="F46" s="5" t="s">
        <v>2705</v>
      </c>
    </row>
    <row r="47" spans="1:6" ht="15.75" customHeight="1" x14ac:dyDescent="0.2">
      <c r="A47" s="5" t="s">
        <v>70</v>
      </c>
      <c r="B47" s="5" t="s">
        <v>211</v>
      </c>
      <c r="C47" s="5" t="s">
        <v>212</v>
      </c>
      <c r="D47" s="5" t="s">
        <v>612</v>
      </c>
      <c r="E47" s="5" t="s">
        <v>2678</v>
      </c>
      <c r="F47" s="5" t="s">
        <v>2706</v>
      </c>
    </row>
    <row r="48" spans="1:6" ht="15.75" customHeight="1" x14ac:dyDescent="0.2">
      <c r="A48" s="5" t="s">
        <v>70</v>
      </c>
      <c r="B48" s="5" t="s">
        <v>221</v>
      </c>
      <c r="C48" s="5" t="s">
        <v>222</v>
      </c>
      <c r="D48" s="5" t="s">
        <v>913</v>
      </c>
    </row>
    <row r="49" spans="1:6" ht="15.75" customHeight="1" x14ac:dyDescent="0.2">
      <c r="A49" s="5" t="s">
        <v>70</v>
      </c>
      <c r="B49" s="5" t="s">
        <v>229</v>
      </c>
      <c r="C49" s="5" t="s">
        <v>230</v>
      </c>
      <c r="D49" s="5" t="s">
        <v>612</v>
      </c>
      <c r="E49" s="5" t="s">
        <v>2670</v>
      </c>
      <c r="F49" s="5" t="s">
        <v>2707</v>
      </c>
    </row>
    <row r="50" spans="1:6" ht="15.75" customHeight="1" x14ac:dyDescent="0.2">
      <c r="A50" s="5" t="s">
        <v>70</v>
      </c>
      <c r="B50" s="5" t="s">
        <v>229</v>
      </c>
      <c r="C50" s="5" t="s">
        <v>230</v>
      </c>
      <c r="D50" s="5" t="s">
        <v>612</v>
      </c>
      <c r="E50" s="5" t="s">
        <v>2661</v>
      </c>
      <c r="F50" s="5" t="s">
        <v>2708</v>
      </c>
    </row>
    <row r="51" spans="1:6" ht="15.75" customHeight="1" x14ac:dyDescent="0.2">
      <c r="A51" s="5" t="s">
        <v>70</v>
      </c>
      <c r="B51" s="5" t="s">
        <v>238</v>
      </c>
      <c r="C51" s="5" t="s">
        <v>239</v>
      </c>
      <c r="D51" s="5" t="s">
        <v>612</v>
      </c>
      <c r="E51" s="5" t="s">
        <v>2670</v>
      </c>
      <c r="F51" s="5" t="s">
        <v>2709</v>
      </c>
    </row>
    <row r="52" spans="1:6" ht="15.75" customHeight="1" x14ac:dyDescent="0.2">
      <c r="A52" s="5" t="s">
        <v>70</v>
      </c>
      <c r="B52" s="5" t="s">
        <v>247</v>
      </c>
      <c r="C52" s="5" t="s">
        <v>248</v>
      </c>
      <c r="D52" s="5" t="s">
        <v>612</v>
      </c>
      <c r="E52" s="5" t="s">
        <v>2703</v>
      </c>
      <c r="F52" s="5" t="s">
        <v>2710</v>
      </c>
    </row>
    <row r="53" spans="1:6" ht="15.75" customHeight="1" x14ac:dyDescent="0.2">
      <c r="A53" s="5" t="s">
        <v>70</v>
      </c>
      <c r="B53" s="5" t="s">
        <v>247</v>
      </c>
      <c r="C53" s="5" t="s">
        <v>248</v>
      </c>
      <c r="D53" s="5" t="s">
        <v>612</v>
      </c>
      <c r="E53" s="5" t="s">
        <v>2661</v>
      </c>
      <c r="F53" s="5" t="s">
        <v>2711</v>
      </c>
    </row>
    <row r="54" spans="1:6" ht="15.75" customHeight="1" x14ac:dyDescent="0.2">
      <c r="A54" s="5" t="s">
        <v>70</v>
      </c>
      <c r="B54" s="5" t="s">
        <v>257</v>
      </c>
      <c r="C54" s="5" t="s">
        <v>258</v>
      </c>
      <c r="D54" s="5" t="s">
        <v>913</v>
      </c>
    </row>
    <row r="55" spans="1:6" ht="15.75" customHeight="1" x14ac:dyDescent="0.2">
      <c r="A55" s="5" t="s">
        <v>70</v>
      </c>
      <c r="B55" s="5" t="s">
        <v>268</v>
      </c>
      <c r="C55" s="5" t="s">
        <v>269</v>
      </c>
      <c r="D55" s="5" t="s">
        <v>913</v>
      </c>
    </row>
    <row r="56" spans="1:6" ht="15.75" customHeight="1" x14ac:dyDescent="0.2">
      <c r="A56" s="5" t="s">
        <v>276</v>
      </c>
      <c r="B56" s="5" t="s">
        <v>277</v>
      </c>
      <c r="C56" s="5" t="s">
        <v>278</v>
      </c>
      <c r="D56" s="5" t="s">
        <v>913</v>
      </c>
    </row>
    <row r="57" spans="1:6" ht="15.75" customHeight="1" x14ac:dyDescent="0.2">
      <c r="A57" s="5" t="s">
        <v>276</v>
      </c>
      <c r="B57" s="5" t="s">
        <v>288</v>
      </c>
      <c r="C57" s="5" t="s">
        <v>289</v>
      </c>
      <c r="D57" s="5" t="s">
        <v>612</v>
      </c>
      <c r="E57" s="5" t="s">
        <v>2670</v>
      </c>
      <c r="F57" s="5" t="s">
        <v>2712</v>
      </c>
    </row>
    <row r="58" spans="1:6" ht="15.75" customHeight="1" x14ac:dyDescent="0.2">
      <c r="A58" s="5" t="s">
        <v>276</v>
      </c>
      <c r="B58" s="5" t="s">
        <v>296</v>
      </c>
      <c r="C58" s="5" t="s">
        <v>297</v>
      </c>
      <c r="D58" s="5" t="s">
        <v>612</v>
      </c>
      <c r="E58" s="5" t="s">
        <v>2670</v>
      </c>
      <c r="F58" s="5" t="s">
        <v>2713</v>
      </c>
    </row>
    <row r="59" spans="1:6" ht="15.75" customHeight="1" x14ac:dyDescent="0.2">
      <c r="A59" s="5" t="s">
        <v>276</v>
      </c>
      <c r="B59" s="5" t="s">
        <v>305</v>
      </c>
      <c r="C59" s="5" t="s">
        <v>306</v>
      </c>
      <c r="D59" s="5" t="s">
        <v>612</v>
      </c>
      <c r="E59" s="5" t="s">
        <v>2670</v>
      </c>
      <c r="F59" s="5" t="s">
        <v>2714</v>
      </c>
    </row>
    <row r="60" spans="1:6" ht="15.75" customHeight="1" x14ac:dyDescent="0.2">
      <c r="A60" s="5" t="s">
        <v>276</v>
      </c>
      <c r="B60" s="5" t="s">
        <v>316</v>
      </c>
      <c r="C60" s="5" t="s">
        <v>317</v>
      </c>
      <c r="D60" s="5" t="s">
        <v>913</v>
      </c>
    </row>
    <row r="61" spans="1:6" ht="15.75" customHeight="1" x14ac:dyDescent="0.2">
      <c r="A61" s="5" t="s">
        <v>276</v>
      </c>
      <c r="B61" s="5" t="s">
        <v>327</v>
      </c>
      <c r="C61" s="5" t="s">
        <v>328</v>
      </c>
      <c r="D61" s="5" t="s">
        <v>913</v>
      </c>
    </row>
    <row r="62" spans="1:6" ht="15.75" customHeight="1" x14ac:dyDescent="0.2">
      <c r="A62" s="5" t="s">
        <v>276</v>
      </c>
      <c r="B62" s="5" t="s">
        <v>337</v>
      </c>
      <c r="C62" s="5" t="s">
        <v>338</v>
      </c>
      <c r="D62" s="5" t="s">
        <v>913</v>
      </c>
    </row>
    <row r="63" spans="1:6" ht="15.75" customHeight="1" x14ac:dyDescent="0.2">
      <c r="A63" s="5" t="s">
        <v>276</v>
      </c>
      <c r="B63" s="5" t="s">
        <v>346</v>
      </c>
      <c r="C63" s="5" t="s">
        <v>347</v>
      </c>
      <c r="D63" s="5" t="s">
        <v>612</v>
      </c>
      <c r="E63" s="5" t="s">
        <v>2670</v>
      </c>
      <c r="F63" s="5" t="s">
        <v>2715</v>
      </c>
    </row>
    <row r="64" spans="1:6" ht="15.75" customHeight="1" x14ac:dyDescent="0.2">
      <c r="A64" s="5" t="s">
        <v>276</v>
      </c>
      <c r="B64" s="5" t="s">
        <v>355</v>
      </c>
      <c r="C64" s="5" t="s">
        <v>356</v>
      </c>
      <c r="D64" s="5" t="s">
        <v>913</v>
      </c>
    </row>
    <row r="65" spans="1:6" ht="15.75" customHeight="1" x14ac:dyDescent="0.2">
      <c r="A65" s="5" t="s">
        <v>276</v>
      </c>
      <c r="B65" s="5" t="s">
        <v>363</v>
      </c>
      <c r="C65" s="5" t="s">
        <v>364</v>
      </c>
      <c r="D65" s="5" t="s">
        <v>913</v>
      </c>
    </row>
    <row r="66" spans="1:6" ht="15.75" customHeight="1" x14ac:dyDescent="0.2">
      <c r="A66" s="5" t="s">
        <v>276</v>
      </c>
      <c r="B66" s="5" t="s">
        <v>372</v>
      </c>
      <c r="C66" s="5" t="s">
        <v>373</v>
      </c>
      <c r="D66" s="5" t="s">
        <v>913</v>
      </c>
    </row>
    <row r="67" spans="1:6" ht="15.75" customHeight="1" x14ac:dyDescent="0.2">
      <c r="A67" s="5" t="s">
        <v>380</v>
      </c>
      <c r="B67" s="5" t="s">
        <v>381</v>
      </c>
      <c r="C67" s="5" t="s">
        <v>382</v>
      </c>
      <c r="D67" s="5" t="s">
        <v>913</v>
      </c>
    </row>
    <row r="68" spans="1:6" ht="15.75" customHeight="1" x14ac:dyDescent="0.2">
      <c r="A68" s="5" t="s">
        <v>380</v>
      </c>
      <c r="B68" s="5" t="s">
        <v>390</v>
      </c>
      <c r="C68" s="5" t="s">
        <v>391</v>
      </c>
      <c r="D68" s="5" t="s">
        <v>612</v>
      </c>
      <c r="E68" s="5" t="s">
        <v>2678</v>
      </c>
      <c r="F68" s="5" t="s">
        <v>2716</v>
      </c>
    </row>
    <row r="69" spans="1:6" ht="15.75" customHeight="1" x14ac:dyDescent="0.2">
      <c r="A69" s="5" t="s">
        <v>380</v>
      </c>
      <c r="B69" s="5" t="s">
        <v>390</v>
      </c>
      <c r="C69" s="5" t="s">
        <v>391</v>
      </c>
      <c r="D69" s="5" t="s">
        <v>612</v>
      </c>
      <c r="E69" s="5" t="s">
        <v>2670</v>
      </c>
      <c r="F69" s="5" t="s">
        <v>2717</v>
      </c>
    </row>
    <row r="70" spans="1:6" ht="15.75" customHeight="1" x14ac:dyDescent="0.2">
      <c r="A70" s="5" t="s">
        <v>380</v>
      </c>
      <c r="B70" s="5" t="s">
        <v>390</v>
      </c>
      <c r="C70" s="5" t="s">
        <v>391</v>
      </c>
      <c r="D70" s="5" t="s">
        <v>612</v>
      </c>
      <c r="E70" s="5" t="s">
        <v>2678</v>
      </c>
      <c r="F70" s="5" t="s">
        <v>2716</v>
      </c>
    </row>
    <row r="71" spans="1:6" ht="15.75" customHeight="1" x14ac:dyDescent="0.2">
      <c r="A71" s="5" t="s">
        <v>380</v>
      </c>
      <c r="B71" s="5" t="s">
        <v>390</v>
      </c>
      <c r="C71" s="5" t="s">
        <v>391</v>
      </c>
      <c r="D71" s="5" t="s">
        <v>612</v>
      </c>
      <c r="E71" s="5" t="s">
        <v>2670</v>
      </c>
      <c r="F71" s="5" t="s">
        <v>2717</v>
      </c>
    </row>
    <row r="72" spans="1:6" ht="15.75" customHeight="1" x14ac:dyDescent="0.2">
      <c r="A72" s="5" t="s">
        <v>380</v>
      </c>
      <c r="B72" s="5" t="s">
        <v>399</v>
      </c>
      <c r="C72" s="5" t="s">
        <v>400</v>
      </c>
      <c r="D72" s="5" t="s">
        <v>913</v>
      </c>
    </row>
    <row r="73" spans="1:6" ht="15.75" customHeight="1" x14ac:dyDescent="0.2">
      <c r="A73" s="5" t="s">
        <v>380</v>
      </c>
      <c r="B73" s="5" t="s">
        <v>407</v>
      </c>
      <c r="C73" s="5" t="s">
        <v>408</v>
      </c>
      <c r="D73" s="5" t="s">
        <v>913</v>
      </c>
    </row>
    <row r="74" spans="1:6" ht="15.75" customHeight="1" x14ac:dyDescent="0.2">
      <c r="A74" s="5" t="s">
        <v>380</v>
      </c>
      <c r="B74" s="5" t="s">
        <v>417</v>
      </c>
      <c r="C74" s="5" t="s">
        <v>418</v>
      </c>
      <c r="D74" s="5" t="s">
        <v>913</v>
      </c>
    </row>
    <row r="75" spans="1:6" ht="15.75" customHeight="1" x14ac:dyDescent="0.2">
      <c r="A75" s="5" t="s">
        <v>426</v>
      </c>
      <c r="B75" s="5" t="s">
        <v>427</v>
      </c>
      <c r="C75" s="5" t="s">
        <v>428</v>
      </c>
      <c r="D75" s="5" t="s">
        <v>612</v>
      </c>
      <c r="E75" s="5" t="s">
        <v>2661</v>
      </c>
      <c r="F75" s="5" t="s">
        <v>2718</v>
      </c>
    </row>
    <row r="76" spans="1:6" ht="15.75" customHeight="1" x14ac:dyDescent="0.2">
      <c r="A76" s="5" t="s">
        <v>426</v>
      </c>
      <c r="B76" s="5" t="s">
        <v>435</v>
      </c>
      <c r="C76" s="5" t="s">
        <v>436</v>
      </c>
      <c r="D76" s="5" t="s">
        <v>913</v>
      </c>
    </row>
    <row r="77" spans="1:6" ht="15.75" customHeight="1" x14ac:dyDescent="0.2">
      <c r="A77" s="5" t="s">
        <v>426</v>
      </c>
      <c r="B77" s="5" t="s">
        <v>435</v>
      </c>
      <c r="C77" s="5" t="s">
        <v>436</v>
      </c>
      <c r="D77" s="5" t="s">
        <v>913</v>
      </c>
    </row>
    <row r="78" spans="1:6" ht="15.75" customHeight="1" x14ac:dyDescent="0.2">
      <c r="A78" s="5" t="s">
        <v>426</v>
      </c>
      <c r="B78" s="5" t="s">
        <v>444</v>
      </c>
      <c r="C78" s="5" t="s">
        <v>445</v>
      </c>
      <c r="D78" s="5" t="s">
        <v>612</v>
      </c>
      <c r="E78" s="5" t="s">
        <v>2670</v>
      </c>
      <c r="F78" s="5" t="s">
        <v>2719</v>
      </c>
    </row>
    <row r="79" spans="1:6" ht="15.75" customHeight="1" x14ac:dyDescent="0.2">
      <c r="A79" s="5" t="s">
        <v>426</v>
      </c>
      <c r="B79" s="5" t="s">
        <v>452</v>
      </c>
      <c r="C79" s="5" t="s">
        <v>453</v>
      </c>
      <c r="D79" s="5" t="s">
        <v>913</v>
      </c>
    </row>
    <row r="80" spans="1:6" ht="15.75" customHeight="1" x14ac:dyDescent="0.2">
      <c r="A80" s="5" t="s">
        <v>426</v>
      </c>
      <c r="B80" s="5" t="s">
        <v>460</v>
      </c>
      <c r="C80" s="5" t="s">
        <v>461</v>
      </c>
      <c r="D80" s="5" t="s">
        <v>913</v>
      </c>
    </row>
    <row r="81" spans="1:6" ht="15.75" customHeight="1" x14ac:dyDescent="0.2">
      <c r="A81" s="5" t="s">
        <v>426</v>
      </c>
      <c r="B81" s="5" t="s">
        <v>468</v>
      </c>
      <c r="C81" s="5" t="s">
        <v>469</v>
      </c>
      <c r="D81" s="5" t="s">
        <v>612</v>
      </c>
      <c r="E81" s="5" t="s">
        <v>2670</v>
      </c>
      <c r="F81" s="5" t="s">
        <v>2720</v>
      </c>
    </row>
    <row r="82" spans="1:6" ht="15.75" customHeight="1" x14ac:dyDescent="0.2">
      <c r="A82" s="5" t="s">
        <v>426</v>
      </c>
      <c r="B82" s="5" t="s">
        <v>476</v>
      </c>
      <c r="C82" s="5" t="s">
        <v>477</v>
      </c>
      <c r="D82" s="5" t="s">
        <v>913</v>
      </c>
    </row>
    <row r="83" spans="1:6" ht="15.75" customHeight="1" x14ac:dyDescent="0.2">
      <c r="A83" s="5" t="s">
        <v>426</v>
      </c>
      <c r="B83" s="5" t="s">
        <v>476</v>
      </c>
      <c r="C83" s="5" t="s">
        <v>477</v>
      </c>
      <c r="D83" s="5" t="s">
        <v>913</v>
      </c>
    </row>
    <row r="84" spans="1:6" ht="15.75" customHeight="1" x14ac:dyDescent="0.2">
      <c r="A84" s="5" t="s">
        <v>485</v>
      </c>
      <c r="B84" s="5" t="s">
        <v>486</v>
      </c>
      <c r="C84" s="5" t="s">
        <v>487</v>
      </c>
      <c r="D84" s="5" t="s">
        <v>612</v>
      </c>
      <c r="E84" s="5" t="s">
        <v>2663</v>
      </c>
      <c r="F84" s="5" t="s">
        <v>2721</v>
      </c>
    </row>
    <row r="85" spans="1:6" ht="15.75" customHeight="1" x14ac:dyDescent="0.2">
      <c r="A85" s="5" t="s">
        <v>485</v>
      </c>
      <c r="B85" s="5" t="s">
        <v>486</v>
      </c>
      <c r="C85" s="5" t="s">
        <v>487</v>
      </c>
      <c r="D85" s="5" t="s">
        <v>612</v>
      </c>
      <c r="E85" s="5" t="s">
        <v>2670</v>
      </c>
      <c r="F85" s="5" t="s">
        <v>2722</v>
      </c>
    </row>
    <row r="86" spans="1:6" ht="15.75" customHeight="1" x14ac:dyDescent="0.2">
      <c r="A86" s="5" t="s">
        <v>485</v>
      </c>
      <c r="B86" s="5" t="s">
        <v>494</v>
      </c>
      <c r="C86" s="5" t="s">
        <v>495</v>
      </c>
      <c r="D86" s="5" t="s">
        <v>612</v>
      </c>
      <c r="E86" s="5" t="s">
        <v>2661</v>
      </c>
      <c r="F86" s="5" t="s">
        <v>2723</v>
      </c>
    </row>
    <row r="87" spans="1:6" ht="15.75" customHeight="1" x14ac:dyDescent="0.2">
      <c r="A87" s="5" t="s">
        <v>485</v>
      </c>
      <c r="B87" s="5" t="s">
        <v>503</v>
      </c>
      <c r="C87" s="5" t="s">
        <v>504</v>
      </c>
      <c r="D87" s="5" t="s">
        <v>612</v>
      </c>
      <c r="E87" s="5" t="s">
        <v>2661</v>
      </c>
      <c r="F87" s="5" t="s">
        <v>2724</v>
      </c>
    </row>
    <row r="88" spans="1:6" ht="15.75" customHeight="1" x14ac:dyDescent="0.2">
      <c r="A88" s="5" t="s">
        <v>485</v>
      </c>
      <c r="B88" s="5" t="s">
        <v>511</v>
      </c>
      <c r="C88" s="5" t="s">
        <v>512</v>
      </c>
      <c r="D88" s="5" t="s">
        <v>612</v>
      </c>
      <c r="E88" s="5" t="s">
        <v>2670</v>
      </c>
      <c r="F88" s="5" t="s">
        <v>2725</v>
      </c>
    </row>
    <row r="89" spans="1:6" ht="15.75" customHeight="1" x14ac:dyDescent="0.2">
      <c r="A89" s="5" t="s">
        <v>485</v>
      </c>
      <c r="B89" s="5" t="s">
        <v>519</v>
      </c>
      <c r="C89" s="5" t="s">
        <v>520</v>
      </c>
      <c r="D89" s="5" t="s">
        <v>612</v>
      </c>
      <c r="E89" s="5" t="s">
        <v>2665</v>
      </c>
      <c r="F89" s="5" t="s">
        <v>2726</v>
      </c>
    </row>
    <row r="90" spans="1:6" ht="15.75" customHeight="1" x14ac:dyDescent="0.2">
      <c r="A90" s="5" t="s">
        <v>485</v>
      </c>
      <c r="B90" s="5" t="s">
        <v>519</v>
      </c>
      <c r="C90" s="5" t="s">
        <v>520</v>
      </c>
      <c r="D90" s="5" t="s">
        <v>612</v>
      </c>
      <c r="E90" s="5" t="s">
        <v>2670</v>
      </c>
      <c r="F90" s="5" t="s">
        <v>2727</v>
      </c>
    </row>
    <row r="91" spans="1:6" ht="15.75" customHeight="1" x14ac:dyDescent="0.2">
      <c r="A91" s="5" t="s">
        <v>485</v>
      </c>
      <c r="B91" s="5" t="s">
        <v>519</v>
      </c>
      <c r="C91" s="5" t="s">
        <v>520</v>
      </c>
      <c r="D91" s="5" t="s">
        <v>612</v>
      </c>
      <c r="E91" s="5" t="s">
        <v>2661</v>
      </c>
      <c r="F91" s="5" t="s">
        <v>1584</v>
      </c>
    </row>
    <row r="92" spans="1:6" ht="15.75" customHeight="1" x14ac:dyDescent="0.2">
      <c r="A92" s="5" t="s">
        <v>485</v>
      </c>
      <c r="B92" s="5" t="s">
        <v>519</v>
      </c>
      <c r="C92" s="5" t="s">
        <v>520</v>
      </c>
      <c r="D92" s="5" t="s">
        <v>612</v>
      </c>
      <c r="E92" s="5" t="s">
        <v>2665</v>
      </c>
      <c r="F92" s="5" t="s">
        <v>2726</v>
      </c>
    </row>
    <row r="93" spans="1:6" ht="15.75" customHeight="1" x14ac:dyDescent="0.2">
      <c r="A93" s="5" t="s">
        <v>485</v>
      </c>
      <c r="B93" s="5" t="s">
        <v>519</v>
      </c>
      <c r="C93" s="5" t="s">
        <v>520</v>
      </c>
      <c r="D93" s="5" t="s">
        <v>612</v>
      </c>
      <c r="E93" s="5" t="s">
        <v>2670</v>
      </c>
      <c r="F93" s="5" t="s">
        <v>2727</v>
      </c>
    </row>
    <row r="94" spans="1:6" ht="15.75" customHeight="1" x14ac:dyDescent="0.2">
      <c r="A94" s="5" t="s">
        <v>485</v>
      </c>
      <c r="B94" s="5" t="s">
        <v>519</v>
      </c>
      <c r="C94" s="5" t="s">
        <v>520</v>
      </c>
      <c r="D94" s="5" t="s">
        <v>612</v>
      </c>
      <c r="E94" s="5" t="s">
        <v>2661</v>
      </c>
      <c r="F94" s="5" t="s">
        <v>1584</v>
      </c>
    </row>
    <row r="95" spans="1:6" ht="15.75" customHeight="1" x14ac:dyDescent="0.2">
      <c r="A95" s="5" t="s">
        <v>485</v>
      </c>
      <c r="B95" s="5" t="s">
        <v>527</v>
      </c>
      <c r="C95" s="5" t="s">
        <v>528</v>
      </c>
      <c r="D95" s="5" t="s">
        <v>612</v>
      </c>
      <c r="E95" s="5" t="s">
        <v>2670</v>
      </c>
      <c r="F95" s="5" t="s">
        <v>2728</v>
      </c>
    </row>
    <row r="96" spans="1:6" ht="15.75" customHeight="1" x14ac:dyDescent="0.2">
      <c r="A96" s="5" t="s">
        <v>485</v>
      </c>
      <c r="B96" s="5" t="s">
        <v>537</v>
      </c>
      <c r="C96" s="5" t="s">
        <v>538</v>
      </c>
      <c r="D96" s="5" t="s">
        <v>913</v>
      </c>
    </row>
    <row r="97" spans="1:6" ht="15.75" customHeight="1" x14ac:dyDescent="0.2">
      <c r="A97" s="5" t="s">
        <v>485</v>
      </c>
      <c r="B97" s="5" t="s">
        <v>546</v>
      </c>
      <c r="C97" s="5" t="s">
        <v>547</v>
      </c>
      <c r="D97" s="5" t="s">
        <v>612</v>
      </c>
      <c r="E97" s="5" t="s">
        <v>2670</v>
      </c>
      <c r="F97" s="5" t="s">
        <v>2729</v>
      </c>
    </row>
    <row r="98" spans="1:6" ht="15.75" customHeight="1" x14ac:dyDescent="0.2">
      <c r="A98" s="5" t="s">
        <v>485</v>
      </c>
      <c r="B98" s="5" t="s">
        <v>546</v>
      </c>
      <c r="C98" s="5" t="s">
        <v>547</v>
      </c>
      <c r="D98" s="5" t="s">
        <v>612</v>
      </c>
      <c r="E98" s="5" t="s">
        <v>2670</v>
      </c>
      <c r="F98" s="5" t="s">
        <v>2730</v>
      </c>
    </row>
    <row r="99" spans="1:6" ht="15.75" customHeight="1" x14ac:dyDescent="0.2">
      <c r="A99" t="s">
        <v>70</v>
      </c>
      <c r="B99" t="s">
        <v>555</v>
      </c>
      <c r="C99" t="s">
        <v>556</v>
      </c>
      <c r="D99" t="s">
        <v>612</v>
      </c>
      <c r="E99" t="s">
        <v>2661</v>
      </c>
      <c r="F99" t="s">
        <v>2731</v>
      </c>
    </row>
    <row r="100" spans="1:6" ht="15.75" customHeight="1" x14ac:dyDescent="0.2">
      <c r="A100" t="s">
        <v>70</v>
      </c>
      <c r="B100" t="s">
        <v>555</v>
      </c>
      <c r="C100" t="s">
        <v>556</v>
      </c>
      <c r="D100" t="s">
        <v>612</v>
      </c>
      <c r="E100" t="s">
        <v>2670</v>
      </c>
      <c r="F100" t="s">
        <v>2732</v>
      </c>
    </row>
    <row r="101" spans="1:6" ht="15.75" customHeight="1" x14ac:dyDescent="0.2">
      <c r="A101" t="s">
        <v>276</v>
      </c>
      <c r="B101" t="s">
        <v>562</v>
      </c>
      <c r="C101" t="s">
        <v>563</v>
      </c>
      <c r="D101" t="s">
        <v>913</v>
      </c>
    </row>
    <row r="102" spans="1:6" ht="15.75" customHeight="1" x14ac:dyDescent="0.2">
      <c r="A102" t="s">
        <v>276</v>
      </c>
      <c r="B102" t="s">
        <v>568</v>
      </c>
      <c r="C102" t="s">
        <v>569</v>
      </c>
      <c r="D102" t="s">
        <v>913</v>
      </c>
    </row>
    <row r="103" spans="1:6" ht="15.75" customHeight="1" x14ac:dyDescent="0.2">
      <c r="A103" t="s">
        <v>276</v>
      </c>
      <c r="B103" t="s">
        <v>574</v>
      </c>
      <c r="C103" t="s">
        <v>575</v>
      </c>
      <c r="D103" t="s">
        <v>913</v>
      </c>
    </row>
    <row r="104" spans="1:6" ht="15.75" customHeight="1" x14ac:dyDescent="0.2"/>
    <row r="105" spans="1:6" ht="15.75" customHeight="1" x14ac:dyDescent="0.2"/>
    <row r="106" spans="1:6" ht="15.75" customHeight="1" x14ac:dyDescent="0.2"/>
    <row r="107" spans="1:6" ht="15.75" customHeight="1" x14ac:dyDescent="0.2"/>
    <row r="108" spans="1:6" ht="15.75" customHeight="1" x14ac:dyDescent="0.2"/>
    <row r="109" spans="1:6" ht="15.75" customHeight="1" x14ac:dyDescent="0.2"/>
    <row r="110" spans="1:6" ht="15.75" customHeight="1" x14ac:dyDescent="0.2"/>
    <row r="111" spans="1:6" ht="15.75" customHeight="1" x14ac:dyDescent="0.2"/>
    <row r="112" spans="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000"/>
  <sheetViews>
    <sheetView workbookViewId="0"/>
  </sheetViews>
  <sheetFormatPr baseColWidth="10" defaultColWidth="14.5" defaultRowHeight="15" customHeight="1" x14ac:dyDescent="0.2"/>
  <cols>
    <col min="1" max="26" width="8.6640625" customWidth="1"/>
  </cols>
  <sheetData>
    <row r="1" spans="1:6" x14ac:dyDescent="0.2">
      <c r="A1" s="1" t="s">
        <v>0</v>
      </c>
      <c r="B1" s="1" t="s">
        <v>1</v>
      </c>
      <c r="C1" s="1" t="s">
        <v>2</v>
      </c>
      <c r="D1" s="1" t="s">
        <v>2733</v>
      </c>
      <c r="E1" s="1" t="s">
        <v>2734</v>
      </c>
      <c r="F1" s="1"/>
    </row>
    <row r="2" spans="1:6" x14ac:dyDescent="0.2">
      <c r="A2" s="5" t="s">
        <v>26</v>
      </c>
      <c r="B2" s="5" t="s">
        <v>27</v>
      </c>
      <c r="C2" s="5" t="s">
        <v>28</v>
      </c>
      <c r="D2" s="5" t="s">
        <v>2735</v>
      </c>
      <c r="E2" s="5" t="s">
        <v>2736</v>
      </c>
    </row>
    <row r="3" spans="1:6" x14ac:dyDescent="0.2">
      <c r="A3" s="5" t="s">
        <v>26</v>
      </c>
      <c r="B3" s="5" t="s">
        <v>40</v>
      </c>
      <c r="C3" s="5" t="s">
        <v>41</v>
      </c>
      <c r="D3" s="5" t="s">
        <v>2735</v>
      </c>
      <c r="E3" s="5" t="s">
        <v>2737</v>
      </c>
    </row>
    <row r="4" spans="1:6" x14ac:dyDescent="0.2">
      <c r="A4" s="5" t="s">
        <v>26</v>
      </c>
      <c r="B4" s="5" t="s">
        <v>40</v>
      </c>
      <c r="C4" s="5" t="s">
        <v>41</v>
      </c>
      <c r="D4" s="5" t="s">
        <v>2738</v>
      </c>
      <c r="E4" s="5" t="s">
        <v>2739</v>
      </c>
    </row>
    <row r="5" spans="1:6" x14ac:dyDescent="0.2">
      <c r="A5" s="5" t="s">
        <v>26</v>
      </c>
      <c r="B5" s="5" t="s">
        <v>50</v>
      </c>
      <c r="C5" s="5" t="s">
        <v>51</v>
      </c>
      <c r="D5" s="5" t="s">
        <v>2735</v>
      </c>
      <c r="E5" s="5" t="s">
        <v>2740</v>
      </c>
    </row>
    <row r="6" spans="1:6" x14ac:dyDescent="0.2">
      <c r="A6" s="5" t="s">
        <v>26</v>
      </c>
      <c r="B6" s="5" t="s">
        <v>61</v>
      </c>
      <c r="C6" s="5" t="s">
        <v>62</v>
      </c>
      <c r="D6" s="5" t="s">
        <v>2735</v>
      </c>
      <c r="E6" s="5" t="s">
        <v>2741</v>
      </c>
    </row>
    <row r="7" spans="1:6" x14ac:dyDescent="0.2">
      <c r="A7" s="5" t="s">
        <v>70</v>
      </c>
      <c r="B7" s="5" t="s">
        <v>71</v>
      </c>
      <c r="C7" s="5" t="s">
        <v>72</v>
      </c>
      <c r="D7" s="5" t="s">
        <v>2735</v>
      </c>
      <c r="E7" s="5" t="s">
        <v>2742</v>
      </c>
    </row>
    <row r="8" spans="1:6" x14ac:dyDescent="0.2">
      <c r="A8" s="5" t="s">
        <v>70</v>
      </c>
      <c r="B8" s="5" t="s">
        <v>82</v>
      </c>
      <c r="C8" s="5" t="s">
        <v>83</v>
      </c>
      <c r="D8" s="5" t="s">
        <v>2735</v>
      </c>
      <c r="E8" s="5" t="s">
        <v>2743</v>
      </c>
    </row>
    <row r="9" spans="1:6" x14ac:dyDescent="0.2">
      <c r="A9" s="5" t="s">
        <v>70</v>
      </c>
      <c r="B9" s="5" t="s">
        <v>82</v>
      </c>
      <c r="C9" s="5" t="s">
        <v>83</v>
      </c>
      <c r="D9" s="5" t="s">
        <v>2738</v>
      </c>
      <c r="E9" s="5" t="s">
        <v>2744</v>
      </c>
    </row>
    <row r="10" spans="1:6" x14ac:dyDescent="0.2">
      <c r="A10" s="5" t="s">
        <v>70</v>
      </c>
      <c r="B10" s="5" t="s">
        <v>93</v>
      </c>
      <c r="C10" s="5" t="s">
        <v>94</v>
      </c>
      <c r="D10" s="5" t="s">
        <v>2735</v>
      </c>
      <c r="E10" s="5" t="s">
        <v>2745</v>
      </c>
    </row>
    <row r="11" spans="1:6" x14ac:dyDescent="0.2">
      <c r="A11" s="5" t="s">
        <v>70</v>
      </c>
      <c r="B11" s="5" t="s">
        <v>102</v>
      </c>
      <c r="C11" s="5" t="s">
        <v>103</v>
      </c>
      <c r="D11" s="5" t="s">
        <v>2735</v>
      </c>
      <c r="E11" s="5" t="s">
        <v>2746</v>
      </c>
    </row>
    <row r="12" spans="1:6" x14ac:dyDescent="0.2">
      <c r="A12" s="5" t="s">
        <v>70</v>
      </c>
      <c r="B12" s="5" t="s">
        <v>112</v>
      </c>
      <c r="C12" s="5" t="s">
        <v>113</v>
      </c>
      <c r="D12" s="5" t="s">
        <v>2735</v>
      </c>
      <c r="E12" s="5" t="s">
        <v>2747</v>
      </c>
    </row>
    <row r="13" spans="1:6" x14ac:dyDescent="0.2">
      <c r="A13" s="5" t="s">
        <v>70</v>
      </c>
      <c r="B13" s="5" t="s">
        <v>112</v>
      </c>
      <c r="C13" s="5" t="s">
        <v>113</v>
      </c>
      <c r="D13" s="5" t="s">
        <v>2748</v>
      </c>
      <c r="E13" s="5" t="s">
        <v>2749</v>
      </c>
    </row>
    <row r="14" spans="1:6" x14ac:dyDescent="0.2">
      <c r="A14" s="5" t="s">
        <v>70</v>
      </c>
      <c r="B14" s="5" t="s">
        <v>123</v>
      </c>
      <c r="C14" s="5" t="s">
        <v>124</v>
      </c>
      <c r="D14" s="5" t="s">
        <v>2735</v>
      </c>
      <c r="E14" s="5" t="s">
        <v>2750</v>
      </c>
    </row>
    <row r="15" spans="1:6" x14ac:dyDescent="0.2">
      <c r="A15" s="5" t="s">
        <v>70</v>
      </c>
      <c r="B15" s="5" t="s">
        <v>134</v>
      </c>
      <c r="C15" s="5" t="s">
        <v>135</v>
      </c>
      <c r="D15" s="5" t="s">
        <v>2735</v>
      </c>
      <c r="E15" s="5" t="s">
        <v>2751</v>
      </c>
    </row>
    <row r="16" spans="1:6" x14ac:dyDescent="0.2">
      <c r="A16" s="5" t="s">
        <v>70</v>
      </c>
      <c r="B16" s="5" t="s">
        <v>144</v>
      </c>
      <c r="C16" s="5" t="s">
        <v>145</v>
      </c>
      <c r="D16" s="5" t="s">
        <v>2735</v>
      </c>
      <c r="E16" s="5" t="s">
        <v>2752</v>
      </c>
    </row>
    <row r="17" spans="1:5" x14ac:dyDescent="0.2">
      <c r="A17" s="5" t="s">
        <v>70</v>
      </c>
      <c r="B17" s="5" t="s">
        <v>154</v>
      </c>
      <c r="C17" s="5" t="s">
        <v>155</v>
      </c>
      <c r="D17" s="5" t="s">
        <v>2735</v>
      </c>
      <c r="E17" s="5" t="s">
        <v>2753</v>
      </c>
    </row>
    <row r="18" spans="1:5" x14ac:dyDescent="0.2">
      <c r="A18" s="5" t="s">
        <v>70</v>
      </c>
      <c r="B18" s="5" t="s">
        <v>165</v>
      </c>
      <c r="C18" s="5" t="s">
        <v>166</v>
      </c>
      <c r="D18" s="5" t="s">
        <v>2735</v>
      </c>
      <c r="E18" s="5" t="s">
        <v>2754</v>
      </c>
    </row>
    <row r="19" spans="1:5" x14ac:dyDescent="0.2">
      <c r="A19" s="5" t="s">
        <v>70</v>
      </c>
      <c r="B19" s="5" t="s">
        <v>176</v>
      </c>
      <c r="C19" s="5" t="s">
        <v>177</v>
      </c>
      <c r="D19" s="5" t="s">
        <v>2735</v>
      </c>
      <c r="E19" s="5" t="s">
        <v>2755</v>
      </c>
    </row>
    <row r="20" spans="1:5" x14ac:dyDescent="0.2">
      <c r="A20" s="5" t="s">
        <v>70</v>
      </c>
      <c r="B20" s="5" t="s">
        <v>176</v>
      </c>
      <c r="C20" s="5" t="s">
        <v>177</v>
      </c>
      <c r="D20" s="5" t="s">
        <v>2748</v>
      </c>
      <c r="E20" s="5" t="s">
        <v>2756</v>
      </c>
    </row>
    <row r="21" spans="1:5" ht="15.75" customHeight="1" x14ac:dyDescent="0.2">
      <c r="A21" s="5" t="s">
        <v>70</v>
      </c>
      <c r="B21" s="5" t="s">
        <v>184</v>
      </c>
      <c r="C21" s="5" t="s">
        <v>185</v>
      </c>
      <c r="D21" s="5" t="s">
        <v>2735</v>
      </c>
      <c r="E21" s="5" t="s">
        <v>2757</v>
      </c>
    </row>
    <row r="22" spans="1:5" ht="15.75" customHeight="1" x14ac:dyDescent="0.2">
      <c r="A22" s="5" t="s">
        <v>70</v>
      </c>
      <c r="B22" s="5" t="s">
        <v>193</v>
      </c>
      <c r="C22" s="5" t="s">
        <v>194</v>
      </c>
      <c r="D22" s="5" t="s">
        <v>2735</v>
      </c>
      <c r="E22" s="5" t="s">
        <v>2758</v>
      </c>
    </row>
    <row r="23" spans="1:5" ht="15.75" customHeight="1" x14ac:dyDescent="0.2">
      <c r="A23" s="5" t="s">
        <v>70</v>
      </c>
      <c r="B23" s="5" t="s">
        <v>200</v>
      </c>
      <c r="C23" s="5" t="s">
        <v>201</v>
      </c>
      <c r="D23" s="5" t="s">
        <v>2735</v>
      </c>
      <c r="E23" s="5" t="s">
        <v>2759</v>
      </c>
    </row>
    <row r="24" spans="1:5" ht="15.75" customHeight="1" x14ac:dyDescent="0.2">
      <c r="A24" s="5" t="s">
        <v>70</v>
      </c>
      <c r="B24" s="5" t="s">
        <v>200</v>
      </c>
      <c r="C24" s="5" t="s">
        <v>201</v>
      </c>
      <c r="D24" s="5" t="s">
        <v>2748</v>
      </c>
      <c r="E24" s="5" t="s">
        <v>2760</v>
      </c>
    </row>
    <row r="25" spans="1:5" ht="15.75" customHeight="1" x14ac:dyDescent="0.2">
      <c r="A25" s="5" t="s">
        <v>70</v>
      </c>
      <c r="B25" s="5" t="s">
        <v>211</v>
      </c>
      <c r="C25" s="5" t="s">
        <v>212</v>
      </c>
      <c r="D25" s="5" t="s">
        <v>2735</v>
      </c>
      <c r="E25" s="5" t="s">
        <v>2761</v>
      </c>
    </row>
    <row r="26" spans="1:5" ht="15.75" customHeight="1" x14ac:dyDescent="0.2">
      <c r="A26" s="5" t="s">
        <v>70</v>
      </c>
      <c r="B26" s="5" t="s">
        <v>211</v>
      </c>
      <c r="C26" s="5" t="s">
        <v>212</v>
      </c>
      <c r="D26" s="5" t="s">
        <v>2738</v>
      </c>
      <c r="E26" s="5" t="s">
        <v>2762</v>
      </c>
    </row>
    <row r="27" spans="1:5" ht="15.75" customHeight="1" x14ac:dyDescent="0.2">
      <c r="A27" s="5" t="s">
        <v>70</v>
      </c>
      <c r="B27" s="5" t="s">
        <v>221</v>
      </c>
      <c r="C27" s="5" t="s">
        <v>222</v>
      </c>
      <c r="D27" s="5" t="s">
        <v>2735</v>
      </c>
      <c r="E27" s="5" t="s">
        <v>2763</v>
      </c>
    </row>
    <row r="28" spans="1:5" ht="15.75" customHeight="1" x14ac:dyDescent="0.2">
      <c r="A28" s="5" t="s">
        <v>70</v>
      </c>
      <c r="B28" s="5" t="s">
        <v>229</v>
      </c>
      <c r="C28" s="5" t="s">
        <v>230</v>
      </c>
      <c r="D28" s="5" t="s">
        <v>2735</v>
      </c>
      <c r="E28" s="5" t="s">
        <v>2764</v>
      </c>
    </row>
    <row r="29" spans="1:5" ht="15.75" customHeight="1" x14ac:dyDescent="0.2">
      <c r="A29" s="5" t="s">
        <v>70</v>
      </c>
      <c r="B29" s="5" t="s">
        <v>238</v>
      </c>
      <c r="C29" s="5" t="s">
        <v>239</v>
      </c>
      <c r="D29" s="5" t="s">
        <v>2735</v>
      </c>
      <c r="E29" s="5" t="s">
        <v>2765</v>
      </c>
    </row>
    <row r="30" spans="1:5" ht="15.75" customHeight="1" x14ac:dyDescent="0.2">
      <c r="A30" s="5" t="s">
        <v>70</v>
      </c>
      <c r="B30" s="5" t="s">
        <v>238</v>
      </c>
      <c r="C30" s="5" t="s">
        <v>239</v>
      </c>
      <c r="D30" s="5" t="s">
        <v>2748</v>
      </c>
      <c r="E30" s="5" t="s">
        <v>2766</v>
      </c>
    </row>
    <row r="31" spans="1:5" ht="15.75" customHeight="1" x14ac:dyDescent="0.2">
      <c r="A31" s="5" t="s">
        <v>70</v>
      </c>
      <c r="B31" s="5" t="s">
        <v>247</v>
      </c>
      <c r="C31" s="5" t="s">
        <v>248</v>
      </c>
      <c r="D31" s="5" t="s">
        <v>2735</v>
      </c>
      <c r="E31" s="5" t="s">
        <v>2767</v>
      </c>
    </row>
    <row r="32" spans="1:5" ht="15.75" customHeight="1" x14ac:dyDescent="0.2">
      <c r="A32" s="5" t="s">
        <v>70</v>
      </c>
      <c r="B32" s="5" t="s">
        <v>247</v>
      </c>
      <c r="C32" s="5" t="s">
        <v>248</v>
      </c>
      <c r="D32" s="5" t="s">
        <v>2738</v>
      </c>
      <c r="E32" s="5" t="s">
        <v>2768</v>
      </c>
    </row>
    <row r="33" spans="1:5" ht="15.75" customHeight="1" x14ac:dyDescent="0.2">
      <c r="A33" s="5" t="s">
        <v>70</v>
      </c>
      <c r="B33" s="5" t="s">
        <v>247</v>
      </c>
      <c r="C33" s="5" t="s">
        <v>248</v>
      </c>
      <c r="D33" s="5" t="s">
        <v>2738</v>
      </c>
      <c r="E33" s="5" t="s">
        <v>2769</v>
      </c>
    </row>
    <row r="34" spans="1:5" ht="15.75" customHeight="1" x14ac:dyDescent="0.2">
      <c r="A34" s="5" t="s">
        <v>70</v>
      </c>
      <c r="B34" s="5" t="s">
        <v>247</v>
      </c>
      <c r="C34" s="5" t="s">
        <v>248</v>
      </c>
      <c r="D34" s="5" t="s">
        <v>2738</v>
      </c>
      <c r="E34" s="5" t="s">
        <v>2770</v>
      </c>
    </row>
    <row r="35" spans="1:5" ht="15.75" customHeight="1" x14ac:dyDescent="0.2">
      <c r="A35" s="5" t="s">
        <v>70</v>
      </c>
      <c r="B35" s="5" t="s">
        <v>257</v>
      </c>
      <c r="C35" s="5" t="s">
        <v>258</v>
      </c>
      <c r="D35" s="5" t="s">
        <v>2735</v>
      </c>
      <c r="E35" s="5" t="s">
        <v>2771</v>
      </c>
    </row>
    <row r="36" spans="1:5" ht="15.75" customHeight="1" x14ac:dyDescent="0.2">
      <c r="A36" s="5" t="s">
        <v>70</v>
      </c>
      <c r="B36" s="5" t="s">
        <v>268</v>
      </c>
      <c r="C36" s="5" t="s">
        <v>269</v>
      </c>
      <c r="D36" s="5" t="s">
        <v>2735</v>
      </c>
      <c r="E36" s="5" t="s">
        <v>2772</v>
      </c>
    </row>
    <row r="37" spans="1:5" ht="15.75" customHeight="1" x14ac:dyDescent="0.2">
      <c r="A37" s="5" t="s">
        <v>276</v>
      </c>
      <c r="B37" s="5" t="s">
        <v>277</v>
      </c>
      <c r="C37" s="5" t="s">
        <v>278</v>
      </c>
      <c r="D37" s="5" t="s">
        <v>2735</v>
      </c>
      <c r="E37" s="5" t="s">
        <v>2773</v>
      </c>
    </row>
    <row r="38" spans="1:5" ht="15.75" customHeight="1" x14ac:dyDescent="0.2">
      <c r="A38" s="5" t="s">
        <v>276</v>
      </c>
      <c r="B38" s="5" t="s">
        <v>288</v>
      </c>
      <c r="C38" s="5" t="s">
        <v>289</v>
      </c>
      <c r="D38" s="5" t="s">
        <v>2735</v>
      </c>
      <c r="E38" s="5" t="s">
        <v>2774</v>
      </c>
    </row>
    <row r="39" spans="1:5" ht="15.75" customHeight="1" x14ac:dyDescent="0.2">
      <c r="A39" s="5" t="s">
        <v>276</v>
      </c>
      <c r="B39" s="5" t="s">
        <v>296</v>
      </c>
      <c r="C39" s="5" t="s">
        <v>297</v>
      </c>
      <c r="D39" s="5" t="s">
        <v>2735</v>
      </c>
      <c r="E39" s="5" t="s">
        <v>2775</v>
      </c>
    </row>
    <row r="40" spans="1:5" ht="15.75" customHeight="1" x14ac:dyDescent="0.2">
      <c r="A40" s="5" t="s">
        <v>276</v>
      </c>
      <c r="B40" s="5" t="s">
        <v>305</v>
      </c>
      <c r="C40" s="5" t="s">
        <v>306</v>
      </c>
      <c r="D40" s="5" t="s">
        <v>2735</v>
      </c>
      <c r="E40" s="5" t="s">
        <v>2776</v>
      </c>
    </row>
    <row r="41" spans="1:5" ht="15.75" customHeight="1" x14ac:dyDescent="0.2">
      <c r="A41" s="5" t="s">
        <v>276</v>
      </c>
      <c r="B41" s="5" t="s">
        <v>316</v>
      </c>
      <c r="C41" s="5" t="s">
        <v>317</v>
      </c>
      <c r="D41" s="5" t="s">
        <v>2735</v>
      </c>
      <c r="E41" s="5" t="s">
        <v>2777</v>
      </c>
    </row>
    <row r="42" spans="1:5" ht="15.75" customHeight="1" x14ac:dyDescent="0.2">
      <c r="A42" s="5" t="s">
        <v>276</v>
      </c>
      <c r="B42" s="5" t="s">
        <v>327</v>
      </c>
      <c r="C42" s="5" t="s">
        <v>328</v>
      </c>
      <c r="D42" s="5" t="s">
        <v>2735</v>
      </c>
      <c r="E42" s="5" t="s">
        <v>2778</v>
      </c>
    </row>
    <row r="43" spans="1:5" ht="15.75" customHeight="1" x14ac:dyDescent="0.2">
      <c r="A43" s="5" t="s">
        <v>276</v>
      </c>
      <c r="B43" s="5" t="s">
        <v>327</v>
      </c>
      <c r="C43" s="5" t="s">
        <v>328</v>
      </c>
      <c r="D43" s="5" t="s">
        <v>2779</v>
      </c>
      <c r="E43" s="5" t="s">
        <v>2780</v>
      </c>
    </row>
    <row r="44" spans="1:5" ht="15.75" customHeight="1" x14ac:dyDescent="0.2">
      <c r="A44" s="5" t="s">
        <v>276</v>
      </c>
      <c r="B44" s="5" t="s">
        <v>337</v>
      </c>
      <c r="C44" s="5" t="s">
        <v>338</v>
      </c>
      <c r="D44" s="5" t="s">
        <v>2735</v>
      </c>
      <c r="E44" s="5" t="s">
        <v>2781</v>
      </c>
    </row>
    <row r="45" spans="1:5" ht="15.75" customHeight="1" x14ac:dyDescent="0.2">
      <c r="A45" s="5" t="s">
        <v>276</v>
      </c>
      <c r="B45" s="5" t="s">
        <v>346</v>
      </c>
      <c r="C45" s="5" t="s">
        <v>347</v>
      </c>
      <c r="D45" s="5" t="s">
        <v>2735</v>
      </c>
      <c r="E45" s="5" t="s">
        <v>2782</v>
      </c>
    </row>
    <row r="46" spans="1:5" ht="15.75" customHeight="1" x14ac:dyDescent="0.2">
      <c r="A46" s="5" t="s">
        <v>276</v>
      </c>
      <c r="B46" s="5" t="s">
        <v>355</v>
      </c>
      <c r="C46" s="5" t="s">
        <v>356</v>
      </c>
      <c r="D46" s="5" t="s">
        <v>2735</v>
      </c>
      <c r="E46" s="5" t="s">
        <v>2783</v>
      </c>
    </row>
    <row r="47" spans="1:5" ht="15.75" customHeight="1" x14ac:dyDescent="0.2">
      <c r="A47" s="5" t="s">
        <v>276</v>
      </c>
      <c r="B47" s="5" t="s">
        <v>363</v>
      </c>
      <c r="C47" s="5" t="s">
        <v>364</v>
      </c>
      <c r="D47" s="5" t="s">
        <v>2735</v>
      </c>
      <c r="E47" s="5" t="s">
        <v>2784</v>
      </c>
    </row>
    <row r="48" spans="1:5" ht="15.75" customHeight="1" x14ac:dyDescent="0.2">
      <c r="A48" s="5" t="s">
        <v>276</v>
      </c>
      <c r="B48" s="5" t="s">
        <v>372</v>
      </c>
      <c r="C48" s="5" t="s">
        <v>373</v>
      </c>
      <c r="D48" s="5" t="s">
        <v>2735</v>
      </c>
      <c r="E48" s="5" t="s">
        <v>2785</v>
      </c>
    </row>
    <row r="49" spans="1:5" ht="15.75" customHeight="1" x14ac:dyDescent="0.2">
      <c r="A49" s="5" t="s">
        <v>380</v>
      </c>
      <c r="B49" s="5" t="s">
        <v>381</v>
      </c>
      <c r="C49" s="5" t="s">
        <v>382</v>
      </c>
      <c r="D49" s="5" t="s">
        <v>2735</v>
      </c>
      <c r="E49" s="5" t="s">
        <v>2786</v>
      </c>
    </row>
    <row r="50" spans="1:5" ht="15.75" customHeight="1" x14ac:dyDescent="0.2">
      <c r="A50" s="5" t="s">
        <v>380</v>
      </c>
      <c r="B50" s="5" t="s">
        <v>381</v>
      </c>
      <c r="C50" s="5" t="s">
        <v>382</v>
      </c>
      <c r="D50" s="5" t="s">
        <v>2748</v>
      </c>
      <c r="E50" s="5" t="s">
        <v>2787</v>
      </c>
    </row>
    <row r="51" spans="1:5" ht="15.75" customHeight="1" x14ac:dyDescent="0.2">
      <c r="A51" s="5" t="s">
        <v>380</v>
      </c>
      <c r="B51" s="5" t="s">
        <v>390</v>
      </c>
      <c r="C51" s="5" t="s">
        <v>391</v>
      </c>
      <c r="D51" s="5" t="s">
        <v>2735</v>
      </c>
      <c r="E51" s="5" t="s">
        <v>2788</v>
      </c>
    </row>
    <row r="52" spans="1:5" ht="15.75" customHeight="1" x14ac:dyDescent="0.2">
      <c r="A52" s="5" t="s">
        <v>380</v>
      </c>
      <c r="B52" s="5" t="s">
        <v>399</v>
      </c>
      <c r="C52" s="5" t="s">
        <v>400</v>
      </c>
      <c r="D52" s="5" t="s">
        <v>2735</v>
      </c>
      <c r="E52" s="5" t="s">
        <v>2789</v>
      </c>
    </row>
    <row r="53" spans="1:5" ht="15.75" customHeight="1" x14ac:dyDescent="0.2">
      <c r="A53" s="5" t="s">
        <v>380</v>
      </c>
      <c r="B53" s="5" t="s">
        <v>407</v>
      </c>
      <c r="C53" s="5" t="s">
        <v>408</v>
      </c>
      <c r="D53" s="5" t="s">
        <v>2735</v>
      </c>
      <c r="E53" s="5" t="s">
        <v>2790</v>
      </c>
    </row>
    <row r="54" spans="1:5" ht="15.75" customHeight="1" x14ac:dyDescent="0.2">
      <c r="A54" s="5" t="s">
        <v>380</v>
      </c>
      <c r="B54" s="5" t="s">
        <v>417</v>
      </c>
      <c r="C54" s="5" t="s">
        <v>418</v>
      </c>
      <c r="D54" s="5" t="s">
        <v>2735</v>
      </c>
      <c r="E54" s="5" t="s">
        <v>2791</v>
      </c>
    </row>
    <row r="55" spans="1:5" ht="15.75" customHeight="1" x14ac:dyDescent="0.2">
      <c r="A55" s="5" t="s">
        <v>426</v>
      </c>
      <c r="B55" s="5" t="s">
        <v>427</v>
      </c>
      <c r="C55" s="5" t="s">
        <v>428</v>
      </c>
      <c r="D55" s="5" t="s">
        <v>2735</v>
      </c>
      <c r="E55" s="5" t="s">
        <v>2792</v>
      </c>
    </row>
    <row r="56" spans="1:5" ht="15.75" customHeight="1" x14ac:dyDescent="0.2">
      <c r="A56" s="5" t="s">
        <v>426</v>
      </c>
      <c r="B56" s="5" t="s">
        <v>435</v>
      </c>
      <c r="C56" s="5" t="s">
        <v>436</v>
      </c>
      <c r="D56" s="5" t="s">
        <v>2735</v>
      </c>
      <c r="E56" s="5" t="s">
        <v>2793</v>
      </c>
    </row>
    <row r="57" spans="1:5" ht="15.75" customHeight="1" x14ac:dyDescent="0.2">
      <c r="A57" s="5" t="s">
        <v>426</v>
      </c>
      <c r="B57" s="5" t="s">
        <v>444</v>
      </c>
      <c r="C57" s="5" t="s">
        <v>445</v>
      </c>
      <c r="D57" s="5" t="s">
        <v>2735</v>
      </c>
      <c r="E57" s="5" t="s">
        <v>2794</v>
      </c>
    </row>
    <row r="58" spans="1:5" ht="15.75" customHeight="1" x14ac:dyDescent="0.2">
      <c r="A58" s="5" t="s">
        <v>426</v>
      </c>
      <c r="B58" s="5" t="s">
        <v>452</v>
      </c>
      <c r="C58" s="5" t="s">
        <v>453</v>
      </c>
      <c r="D58" s="5" t="s">
        <v>2735</v>
      </c>
      <c r="E58" s="5" t="s">
        <v>2795</v>
      </c>
    </row>
    <row r="59" spans="1:5" ht="15.75" customHeight="1" x14ac:dyDescent="0.2">
      <c r="A59" s="5" t="s">
        <v>426</v>
      </c>
      <c r="B59" s="5" t="s">
        <v>460</v>
      </c>
      <c r="C59" s="5" t="s">
        <v>461</v>
      </c>
      <c r="D59" s="5" t="s">
        <v>2735</v>
      </c>
      <c r="E59" s="5" t="s">
        <v>2796</v>
      </c>
    </row>
    <row r="60" spans="1:5" ht="15.75" customHeight="1" x14ac:dyDescent="0.2">
      <c r="A60" s="5" t="s">
        <v>426</v>
      </c>
      <c r="B60" s="5" t="s">
        <v>468</v>
      </c>
      <c r="C60" s="5" t="s">
        <v>469</v>
      </c>
      <c r="D60" s="5" t="s">
        <v>2735</v>
      </c>
      <c r="E60" s="5" t="s">
        <v>2797</v>
      </c>
    </row>
    <row r="61" spans="1:5" ht="15.75" customHeight="1" x14ac:dyDescent="0.2">
      <c r="A61" s="5" t="s">
        <v>426</v>
      </c>
      <c r="B61" s="5" t="s">
        <v>476</v>
      </c>
      <c r="C61" s="5" t="s">
        <v>477</v>
      </c>
      <c r="D61" s="5" t="s">
        <v>2735</v>
      </c>
      <c r="E61" s="5" t="s">
        <v>2798</v>
      </c>
    </row>
    <row r="62" spans="1:5" ht="15.75" customHeight="1" x14ac:dyDescent="0.2">
      <c r="A62" s="5" t="s">
        <v>485</v>
      </c>
      <c r="B62" s="5" t="s">
        <v>486</v>
      </c>
      <c r="C62" s="5" t="s">
        <v>487</v>
      </c>
      <c r="D62" s="5" t="s">
        <v>2735</v>
      </c>
      <c r="E62" s="5" t="s">
        <v>2799</v>
      </c>
    </row>
    <row r="63" spans="1:5" ht="15.75" customHeight="1" x14ac:dyDescent="0.2">
      <c r="A63" s="5" t="s">
        <v>485</v>
      </c>
      <c r="B63" s="5" t="s">
        <v>494</v>
      </c>
      <c r="C63" s="5" t="s">
        <v>495</v>
      </c>
      <c r="D63" s="5" t="s">
        <v>2735</v>
      </c>
      <c r="E63" s="5" t="s">
        <v>2800</v>
      </c>
    </row>
    <row r="64" spans="1:5" ht="15.75" customHeight="1" x14ac:dyDescent="0.2">
      <c r="A64" s="5" t="s">
        <v>485</v>
      </c>
      <c r="B64" s="5" t="s">
        <v>494</v>
      </c>
      <c r="C64" s="5" t="s">
        <v>495</v>
      </c>
      <c r="D64" s="5" t="s">
        <v>2748</v>
      </c>
      <c r="E64" s="5" t="s">
        <v>2801</v>
      </c>
    </row>
    <row r="65" spans="1:5" ht="15.75" customHeight="1" x14ac:dyDescent="0.2">
      <c r="A65" s="5" t="s">
        <v>485</v>
      </c>
      <c r="B65" s="5" t="s">
        <v>503</v>
      </c>
      <c r="C65" s="5" t="s">
        <v>504</v>
      </c>
      <c r="D65" s="5" t="s">
        <v>2735</v>
      </c>
      <c r="E65" s="5" t="s">
        <v>2802</v>
      </c>
    </row>
    <row r="66" spans="1:5" ht="15.75" customHeight="1" x14ac:dyDescent="0.2">
      <c r="A66" s="5" t="s">
        <v>485</v>
      </c>
      <c r="B66" s="5" t="s">
        <v>511</v>
      </c>
      <c r="C66" s="5" t="s">
        <v>512</v>
      </c>
      <c r="D66" s="5" t="s">
        <v>2735</v>
      </c>
      <c r="E66" s="5" t="s">
        <v>2803</v>
      </c>
    </row>
    <row r="67" spans="1:5" ht="15.75" customHeight="1" x14ac:dyDescent="0.2">
      <c r="A67" s="5" t="s">
        <v>485</v>
      </c>
      <c r="B67" s="5" t="s">
        <v>519</v>
      </c>
      <c r="C67" s="5" t="s">
        <v>520</v>
      </c>
      <c r="D67" s="5" t="s">
        <v>2735</v>
      </c>
      <c r="E67" s="5" t="s">
        <v>2804</v>
      </c>
    </row>
    <row r="68" spans="1:5" ht="15.75" customHeight="1" x14ac:dyDescent="0.2">
      <c r="A68" s="5" t="s">
        <v>485</v>
      </c>
      <c r="B68" s="5" t="s">
        <v>519</v>
      </c>
      <c r="C68" s="5" t="s">
        <v>520</v>
      </c>
      <c r="D68" s="5" t="s">
        <v>2805</v>
      </c>
      <c r="E68" s="5" t="s">
        <v>2806</v>
      </c>
    </row>
    <row r="69" spans="1:5" ht="15.75" customHeight="1" x14ac:dyDescent="0.2">
      <c r="A69" s="5" t="s">
        <v>485</v>
      </c>
      <c r="B69" s="5" t="s">
        <v>527</v>
      </c>
      <c r="C69" s="5" t="s">
        <v>528</v>
      </c>
      <c r="D69" s="5" t="s">
        <v>2735</v>
      </c>
      <c r="E69" s="5" t="s">
        <v>2807</v>
      </c>
    </row>
    <row r="70" spans="1:5" ht="15.75" customHeight="1" x14ac:dyDescent="0.2">
      <c r="A70" s="5" t="s">
        <v>485</v>
      </c>
      <c r="B70" s="5" t="s">
        <v>527</v>
      </c>
      <c r="C70" s="5" t="s">
        <v>528</v>
      </c>
      <c r="D70" s="5" t="s">
        <v>2748</v>
      </c>
      <c r="E70" s="5" t="s">
        <v>2808</v>
      </c>
    </row>
    <row r="71" spans="1:5" ht="15.75" customHeight="1" x14ac:dyDescent="0.2">
      <c r="A71" s="5" t="s">
        <v>485</v>
      </c>
      <c r="B71" s="5" t="s">
        <v>537</v>
      </c>
      <c r="C71" s="5" t="s">
        <v>538</v>
      </c>
      <c r="D71" s="5" t="s">
        <v>2735</v>
      </c>
      <c r="E71" s="5" t="s">
        <v>2809</v>
      </c>
    </row>
    <row r="72" spans="1:5" ht="15.75" customHeight="1" x14ac:dyDescent="0.2">
      <c r="A72" s="5" t="s">
        <v>485</v>
      </c>
      <c r="B72" s="5" t="s">
        <v>546</v>
      </c>
      <c r="C72" s="5" t="s">
        <v>547</v>
      </c>
      <c r="D72" s="5" t="s">
        <v>2735</v>
      </c>
      <c r="E72" s="5" t="s">
        <v>2810</v>
      </c>
    </row>
    <row r="73" spans="1:5" ht="15.75" customHeight="1" x14ac:dyDescent="0.2">
      <c r="A73" t="s">
        <v>70</v>
      </c>
      <c r="B73" t="s">
        <v>555</v>
      </c>
      <c r="C73" t="s">
        <v>556</v>
      </c>
      <c r="D73" t="s">
        <v>2735</v>
      </c>
      <c r="E73" t="s">
        <v>2811</v>
      </c>
    </row>
    <row r="74" spans="1:5" ht="15.75" customHeight="1" x14ac:dyDescent="0.2">
      <c r="A74" t="s">
        <v>70</v>
      </c>
      <c r="B74" t="s">
        <v>555</v>
      </c>
      <c r="C74" t="s">
        <v>556</v>
      </c>
      <c r="D74" t="s">
        <v>2748</v>
      </c>
      <c r="E74" t="s">
        <v>2812</v>
      </c>
    </row>
    <row r="75" spans="1:5" ht="15.75" customHeight="1" x14ac:dyDescent="0.2">
      <c r="A75" t="s">
        <v>276</v>
      </c>
      <c r="B75" t="s">
        <v>562</v>
      </c>
      <c r="C75" t="s">
        <v>563</v>
      </c>
    </row>
    <row r="76" spans="1:5" ht="15.75" customHeight="1" x14ac:dyDescent="0.2">
      <c r="A76" t="s">
        <v>276</v>
      </c>
      <c r="B76" t="s">
        <v>568</v>
      </c>
      <c r="C76" t="s">
        <v>569</v>
      </c>
    </row>
    <row r="77" spans="1:5" ht="15.75" customHeight="1" x14ac:dyDescent="0.2">
      <c r="A77" t="s">
        <v>276</v>
      </c>
      <c r="B77" t="s">
        <v>574</v>
      </c>
      <c r="C77" t="s">
        <v>575</v>
      </c>
    </row>
    <row r="78" spans="1:5" ht="15.75" customHeight="1" x14ac:dyDescent="0.2"/>
    <row r="79" spans="1:5" ht="15.75" customHeight="1" x14ac:dyDescent="0.2"/>
    <row r="80" spans="1:5"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23</vt:i4>
      </vt:variant>
    </vt:vector>
  </HeadingPairs>
  <TitlesOfParts>
    <vt:vector size="23" baseType="lpstr">
      <vt:lpstr>01 DATOS PERSONALES</vt:lpstr>
      <vt:lpstr>Pivot Table 2</vt:lpstr>
      <vt:lpstr>RESUMEN_DP</vt:lpstr>
      <vt:lpstr>02 EXPERIENCIA LABORAL</vt:lpstr>
      <vt:lpstr>pivot_experiencia</vt:lpstr>
      <vt:lpstr>03 FORM ACADEM. - EDUC. BASICA</vt:lpstr>
      <vt:lpstr>03 FORM. ACADEM. - EDUC TECNICA</vt:lpstr>
      <vt:lpstr>03 FORM. ACADEM. - EDUC. NO UNI</vt:lpstr>
      <vt:lpstr>03 FORM. ACADEM. - EDUC. UNIV</vt:lpstr>
      <vt:lpstr>03 FORM. ACADEM. - POSGRADO</vt:lpstr>
      <vt:lpstr>03 FORM. ACADEM. - OTRO POSGRAD</vt:lpstr>
      <vt:lpstr>04 CARGO PARTIDARIO</vt:lpstr>
      <vt:lpstr>04 CARGO ELECCION</vt:lpstr>
      <vt:lpstr>05 SENTENCIA PENAL</vt:lpstr>
      <vt:lpstr>06 SENTENCIA NO PENAL</vt:lpstr>
      <vt:lpstr>07 RENUNCIA PARTIDARIA</vt:lpstr>
      <vt:lpstr>08 INGRESOS</vt:lpstr>
      <vt:lpstr>Sheet4</vt:lpstr>
      <vt:lpstr>08 BIEN INMUEBLE</vt:lpstr>
      <vt:lpstr>08 BIEN MUEBLE</vt:lpstr>
      <vt:lpstr>08 TITULARIDAD</vt:lpstr>
      <vt:lpstr>09 INFORMACION ADICIONAL</vt:lpstr>
      <vt:lpstr>10 ANEXOS HV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Scargglioni Carpio Armando Jesus</cp:lastModifiedBy>
  <dcterms:created xsi:type="dcterms:W3CDTF">2026-06-05T18:37:57Z</dcterms:created>
  <dcterms:modified xsi:type="dcterms:W3CDTF">2026-06-16T01:42:54Z</dcterms:modified>
</cp:coreProperties>
</file>