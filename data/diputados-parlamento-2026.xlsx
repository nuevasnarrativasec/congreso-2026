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 DATOS PERSONALES" sheetId="1" r:id="rId4"/>
    <sheet state="visible" name="RESUMEN_DP" sheetId="2" r:id="rId5"/>
    <sheet state="visible" name="PIVOT_DP_ORG" sheetId="3" r:id="rId6"/>
    <sheet state="visible" name="02 EXPERIENCIA LABORAL" sheetId="4" r:id="rId7"/>
    <sheet state="visible" name="PIVOT_EXPERIENCIA" sheetId="5" r:id="rId8"/>
    <sheet state="visible" name="03 FORM ACADEM. - EDUC. BASICA" sheetId="6" r:id="rId9"/>
    <sheet state="visible" name="03 FORM. ACADEM. - EDUC TECNICA" sheetId="7" r:id="rId10"/>
    <sheet state="visible" name="03 FORM. ACADEM. - EDUC. NO UNI" sheetId="8" r:id="rId11"/>
    <sheet state="visible" name="03 FORM. ACADEM. - EDUC. UNIV" sheetId="9" r:id="rId12"/>
    <sheet state="visible" name="03 FORM. ACADEM. - POSGRADO" sheetId="10" r:id="rId13"/>
    <sheet state="visible" name="03 FORM. ACADEM. - OTRO POSGRAD" sheetId="11" r:id="rId14"/>
    <sheet state="visible" name="04 CARGO PARTIDARIO" sheetId="12" r:id="rId15"/>
    <sheet state="visible" name="04 CARGO ELECCION" sheetId="13" r:id="rId16"/>
    <sheet state="visible" name="05 SENTENCIA PENAL" sheetId="14" r:id="rId17"/>
    <sheet state="visible" name="06 SENTENCIA NO PENAL" sheetId="15" r:id="rId18"/>
    <sheet state="visible" name="07 RENUNCIA PARTIDARIA" sheetId="16" r:id="rId19"/>
    <sheet state="visible" name="08 INGRESOS" sheetId="17" r:id="rId20"/>
    <sheet state="visible" name="Pivot Table 5" sheetId="18" r:id="rId21"/>
    <sheet state="visible" name="Sheet5" sheetId="19" r:id="rId22"/>
    <sheet state="visible" name="08 BIEN INMUEBLE" sheetId="20" r:id="rId23"/>
    <sheet state="visible" name="08 BIEN MUEBLE" sheetId="21" r:id="rId24"/>
    <sheet state="visible" name="08 TITULARIDAD" sheetId="22" r:id="rId25"/>
    <sheet state="visible" name="09 INFORMACION ADICIONAL" sheetId="23" r:id="rId26"/>
    <sheet state="visible" name="10 ANEXOS HV" sheetId="24" r:id="rId27"/>
  </sheets>
  <definedNames>
    <definedName hidden="1" localSheetId="6" name="_xlnm._FilterDatabase">'03 FORM. ACADEM. - EDUC TECNICA'!$A$1:$Z$1000</definedName>
    <definedName hidden="1" localSheetId="8" name="_xlnm._FilterDatabase">'03 FORM. ACADEM. - EDUC. UNIV'!$A$1:$Z$1000</definedName>
    <definedName hidden="1" localSheetId="9" name="_xlnm._FilterDatabase">'03 FORM. ACADEM. - POSGRADO'!$A$1:$Z$1000</definedName>
    <definedName hidden="1" localSheetId="13" name="_xlnm._FilterDatabase">'05 SENTENCIA PENAL'!$A$1:$Z$1000</definedName>
    <definedName hidden="1" localSheetId="14" name="_xlnm._FilterDatabase">'06 SENTENCIA NO PENAL'!$A$1:$Z$1000</definedName>
    <definedName hidden="1" localSheetId="15" name="_xlnm._FilterDatabase">'07 RENUNCIA PARTIDARIA'!$A$1:$Z$1000</definedName>
    <definedName hidden="1" localSheetId="16" name="_xlnm._FilterDatabase">'08 INGRESOS'!$A$1:$Z$1000</definedName>
  </definedNames>
  <calcPr/>
  <pivotCaches>
    <pivotCache cacheId="0" r:id="rId28"/>
    <pivotCache cacheId="1" r:id="rId29"/>
  </pivotCaches>
  <extLst>
    <ext uri="GoogleSheetsCustomDataVersion2">
      <go:sheetsCustomData xmlns:go="http://customooxmlschemas.google.com/" r:id="rId30" roundtripDataChecksum="G9rfdWc4xEJGavWw62woCLB85V8nA4ATLu7FX2lxjVc="/>
    </ext>
  </extLst>
</workbook>
</file>

<file path=xl/sharedStrings.xml><?xml version="1.0" encoding="utf-8"?>
<sst xmlns="http://schemas.openxmlformats.org/spreadsheetml/2006/main" count="21112" uniqueCount="3919">
  <si>
    <t>ORGANIZACION_POLITICA</t>
  </si>
  <si>
    <t>DNI_CANDIDATO</t>
  </si>
  <si>
    <t>CANDIDATO</t>
  </si>
  <si>
    <t>DOCUMENTO_IDENTIDAD</t>
  </si>
  <si>
    <t>APELLIDO_PATERNO</t>
  </si>
  <si>
    <t>APELLIDO_MATERNO</t>
  </si>
  <si>
    <t>NOMBRES</t>
  </si>
  <si>
    <t>SEXO</t>
  </si>
  <si>
    <t>FECHA_NACIMIENTO</t>
  </si>
  <si>
    <t>PAIS_NACIMIENTO</t>
  </si>
  <si>
    <t>DEPARTAMENTO_NACIMIENTO</t>
  </si>
  <si>
    <t>PROVINCIA_NACIMIENTO</t>
  </si>
  <si>
    <t>DISTRITO_NACIMIENTO</t>
  </si>
  <si>
    <t>PRIMER_CARGO_ELECCION</t>
  </si>
  <si>
    <t>SEGUNDO_CARGO_ELECION</t>
  </si>
  <si>
    <t>DISTRITO_ELEC</t>
  </si>
  <si>
    <t>INFORMACION_COMPLEMENTARIA</t>
  </si>
  <si>
    <t>URL_FOTO</t>
  </si>
  <si>
    <t>TXRUTAVIRTUAL</t>
  </si>
  <si>
    <t>TXNOMBREDOCUMENTO</t>
  </si>
  <si>
    <t>EDAD</t>
  </si>
  <si>
    <t>RANGO_EDAD</t>
  </si>
  <si>
    <t>PAÍS_LIMPIO</t>
  </si>
  <si>
    <t>SEXO_LIMPIO</t>
  </si>
  <si>
    <t>DEP_NAC_LIMPIO</t>
  </si>
  <si>
    <t>DISTRITO_ELEC_LIMPIO</t>
  </si>
  <si>
    <t>AHORA NACION - AN</t>
  </si>
  <si>
    <t>29569533</t>
  </si>
  <si>
    <t>ARMINTA VALENCIA, MARLENY BIBIANA</t>
  </si>
  <si>
    <t>ARMINTA</t>
  </si>
  <si>
    <t>VALENCIA</t>
  </si>
  <si>
    <t>MARLENY BIBIANA</t>
  </si>
  <si>
    <t>FEMENINO</t>
  </si>
  <si>
    <t>17/12/1967</t>
  </si>
  <si>
    <t>PERÚ</t>
  </si>
  <si>
    <t>AREQUIPA</t>
  </si>
  <si>
    <t>DIPUTADO</t>
  </si>
  <si>
    <t>https://mpesije.jne.gob.pe/apidocs/1d29caa5-9573-43f8-b661-c8bcdcb459d0.jpeg</t>
  </si>
  <si>
    <t>https://mpesije.jne.gob.pe/apidocs/257db15e-d676-4f48-a881-33b94bc75df8.pdf</t>
  </si>
  <si>
    <t>41618961</t>
  </si>
  <si>
    <t>BUITRON MARTINEZ, FRESHMAN</t>
  </si>
  <si>
    <t>BUITRON</t>
  </si>
  <si>
    <t>MARTINEZ</t>
  </si>
  <si>
    <t>FRESHMAN</t>
  </si>
  <si>
    <t>MASCULINO</t>
  </si>
  <si>
    <t>29/09/1982</t>
  </si>
  <si>
    <t>AYACUCHO</t>
  </si>
  <si>
    <t>VILCAS HUAMAN</t>
  </si>
  <si>
    <t>https://mpesije.jne.gob.pe/apidocs/54087930-f4c1-4c30-a5ff-c168e7cec980.jpg</t>
  </si>
  <si>
    <t>https://mpesije.jne.gob.pe/apidocs/a833abe4-70a4-4744-8ca4-794c861b5f05.pdf</t>
  </si>
  <si>
    <t>43592504</t>
  </si>
  <si>
    <t>COLCHADO HUAMANI, HARVEY JULIO</t>
  </si>
  <si>
    <t>COLCHADO</t>
  </si>
  <si>
    <t>HUAMANI</t>
  </si>
  <si>
    <t>HARVEY JULIO</t>
  </si>
  <si>
    <t>11/04/1974</t>
  </si>
  <si>
    <t>LIMA</t>
  </si>
  <si>
    <t>LIMA METROPOLITANA</t>
  </si>
  <si>
    <t>https://mpesije.jne.gob.pe/apidocs/aaf42d15-51c4-42da-970a-27fc9722d258.jpg</t>
  </si>
  <si>
    <t>https://mpesije.jne.gob.pe/apidocs/c385533c-6800-49cc-a5dd-bc890f9e6f0e.pdf</t>
  </si>
  <si>
    <t>43572794</t>
  </si>
  <si>
    <t>HOLGUIN LOAIZA, CESAR AUGUSTO</t>
  </si>
  <si>
    <t>HOLGUIN</t>
  </si>
  <si>
    <t>LOAIZA</t>
  </si>
  <si>
    <t>CESAR AUGUSTO</t>
  </si>
  <si>
    <t>27/09/1984</t>
  </si>
  <si>
    <t>CUSCO</t>
  </si>
  <si>
    <t>PARURO</t>
  </si>
  <si>
    <t>CCAPI</t>
  </si>
  <si>
    <t>https://mpesije.jne.gob.pe/apidocs/20080e01-d77e-4a41-8a34-5e3a55ac4b10.jpg</t>
  </si>
  <si>
    <t>https://mpesije.jne.gob.pe/apidocs/27f3afef-9c95-4937-93fc-f3b66e2fbe22.pdf</t>
  </si>
  <si>
    <t>45218393</t>
  </si>
  <si>
    <t>HUILCA FLORES, INDIRA ISABEL</t>
  </si>
  <si>
    <t>HUILCA</t>
  </si>
  <si>
    <t>FLORES</t>
  </si>
  <si>
    <t>INDIRA ISABEL</t>
  </si>
  <si>
    <t>11/08/1988</t>
  </si>
  <si>
    <t>LA VICTORIA</t>
  </si>
  <si>
    <t>https://mpesije.jne.gob.pe/apidocs/00a34212-f067-4014-be90-c9a48610b7d1.jpg</t>
  </si>
  <si>
    <t>https://mpesije.jne.gob.pe/apidocs/df68e47e-04af-4dfe-b08d-ce5fa2659ae8.pdf</t>
  </si>
  <si>
    <t>70665764</t>
  </si>
  <si>
    <t>MANRIQUE OLIVERA, BERNARDINO JAIR</t>
  </si>
  <si>
    <t>MANRIQUE</t>
  </si>
  <si>
    <t>OLIVERA</t>
  </si>
  <si>
    <t>BERNARDINO JAIR</t>
  </si>
  <si>
    <t>08/04/1997</t>
  </si>
  <si>
    <t>ANCASH</t>
  </si>
  <si>
    <t>SANTA</t>
  </si>
  <si>
    <t>CHIMBOTE</t>
  </si>
  <si>
    <t>https://mpesije.jne.gob.pe/apidocs/7fadb198-1995-459d-b2bb-8111575467a4.jpg</t>
  </si>
  <si>
    <t>https://mpesije.jne.gob.pe/apidocs/503df6ae-606a-48e9-af8b-ec5e23e520eb.pdf</t>
  </si>
  <si>
    <t>41840094</t>
  </si>
  <si>
    <t>MARCELO SALAZAR, JOSE MIGUEL</t>
  </si>
  <si>
    <t>MARCELO</t>
  </si>
  <si>
    <t>SALAZAR</t>
  </si>
  <si>
    <t>JOSE MIGUEL</t>
  </si>
  <si>
    <t>02/02/1982</t>
  </si>
  <si>
    <t>SAN JUAN DE LURIGANCHO</t>
  </si>
  <si>
    <t>https://mpesije.jne.gob.pe/apidocs/51e57b53-4a9b-411f-b2ba-0b25bfb8aa68.jpg</t>
  </si>
  <si>
    <t>https://mpesije.jne.gob.pe/apidocs/b40f8d35-dab7-485d-a6af-2434b715bebe.pdf</t>
  </si>
  <si>
    <t>42839004</t>
  </si>
  <si>
    <t>MUEDAS BALBIESE, CESAR AUGUSTO</t>
  </si>
  <si>
    <t>MUEDAS</t>
  </si>
  <si>
    <t>BALBIESE</t>
  </si>
  <si>
    <t>09/08/1976</t>
  </si>
  <si>
    <t>JUNIN</t>
  </si>
  <si>
    <t>CHUPACA</t>
  </si>
  <si>
    <t>CHONGOS BAJO</t>
  </si>
  <si>
    <t>https://mpesije.jne.gob.pe/apidocs/c0fc0177-68d3-47cf-a9f4-7a0b0edf6c9b.jpg</t>
  </si>
  <si>
    <t>https://mpesije.jne.gob.pe/apidocs/d9c37dcd-51fe-4c25-8a82-77241e029029.pdf</t>
  </si>
  <si>
    <t>46307918</t>
  </si>
  <si>
    <t>SONCO VILLANUEVA, HELARD BLADIMIR</t>
  </si>
  <si>
    <t>SONCO</t>
  </si>
  <si>
    <t>VILLANUEVA</t>
  </si>
  <si>
    <t>HELARD BLADIMIR</t>
  </si>
  <si>
    <t>30/08/1989</t>
  </si>
  <si>
    <t>PUNO</t>
  </si>
  <si>
    <t>SANDIA</t>
  </si>
  <si>
    <t>LIMBANI</t>
  </si>
  <si>
    <t>https://mpesije.jne.gob.pe/apidocs/51e0f0d8-3b5a-4ca2-b969-bc892642c00e.jpg</t>
  </si>
  <si>
    <t>https://mpesije.jne.gob.pe/apidocs/40974f5b-37d2-427d-b075-de3512eabb23.pdf</t>
  </si>
  <si>
    <t>FUERZA POPULAR</t>
  </si>
  <si>
    <t>09391698</t>
  </si>
  <si>
    <t>ABENSUR PINASCO, JAIME AMERICO</t>
  </si>
  <si>
    <t>ABENSUR</t>
  </si>
  <si>
    <t>PINASCO</t>
  </si>
  <si>
    <t>JAIME AMERICO</t>
  </si>
  <si>
    <t>13/04/1971</t>
  </si>
  <si>
    <t>UCAYALI</t>
  </si>
  <si>
    <t>CORONEL PORTILLO</t>
  </si>
  <si>
    <t>CALLERIA</t>
  </si>
  <si>
    <t>https://mpesije.jne.gob.pe/apidocs/51fc230d-44ff-4a36-81fd-cdc866d39ffb.jpg</t>
  </si>
  <si>
    <t>https://mpesije.jne.gob.pe/apidocs/0ffac448-7043-418f-947f-bb410ac077ca.pdf</t>
  </si>
  <si>
    <t>45382589</t>
  </si>
  <si>
    <t>ALEGRIA GARCIA, LUIS ARTURO</t>
  </si>
  <si>
    <t>ALEGRIA</t>
  </si>
  <si>
    <t>GARCIA</t>
  </si>
  <si>
    <t>LUIS ARTURO</t>
  </si>
  <si>
    <t>03/08/1988</t>
  </si>
  <si>
    <t>SAN MARTIN</t>
  </si>
  <si>
    <t>https://mpesije.jne.gob.pe/apidocs/0210df51-6f47-4b87-816a-bd7246ac72b9.jpg</t>
  </si>
  <si>
    <t>https://mpesije.jne.gob.pe/apidocs/450b6742-ef38-45d4-ab3e-56e72e5e2525.pdf</t>
  </si>
  <si>
    <t>15984771</t>
  </si>
  <si>
    <t>ANDRADE SALGUERO DE ALVAREZ, GLADYS GRISELDA</t>
  </si>
  <si>
    <t>ANDRADE</t>
  </si>
  <si>
    <t>SALGUERO DE ALVAREZ</t>
  </si>
  <si>
    <t>GLADYS GRISELDA</t>
  </si>
  <si>
    <t>14/06/1963</t>
  </si>
  <si>
    <t>HUARAL</t>
  </si>
  <si>
    <t>CHANCAY</t>
  </si>
  <si>
    <t>LIMA PROVINCIAS</t>
  </si>
  <si>
    <t>https://mpesije.jne.gob.pe/apidocs/2d022f8e-70ca-4f69-bb66-18caf80c35d1.jpg</t>
  </si>
  <si>
    <t>https://mpesije.jne.gob.pe/apidocs/be822fbb-498b-4975-8182-7486298e7a22.pdf</t>
  </si>
  <si>
    <t>76030152</t>
  </si>
  <si>
    <t>BARBARAN REYES, ROSANGELLA ANDREA</t>
  </si>
  <si>
    <t>BARBARAN</t>
  </si>
  <si>
    <t>REYES</t>
  </si>
  <si>
    <t>ROSANGELLA ANDREA</t>
  </si>
  <si>
    <t>24/08/1994</t>
  </si>
  <si>
    <t>https://mpesije.jne.gob.pe/apidocs/fe41e940-1222-4497-b86f-66bedd7a031d.jpg</t>
  </si>
  <si>
    <t>https://mpesije.jne.gob.pe/apidocs/0b8d3293-4c04-49d0-9f66-36d9316df1b3.pdf</t>
  </si>
  <si>
    <t>22509175</t>
  </si>
  <si>
    <t>BETETA RUBIN, KARINA JULIZA</t>
  </si>
  <si>
    <t>BETETA</t>
  </si>
  <si>
    <t>RUBIN</t>
  </si>
  <si>
    <t>KARINA JULIZA</t>
  </si>
  <si>
    <t>18/01/1975</t>
  </si>
  <si>
    <t>HUANUCO</t>
  </si>
  <si>
    <t>https://mpesije.jne.gob.pe/apidocs/43176a37-cb6a-4724-be25-93f8b8855a1b.jpg</t>
  </si>
  <si>
    <t>https://mpesije.jne.gob.pe/apidocs/9798b7a7-1ab2-4804-ad97-510950bd4547.pdf</t>
  </si>
  <si>
    <t>40224994</t>
  </si>
  <si>
    <t>BOBADILLA GALINDO, ANGEL BRUNO</t>
  </si>
  <si>
    <t>BOBADILLA</t>
  </si>
  <si>
    <t>GALINDO</t>
  </si>
  <si>
    <t>ANGEL BRUNO</t>
  </si>
  <si>
    <t>25/11/1976</t>
  </si>
  <si>
    <t>JESUS MARIA</t>
  </si>
  <si>
    <t>CALLAO</t>
  </si>
  <si>
    <t>https://mpesije.jne.gob.pe/apidocs/4aa19ef9-46f1-4ff4-a11f-55fa2b686023.jpg</t>
  </si>
  <si>
    <t>https://mpesije.jne.gob.pe/apidocs/d48e8bb9-e8b2-4e42-8637-dab45812eff3.pdf</t>
  </si>
  <si>
    <t>44807108</t>
  </si>
  <si>
    <t>CASTILLO RIVAS, EDUARDO ENRIQUE</t>
  </si>
  <si>
    <t>CASTILLO</t>
  </si>
  <si>
    <t>RIVAS</t>
  </si>
  <si>
    <t>EDUARDO ENRIQUE</t>
  </si>
  <si>
    <t>21/10/1987</t>
  </si>
  <si>
    <t>PIURA</t>
  </si>
  <si>
    <t>CASTILLA</t>
  </si>
  <si>
    <t>https://mpesije.jne.gob.pe/apidocs/d96b162f-db71-4892-ac4e-829de3492e9d.jpg</t>
  </si>
  <si>
    <t>https://mpesije.jne.gob.pe/apidocs/1c270718-9c38-47fc-8bf5-48b5f01ca557.pdf</t>
  </si>
  <si>
    <t>16650849</t>
  </si>
  <si>
    <t>CASTRO CRUZ, JAVIER ALEJANDRO</t>
  </si>
  <si>
    <t>CASTRO</t>
  </si>
  <si>
    <t>CRUZ</t>
  </si>
  <si>
    <t>JAVIER ALEJANDRO</t>
  </si>
  <si>
    <t>09/09/1966</t>
  </si>
  <si>
    <t>LAMBAYEQUE</t>
  </si>
  <si>
    <t>CHICLAYO</t>
  </si>
  <si>
    <t>LAGUNAS</t>
  </si>
  <si>
    <t>https://mpesije.jne.gob.pe/apidocs/1f66acdf-101e-4b1c-8468-4def175df0f8.jpg</t>
  </si>
  <si>
    <t>https://mpesije.jne.gob.pe/apidocs/dbc1874a-d204-42ce-9055-a47156e12322.pdf</t>
  </si>
  <si>
    <t>10587515</t>
  </si>
  <si>
    <t>CASTRO GRANDEZ, ROYSER</t>
  </si>
  <si>
    <t>GRANDEZ</t>
  </si>
  <si>
    <t>ROYSER</t>
  </si>
  <si>
    <t>07/01/1978</t>
  </si>
  <si>
    <t>AMAZONAS</t>
  </si>
  <si>
    <t>RODRIGUEZ DE MENDOZA</t>
  </si>
  <si>
    <t>SAN NICOLAS</t>
  </si>
  <si>
    <t>https://mpesije.jne.gob.pe/apidocs/15b719e1-4b47-4b44-90b3-e7e90d7c9842.jpg</t>
  </si>
  <si>
    <t>https://mpesije.jne.gob.pe/apidocs/ea82ddc3-c47b-4a6e-94a9-fedf8d602787.pdf</t>
  </si>
  <si>
    <t>07750373</t>
  </si>
  <si>
    <t>CELIZ CASTILLO, RAFAEL ALDO</t>
  </si>
  <si>
    <t>CELIZ</t>
  </si>
  <si>
    <t>RAFAEL ALDO</t>
  </si>
  <si>
    <t>08/01/1969</t>
  </si>
  <si>
    <t>TUMBES</t>
  </si>
  <si>
    <t>https://mpesije.jne.gob.pe/apidocs/48700055-eec9-404e-a7ab-37cb70abb653.jpg</t>
  </si>
  <si>
    <t>https://mpesije.jne.gob.pe/apidocs/cf9cf41d-cbec-433a-a05c-fe5314f2eafe.pdf</t>
  </si>
  <si>
    <t>09536896</t>
  </si>
  <si>
    <t>CHACON DE VETTORI, CECILIA ISABEL</t>
  </si>
  <si>
    <t>CHACON</t>
  </si>
  <si>
    <t>DE VETTORI</t>
  </si>
  <si>
    <t>CECILIA ISABEL</t>
  </si>
  <si>
    <t>03/02/1971</t>
  </si>
  <si>
    <t>https://mpesije.jne.gob.pe/apidocs/075f4d47-7bb6-4eea-a441-5e19b60f7b47.jpg</t>
  </si>
  <si>
    <t>https://mpesije.jne.gob.pe/apidocs/263418a0-327e-47e2-81df-d5e4cbc93bbc.pdf</t>
  </si>
  <si>
    <t>40826681</t>
  </si>
  <si>
    <t>COLUMBUS MURATA, DIETHELL</t>
  </si>
  <si>
    <t>COLUMBUS</t>
  </si>
  <si>
    <t>MURATA</t>
  </si>
  <si>
    <t>DIETHELL</t>
  </si>
  <si>
    <t>19/03/1981</t>
  </si>
  <si>
    <t>PUEBLO LIBRE</t>
  </si>
  <si>
    <t>https://mpesije.jne.gob.pe/apidocs/e393717b-8477-43d8-a7a9-f3ce8f09395a.jpg</t>
  </si>
  <si>
    <t>https://mpesije.jne.gob.pe/apidocs/fb85f7cf-63c2-454a-b8be-caafa9482136.pdf</t>
  </si>
  <si>
    <t>42433830</t>
  </si>
  <si>
    <t>DODERO JOVICH, PIERANGELI DANIELA</t>
  </si>
  <si>
    <t>DODERO</t>
  </si>
  <si>
    <t>JOVICH</t>
  </si>
  <si>
    <t>PIERANGELI DANIELA</t>
  </si>
  <si>
    <t>09/04/1984</t>
  </si>
  <si>
    <t>https://mpesije.jne.gob.pe/apidocs/38b21551-9f9d-4509-8df3-3ff196a3db73.jpg</t>
  </si>
  <si>
    <t>https://mpesije.jne.gob.pe/apidocs/604a338f-478d-493d-a90f-7914850bb21d.pdf</t>
  </si>
  <si>
    <t>07268767</t>
  </si>
  <si>
    <t>FIGARI MENDOZA, PIER PAOLO</t>
  </si>
  <si>
    <t>FIGARI</t>
  </si>
  <si>
    <t>MENDOZA</t>
  </si>
  <si>
    <t>PIER PAOLO</t>
  </si>
  <si>
    <t>14/11/1973</t>
  </si>
  <si>
    <t>MIRAFLORES</t>
  </si>
  <si>
    <t>https://mpesije.jne.gob.pe/apidocs/ac01f508-6d64-4ea5-b2ff-42a47fe0d259.jpg</t>
  </si>
  <si>
    <t>https://mpesije.jne.gob.pe/apidocs/fd565fc1-e259-4d17-a0be-469e78eef6a5.pdf</t>
  </si>
  <si>
    <t>42516751</t>
  </si>
  <si>
    <t>GAMARRA PITA, LUZMILA MARIA DEL CARMEN</t>
  </si>
  <si>
    <t>GAMARRA</t>
  </si>
  <si>
    <t>PITA</t>
  </si>
  <si>
    <t>LUZMILA MARIA DEL CARMEN</t>
  </si>
  <si>
    <t>02/07/1984</t>
  </si>
  <si>
    <t>https://mpesije.jne.gob.pe/apidocs/799ae78c-4935-458a-aa5c-550ceb4dadf4.jpg</t>
  </si>
  <si>
    <t>https://mpesije.jne.gob.pe/apidocs/b1cf36db-6a9c-423b-ae82-0a34aae7928c.pdf</t>
  </si>
  <si>
    <t>16448130</t>
  </si>
  <si>
    <t>INFANTES CASTAÑEDA, MERY ELIANA</t>
  </si>
  <si>
    <t>INFANTES</t>
  </si>
  <si>
    <t>CASTAÑEDA</t>
  </si>
  <si>
    <t>MERY ELIANA</t>
  </si>
  <si>
    <t>11/10/1963</t>
  </si>
  <si>
    <t>NUEVA ARICA</t>
  </si>
  <si>
    <t>https://mpesije.jne.gob.pe/apidocs/1c7cad1e-55d0-4eaf-a410-3190cc45ccd9.jpg</t>
  </si>
  <si>
    <t>https://mpesije.jne.gob.pe/apidocs/ff1ca3f2-ec67-4f15-b8ab-a51f00002ed8.pdf</t>
  </si>
  <si>
    <t>41919665</t>
  </si>
  <si>
    <t>LEIVA BAYLON, LETICIA MARUJA</t>
  </si>
  <si>
    <t>LEIVA</t>
  </si>
  <si>
    <t>BAYLON</t>
  </si>
  <si>
    <t>LETICIA MARUJA</t>
  </si>
  <si>
    <t>21/05/1983</t>
  </si>
  <si>
    <t>LA LIBERTAD</t>
  </si>
  <si>
    <t>https://mpesije.jne.gob.pe/apidocs/b00ba9d7-66c7-480f-b8ea-b46904b30968.jpg</t>
  </si>
  <si>
    <t>https://mpesije.jne.gob.pe/apidocs/c8aad8f9-89d1-4e01-ad7c-eae451c94c24.pdf</t>
  </si>
  <si>
    <t>10187011</t>
  </si>
  <si>
    <t>MENDOZA BERNEDO, LIZ HULI</t>
  </si>
  <si>
    <t>BERNEDO</t>
  </si>
  <si>
    <t>LIZ HULI</t>
  </si>
  <si>
    <t>04/07/1974</t>
  </si>
  <si>
    <t>ANCON</t>
  </si>
  <si>
    <t>PERUANOS RESIDENTES EN EL EXTRANJERO</t>
  </si>
  <si>
    <t>https://mpesije.jne.gob.pe/apidocs/8543846b-eaab-4b44-bda0-849122e6f396.jpg</t>
  </si>
  <si>
    <t>https://mpesije.jne.gob.pe/apidocs/cd39ca14-0159-40c9-843f-17264b0725ee.pdf</t>
  </si>
  <si>
    <t>10028427</t>
  </si>
  <si>
    <t>NAVAS SANCHEZ, JESSICA LIZBETH</t>
  </si>
  <si>
    <t>NAVAS</t>
  </si>
  <si>
    <t>SANCHEZ</t>
  </si>
  <si>
    <t>JESSICA LIZBETH</t>
  </si>
  <si>
    <t>09/08/1973</t>
  </si>
  <si>
    <t>https://mpesije.jne.gob.pe/apidocs/0c036c3c-b21f-4a3c-9aa0-355dc67b9d55.jpg</t>
  </si>
  <si>
    <t>https://mpesije.jne.gob.pe/apidocs/89f43cc1-8f03-46fa-9b73-d0610df59268.pdf</t>
  </si>
  <si>
    <t>07737110</t>
  </si>
  <si>
    <t>OBANDO MORGAN, AURISTELA ANA</t>
  </si>
  <si>
    <t>OBANDO</t>
  </si>
  <si>
    <t>MORGAN</t>
  </si>
  <si>
    <t>AURISTELA ANA</t>
  </si>
  <si>
    <t>03/08/1953</t>
  </si>
  <si>
    <t>https://mpesije.jne.gob.pe/apidocs/922d4c25-0617-4447-97d6-8eaf47e4fbf2.jpg</t>
  </si>
  <si>
    <t>https://mpesije.jne.gob.pe/apidocs/86ed8743-9abe-4eff-9265-e83380b4c05b.pdf</t>
  </si>
  <si>
    <t>47000483</t>
  </si>
  <si>
    <t>PACHECO QUISPE, MARCO ANTONIO</t>
  </si>
  <si>
    <t>PACHECO</t>
  </si>
  <si>
    <t>QUISPE</t>
  </si>
  <si>
    <t>MARCO ANTONIO</t>
  </si>
  <si>
    <t>14/03/1992</t>
  </si>
  <si>
    <t>VILLA EL SALVADOR</t>
  </si>
  <si>
    <t>https://mpesije.jne.gob.pe/apidocs/eeab968c-83e6-41a2-92ec-4dfdcdb0cd7f.jpg</t>
  </si>
  <si>
    <t>https://mpesije.jne.gob.pe/apidocs/a561a482-3a99-43e4-9314-213f7bb4d7bf.pdf</t>
  </si>
  <si>
    <t>45721573</t>
  </si>
  <si>
    <t>PALMA MENDOZA, JOSE MARVIN</t>
  </si>
  <si>
    <t>PALMA</t>
  </si>
  <si>
    <t>JOSE MARVIN</t>
  </si>
  <si>
    <t>26/05/1989</t>
  </si>
  <si>
    <t>SANTA ROSA</t>
  </si>
  <si>
    <t>https://mpesije.jne.gob.pe/apidocs/f1ccbd31-2838-4168-82d3-eb5b71f519c7.jpg</t>
  </si>
  <si>
    <t>https://mpesije.jne.gob.pe/apidocs/af5b875e-2cd2-4fa8-82ef-ce3f05284089.pdf</t>
  </si>
  <si>
    <t>10792277</t>
  </si>
  <si>
    <t>PATIÑO URCO, ANA BERTHA</t>
  </si>
  <si>
    <t>PATIÑO</t>
  </si>
  <si>
    <t>URCO</t>
  </si>
  <si>
    <t>ANA BERTHA</t>
  </si>
  <si>
    <t>01/05/1967</t>
  </si>
  <si>
    <t>HUANCAYO</t>
  </si>
  <si>
    <t>https://mpesije.jne.gob.pe/apidocs/1351a920-31c9-42b8-9abc-e65fa1a12dd8.jpg</t>
  </si>
  <si>
    <t>https://mpesije.jne.gob.pe/apidocs/8cd2976e-3ac9-4cfd-ba3b-2ae21dbdad12.pdf</t>
  </si>
  <si>
    <t>41408779</t>
  </si>
  <si>
    <t>PAUCARA PAXI, CARMELA</t>
  </si>
  <si>
    <t>PAUCARA</t>
  </si>
  <si>
    <t>PAXI</t>
  </si>
  <si>
    <t>CARMELA</t>
  </si>
  <si>
    <t>18/11/1979</t>
  </si>
  <si>
    <t>https://mpesije.jne.gob.pe/apidocs/acf9364c-20ca-403e-bf77-0252c913b060.jpg</t>
  </si>
  <si>
    <t>https://mpesije.jne.gob.pe/apidocs/aaf53a26-bc0a-41c6-85ba-b6e14514bad4.pdf</t>
  </si>
  <si>
    <t>05414308</t>
  </si>
  <si>
    <t>PINASCO MONTENEGRO, NARY BENVINDA</t>
  </si>
  <si>
    <t>MONTENEGRO</t>
  </si>
  <si>
    <t>NARY BENVINDA</t>
  </si>
  <si>
    <t>26/10/1977</t>
  </si>
  <si>
    <t>LORETO</t>
  </si>
  <si>
    <t>MAYNAS</t>
  </si>
  <si>
    <t>IQUITOS</t>
  </si>
  <si>
    <t>https://mpesije.jne.gob.pe/apidocs/b177f705-dfd3-4599-a882-ab395bc5346f.jpg</t>
  </si>
  <si>
    <t>https://mpesije.jne.gob.pe/apidocs/800f7ef6-8de6-4263-9184-22df80bdfc57.pdf</t>
  </si>
  <si>
    <t>44275599</t>
  </si>
  <si>
    <t>REVILLA VILLANUEVA, CESAR MANUEL</t>
  </si>
  <si>
    <t>REVILLA</t>
  </si>
  <si>
    <t>CESAR MANUEL</t>
  </si>
  <si>
    <t>19/03/1987</t>
  </si>
  <si>
    <t>https://mpesije.jne.gob.pe/apidocs/c239bb01-32d8-47ae-ac26-e62459fe1f18.jpg</t>
  </si>
  <si>
    <t>https://mpesije.jne.gob.pe/apidocs/994926dc-049b-4590-b5cf-8e1251762deb.pdf</t>
  </si>
  <si>
    <t>80328889</t>
  </si>
  <si>
    <t>SALAS RIVERA, ALEXANDER</t>
  </si>
  <si>
    <t>SALAS</t>
  </si>
  <si>
    <t>RIVERA</t>
  </si>
  <si>
    <t>ALEXANDER</t>
  </si>
  <si>
    <t>14/05/1979</t>
  </si>
  <si>
    <t>CAÑETE</t>
  </si>
  <si>
    <t>SAN VICENTE DE CAÑETE</t>
  </si>
  <si>
    <t>https://mpesije.jne.gob.pe/apidocs/2595a793-7375-4430-91d4-9cbc362c884d.jpg</t>
  </si>
  <si>
    <t>https://mpesije.jne.gob.pe/apidocs/7cf2d539-5f52-4560-8ea2-174a66ade6fe.pdf</t>
  </si>
  <si>
    <t>27424381</t>
  </si>
  <si>
    <t>TICLLA RAFAEL, SEGUNDO SENOVIO</t>
  </si>
  <si>
    <t>TICLLA</t>
  </si>
  <si>
    <t>RAFAEL</t>
  </si>
  <si>
    <t>SEGUNDO SENOVIO</t>
  </si>
  <si>
    <t>05/09/1973</t>
  </si>
  <si>
    <t>CAJAMARCA</t>
  </si>
  <si>
    <t>CHOTA</t>
  </si>
  <si>
    <t>https://mpesije.jne.gob.pe/apidocs/ea749409-747d-429b-a6ea-fabdb2095247.jpg</t>
  </si>
  <si>
    <t>https://mpesije.jne.gob.pe/apidocs/afc7375e-ec92-484d-91f2-8092fb1da4af.pdf</t>
  </si>
  <si>
    <t>40433187</t>
  </si>
  <si>
    <t>TORRES MORALES, MIGUEL ANGEL</t>
  </si>
  <si>
    <t>TORRES</t>
  </si>
  <si>
    <t>MORALES</t>
  </si>
  <si>
    <t>MIGUEL ANGEL</t>
  </si>
  <si>
    <t>18/02/1980</t>
  </si>
  <si>
    <t>LINCE</t>
  </si>
  <si>
    <t>SEGUNDO VICEPRESIDENTE DE LA REPÚBLICA</t>
  </si>
  <si>
    <t>SENADOR</t>
  </si>
  <si>
    <t>ÚNICO NACIONAL</t>
  </si>
  <si>
    <t>https://mpesije.jne.gob.pe/apidocs/789b7714-8633-4a59-a89b-7fab4646fef1.jpeg</t>
  </si>
  <si>
    <t>https://mpesije.jne.gob.pe/apidocs/99872797-b3bf-452e-939b-06d1cdeaa917.pdf</t>
  </si>
  <si>
    <t>08571708</t>
  </si>
  <si>
    <t>TRUJILLO ZEGARRA, GILMER</t>
  </si>
  <si>
    <t>TRUJILLO</t>
  </si>
  <si>
    <t>ZEGARRA</t>
  </si>
  <si>
    <t>GILMER</t>
  </si>
  <si>
    <t>20/06/1966</t>
  </si>
  <si>
    <t>https://mpesije.jne.gob.pe/apidocs/4a6db76e-4a02-49f7-8d84-0ad1b851903f.jpg</t>
  </si>
  <si>
    <t>https://mpesije.jne.gob.pe/apidocs/2520e18a-e627-445c-a066-b83aadc43341.pdf</t>
  </si>
  <si>
    <t>47654459</t>
  </si>
  <si>
    <t>VALQUI ORDOÑEZ, JHONN BRAYAM</t>
  </si>
  <si>
    <t>VALQUI</t>
  </si>
  <si>
    <t>ORDOÑEZ</t>
  </si>
  <si>
    <t>JHONN BRAYAM</t>
  </si>
  <si>
    <t>14/08/1992</t>
  </si>
  <si>
    <t>PASCO</t>
  </si>
  <si>
    <t>CHAUPIMARCA</t>
  </si>
  <si>
    <t>https://mpesije.jne.gob.pe/apidocs/5a1d94bc-3050-4a0b-a6e5-35f757b6a559.jpg</t>
  </si>
  <si>
    <t>https://mpesije.jne.gob.pe/apidocs/d24ab458-8600-4635-95cd-ad3cbd2307a2.pdf</t>
  </si>
  <si>
    <t>42551310</t>
  </si>
  <si>
    <t>VIDAURRE FLORIDAS, CESAR MANUEL</t>
  </si>
  <si>
    <t>VIDAURRE</t>
  </si>
  <si>
    <t>FLORIDAS</t>
  </si>
  <si>
    <t>25/08/1984</t>
  </si>
  <si>
    <t>https://mpesije.jne.gob.pe/apidocs/46ef4d66-b8bf-48b4-aba1-ec2073b8ccf2.jpg</t>
  </si>
  <si>
    <t>https://mpesije.jne.gob.pe/apidocs/951baeee-fa5f-4a81-b6ca-6b4112606f42.pdf</t>
  </si>
  <si>
    <t>80387180</t>
  </si>
  <si>
    <t>ZEGARRA SANCHEZ, CARLOS ALBERTO</t>
  </si>
  <si>
    <t>CARLOS ALBERTO</t>
  </si>
  <si>
    <t>19/03/1978</t>
  </si>
  <si>
    <t>ICA</t>
  </si>
  <si>
    <t>https://mpesije.jne.gob.pe/apidocs/3684bf3c-4385-430d-bd6e-9d0ac59d4f92.jpg</t>
  </si>
  <si>
    <t>https://mpesije.jne.gob.pe/apidocs/4819ac33-e7bd-4e67-b67c-9294ca1c08c7.pdf</t>
  </si>
  <si>
    <t>JUNTOS POR EL PERU</t>
  </si>
  <si>
    <t>46432487</t>
  </si>
  <si>
    <t>AGUIRRE RAMOS, MARLON ALBERTO</t>
  </si>
  <si>
    <t>AGUIRRE</t>
  </si>
  <si>
    <t>RAMOS</t>
  </si>
  <si>
    <t>MARLON ALBERTO</t>
  </si>
  <si>
    <t>29/07/1990</t>
  </si>
  <si>
    <t>CHANCHAMAYO</t>
  </si>
  <si>
    <t>PICHANAQUI</t>
  </si>
  <si>
    <t>https://mpesije.jne.gob.pe/apidocs/3cbab5a1-07f1-4378-9838-4d07f4cf0e6f.jpg</t>
  </si>
  <si>
    <t>https://mpesije.jne.gob.pe/apidocs/2c45f79d-1b6e-43bd-a1d1-f9c05e19286c.pdf</t>
  </si>
  <si>
    <t>43845728</t>
  </si>
  <si>
    <t>AMBROSIO DOMINGUEZ, YULI LILIANA</t>
  </si>
  <si>
    <t>AMBROSIO</t>
  </si>
  <si>
    <t>DOMINGUEZ</t>
  </si>
  <si>
    <t>YULI LILIANA</t>
  </si>
  <si>
    <t>08/11/1986</t>
  </si>
  <si>
    <t>https://mpesije.jne.gob.pe/apidocs/2efb6771-bcb3-4714-b266-fd7c6f05ec2c.jpg</t>
  </si>
  <si>
    <t>https://mpesije.jne.gob.pe/apidocs/aa42163e-4231-4fc4-b0eb-e834b6b88e5c.pdf</t>
  </si>
  <si>
    <t>40855980</t>
  </si>
  <si>
    <t>AVENDAÑO VILCA, GIANNINA IRIS</t>
  </si>
  <si>
    <t>AVENDAÑO</t>
  </si>
  <si>
    <t>VILCA</t>
  </si>
  <si>
    <t>GIANNINA IRIS</t>
  </si>
  <si>
    <t>06/12/1980</t>
  </si>
  <si>
    <t>https://mpesije.jne.gob.pe/apidocs/5dd5ffdf-a410-49e0-bc70-47b88e90f596.jpg</t>
  </si>
  <si>
    <t>https://mpesije.jne.gob.pe/apidocs/3eefce9e-5085-439f-ae24-8e4b6df1dacc.pdf</t>
  </si>
  <si>
    <t>01223056</t>
  </si>
  <si>
    <t>CONDORI FLORES, REMIGIO</t>
  </si>
  <si>
    <t>CONDORI</t>
  </si>
  <si>
    <t>REMIGIO</t>
  </si>
  <si>
    <t>01/10/1966</t>
  </si>
  <si>
    <t>https://mpesije.jne.gob.pe/apidocs/01517b31-d1ad-46ae-8e61-04d93a3e9c53.jpg</t>
  </si>
  <si>
    <t>https://mpesije.jne.gob.pe/apidocs/41691d93-23af-4b19-b8a5-a1ad40ec4ea5.pdf</t>
  </si>
  <si>
    <t>41711513</t>
  </si>
  <si>
    <t>FLORES VALDIZAN, MARCO ANTONIO</t>
  </si>
  <si>
    <t>VALDIZAN</t>
  </si>
  <si>
    <t>04/07/1981</t>
  </si>
  <si>
    <t>LEONCIO PRADO</t>
  </si>
  <si>
    <t>JOSE CRESPO Y CASTILLO</t>
  </si>
  <si>
    <t>https://mpesije.jne.gob.pe/apidocs/6870c7f2-a2f8-4370-8dbe-ea07d50b8091.jpg</t>
  </si>
  <si>
    <t>https://mpesije.jne.gob.pe/apidocs/1fa446e9-a1f6-4eef-adb1-501bc807a80b.pdf</t>
  </si>
  <si>
    <t>40093361</t>
  </si>
  <si>
    <t>GONZALES DELGADO, GABRIEL ROBERTINO</t>
  </si>
  <si>
    <t>GONZALES</t>
  </si>
  <si>
    <t>DELGADO</t>
  </si>
  <si>
    <t>GABRIEL ROBERTINO</t>
  </si>
  <si>
    <t>02/09/1973</t>
  </si>
  <si>
    <t>https://mpesije.jne.gob.pe/apidocs/098935bc-8d8f-4d90-9ab1-209d38292773.jpg</t>
  </si>
  <si>
    <t>https://mpesije.jne.gob.pe/apidocs/f71e642d-fec9-4656-bf14-6eb05adea715.pdf</t>
  </si>
  <si>
    <t>04810886</t>
  </si>
  <si>
    <t>HOLGUIN AGUIRRE, JAMES ARTURO</t>
  </si>
  <si>
    <t>JAMES ARTURO</t>
  </si>
  <si>
    <t>03/05/1957</t>
  </si>
  <si>
    <t>MADRE DE DIOS</t>
  </si>
  <si>
    <t>TAMBOPATA</t>
  </si>
  <si>
    <t>https://mpesije.jne.gob.pe/apidocs/4234b8c6-6700-4d18-8bc3-3977077d52dc.jpg</t>
  </si>
  <si>
    <t>https://mpesije.jne.gob.pe/apidocs/f41a93e8-9a85-4ac7-aab4-123530aa6ac0.pdf</t>
  </si>
  <si>
    <t>45442927</t>
  </si>
  <si>
    <t>MARQUEZ HUANCA, ANALI</t>
  </si>
  <si>
    <t>MARQUEZ</t>
  </si>
  <si>
    <t>HUANCA</t>
  </si>
  <si>
    <t>ANALI</t>
  </si>
  <si>
    <t>10/10/1988</t>
  </si>
  <si>
    <t>CHUMBIVILCAS</t>
  </si>
  <si>
    <t>SANTO TOMAS</t>
  </si>
  <si>
    <t>PRIMER VICEPRESIDENTE DE LA REPÚBLICA</t>
  </si>
  <si>
    <t>https://mpesije.jne.gob.pe/apidocs/cd236409-a6a7-4b75-8b06-25db73f256bd.jpg</t>
  </si>
  <si>
    <t>https://mpesije.jne.gob.pe/apidocs/f9b48ebe-feff-4520-8bfd-5779cf2ba37e.pdf</t>
  </si>
  <si>
    <t>29313850</t>
  </si>
  <si>
    <t>PALOMINO PACHECO, AMALIA EMILIA</t>
  </si>
  <si>
    <t>PALOMINO</t>
  </si>
  <si>
    <t>AMALIA EMILIA</t>
  </si>
  <si>
    <t>06/11/1967</t>
  </si>
  <si>
    <t>MOQUEGUA</t>
  </si>
  <si>
    <t>GENERAL SANCHEZ CERRO</t>
  </si>
  <si>
    <t>QUINISTAQUILLAS</t>
  </si>
  <si>
    <t>https://mpesije.jne.gob.pe/apidocs/d05dfeb1-ce90-451c-b614-e00ac68e1077.jpg</t>
  </si>
  <si>
    <t>https://mpesije.jne.gob.pe/apidocs/8074e846-4b08-4c42-a070-0a9b7c90a685.pdf</t>
  </si>
  <si>
    <t>74638299</t>
  </si>
  <si>
    <t>PAREDES NAVARRO, YENIFER NOELIA</t>
  </si>
  <si>
    <t>PAREDES</t>
  </si>
  <si>
    <t>NAVARRO</t>
  </si>
  <si>
    <t>YENIFER NOELIA</t>
  </si>
  <si>
    <t>05/12/1995</t>
  </si>
  <si>
    <t>ANGUIA</t>
  </si>
  <si>
    <t>https://mpesije.jne.gob.pe/apidocs/df807ab2-353c-4d89-8246-1a2b5c04ee5b.jpg</t>
  </si>
  <si>
    <t>https://mpesije.jne.gob.pe/apidocs/d24eb18d-844a-4c10-9c56-a807b049a338.pdf</t>
  </si>
  <si>
    <t>42135939</t>
  </si>
  <si>
    <t>PEÑA CORDOVA, OLVER</t>
  </si>
  <si>
    <t>PEÑA</t>
  </si>
  <si>
    <t>CORDOVA</t>
  </si>
  <si>
    <t>OLVER</t>
  </si>
  <si>
    <t>28/03/1983</t>
  </si>
  <si>
    <t>RIOJA</t>
  </si>
  <si>
    <t>YURACYACU</t>
  </si>
  <si>
    <t>https://mpesije.jne.gob.pe/apidocs/46944cd6-4aac-4b6c-9884-64ea79bb4e44.jpg</t>
  </si>
  <si>
    <t>https://mpesije.jne.gob.pe/apidocs/08490927-9ff4-49e3-ada9-69dcefb0bf23.pdf</t>
  </si>
  <si>
    <t>10536312</t>
  </si>
  <si>
    <t>PEREZ MALLQUI, JULIAN LUIS</t>
  </si>
  <si>
    <t>PEREZ</t>
  </si>
  <si>
    <t>MALLQUI</t>
  </si>
  <si>
    <t>JULIAN LUIS</t>
  </si>
  <si>
    <t>29/10/1974</t>
  </si>
  <si>
    <t>LA MAR</t>
  </si>
  <si>
    <t>TAMBO</t>
  </si>
  <si>
    <t>https://mpesije.jne.gob.pe/apidocs/0fb84197-9795-40fb-98ae-0445dd6de6a6.jpg</t>
  </si>
  <si>
    <t>https://mpesije.jne.gob.pe/apidocs/341f301e-ede2-414b-a1e0-a40b6cd7917d.pdf</t>
  </si>
  <si>
    <t>44908591</t>
  </si>
  <si>
    <t>PEREZ QUISPE, JESSICA SADITH</t>
  </si>
  <si>
    <t>JESSICA SADITH</t>
  </si>
  <si>
    <t>22/02/1988</t>
  </si>
  <si>
    <t>https://mpesije.jne.gob.pe/apidocs/8451ecf0-0f0b-4f4c-959e-41a197c80793.jpg</t>
  </si>
  <si>
    <t>https://mpesije.jne.gob.pe/apidocs/57c139fd-c119-4dc6-8494-430d88ab3b7b.pdf</t>
  </si>
  <si>
    <t>42984568</t>
  </si>
  <si>
    <t>POMA HUAMANI, HAYDEE CELINDA</t>
  </si>
  <si>
    <t>POMA</t>
  </si>
  <si>
    <t>HAYDEE CELINDA</t>
  </si>
  <si>
    <t>10/09/1984</t>
  </si>
  <si>
    <t>SANTIAGO</t>
  </si>
  <si>
    <t>https://mpesije.jne.gob.pe/apidocs/43965a86-c97c-44b8-a5e7-00376bc2c77b.jpg</t>
  </si>
  <si>
    <t>https://mpesije.jne.gob.pe/apidocs/77daecdd-c6da-4801-b1c5-917f5dc8c6c2.pdf</t>
  </si>
  <si>
    <t>70163475</t>
  </si>
  <si>
    <t>TAPULLIMA INSAPILLO, JACQUELINE VIVIANA</t>
  </si>
  <si>
    <t>TAPULLIMA</t>
  </si>
  <si>
    <t>INSAPILLO</t>
  </si>
  <si>
    <t>JACQUELINE VIVIANA</t>
  </si>
  <si>
    <t>07/06/1989</t>
  </si>
  <si>
    <t>TARAPOTO</t>
  </si>
  <si>
    <t>https://mpesije.jne.gob.pe/apidocs/c2d9848e-35f1-4b7c-bac2-15ea99360217.jpg</t>
  </si>
  <si>
    <t>https://mpesije.jne.gob.pe/apidocs/8e2929eb-243f-4b1a-aa7a-fe19beb67a78.pdf</t>
  </si>
  <si>
    <t>01320941</t>
  </si>
  <si>
    <t>TITO ROJAS, CESAR HUGO</t>
  </si>
  <si>
    <t>TITO</t>
  </si>
  <si>
    <t>ROJAS</t>
  </si>
  <si>
    <t>CESAR HUGO</t>
  </si>
  <si>
    <t>25/02/1971</t>
  </si>
  <si>
    <t>PAUCARCOLLA</t>
  </si>
  <si>
    <t>https://mpesije.jne.gob.pe/apidocs/89ae261a-857b-4969-bad7-55e0ad4efdee.jpg</t>
  </si>
  <si>
    <t>https://mpesije.jne.gob.pe/apidocs/1181129a-f15c-4438-a615-bb44ad8c2191.pdf</t>
  </si>
  <si>
    <t>45327535</t>
  </si>
  <si>
    <t>ZUNINI YERREN, ERNESTO ALONZO</t>
  </si>
  <si>
    <t>ZUNINI</t>
  </si>
  <si>
    <t>YERREN</t>
  </si>
  <si>
    <t>ERNESTO ALONZO</t>
  </si>
  <si>
    <t>27/10/1987</t>
  </si>
  <si>
    <t>https://mpesije.jne.gob.pe/apidocs/41bd9e58-4784-4073-9233-aaec6337b136.jpg</t>
  </si>
  <si>
    <t>https://mpesije.jne.gob.pe/apidocs/a11b9ee4-9434-49fc-84e2-cf96de2cbadf.pdf</t>
  </si>
  <si>
    <t>PARTIDO CIVICO OBRAS</t>
  </si>
  <si>
    <t>46602828</t>
  </si>
  <si>
    <t>ALBAÑIL CARMONA, HENRY ANTONIO</t>
  </si>
  <si>
    <t>ALBAÑIL</t>
  </si>
  <si>
    <t>CARMONA</t>
  </si>
  <si>
    <t>HENRY ANTONIO</t>
  </si>
  <si>
    <t>04/11/1990</t>
  </si>
  <si>
    <t>LA UNION</t>
  </si>
  <si>
    <t>https://mpesije.jne.gob.pe/apidocs/0db1fcfb-c302-445c-afe1-510fe4bf1f1a.jpg</t>
  </si>
  <si>
    <t>https://mpesije.jne.gob.pe/apidocs/87d63bc5-2136-4713-8449-b6635be00b8b.pdf</t>
  </si>
  <si>
    <t>43170121</t>
  </si>
  <si>
    <t>ALVARON DE LA CRUZ, EDGAR ADRIAN</t>
  </si>
  <si>
    <t>ALVARON</t>
  </si>
  <si>
    <t>DE LA CRUZ</t>
  </si>
  <si>
    <t>EDGAR ADRIAN</t>
  </si>
  <si>
    <t>03/08/1985</t>
  </si>
  <si>
    <t>HUARAZ</t>
  </si>
  <si>
    <t>https://mpesije.jne.gob.pe/apidocs/61529942-8bb4-407c-bc9c-3eb6a34537e6.jpg</t>
  </si>
  <si>
    <t>https://mpesije.jne.gob.pe/apidocs/bfdf21ad-afa2-449e-bab5-e308cf8b5ebd.pdf</t>
  </si>
  <si>
    <t>00482691</t>
  </si>
  <si>
    <t>CABRERA NIETO, JUAN CESAR</t>
  </si>
  <si>
    <t>CABRERA</t>
  </si>
  <si>
    <t>NIETO</t>
  </si>
  <si>
    <t>JUAN CESAR</t>
  </si>
  <si>
    <t>18/07/1963</t>
  </si>
  <si>
    <t>EL COLLAO</t>
  </si>
  <si>
    <t>ILAVE</t>
  </si>
  <si>
    <t>TACNA</t>
  </si>
  <si>
    <t>https://mpesije.jne.gob.pe/apidocs/424b0a36-b6b3-4320-9e23-b9875d7fcb48.jpg</t>
  </si>
  <si>
    <t>https://mpesije.jne.gob.pe/apidocs/36154e90-cf21-4f4c-af27-5bdcc08a0396.pdf</t>
  </si>
  <si>
    <t>07654582</t>
  </si>
  <si>
    <t>EUSEBIO PADILLA, ARTURO CESAR</t>
  </si>
  <si>
    <t>EUSEBIO</t>
  </si>
  <si>
    <t>PADILLA</t>
  </si>
  <si>
    <t>ARTURO CESAR</t>
  </si>
  <si>
    <t>04/01/1964</t>
  </si>
  <si>
    <t>LURIGANCHO</t>
  </si>
  <si>
    <t>https://mpesije.jne.gob.pe/apidocs/8d44f945-0c51-4f46-a3e4-44206775973e.jpg</t>
  </si>
  <si>
    <t>https://mpesije.jne.gob.pe/apidocs/2296a691-3761-471c-bb3b-66bf56d6c564.pdf</t>
  </si>
  <si>
    <t>01545223</t>
  </si>
  <si>
    <t>HANCCO HANCCO, DINA IRENE</t>
  </si>
  <si>
    <t>HANCCO</t>
  </si>
  <si>
    <t>DINA IRENE</t>
  </si>
  <si>
    <t>19/03/1970</t>
  </si>
  <si>
    <t>AZANGARO</t>
  </si>
  <si>
    <t>https://mpesije.jne.gob.pe/apidocs/fa703877-427f-4312-be04-95b2959bf6d3.jpg</t>
  </si>
  <si>
    <t>https://mpesije.jne.gob.pe/apidocs/d326664e-0a6e-4e94-9477-cf972ff99bfd.pdf</t>
  </si>
  <si>
    <t>25001331</t>
  </si>
  <si>
    <t>LOPEZ LETONA, HEBER</t>
  </si>
  <si>
    <t>LOPEZ</t>
  </si>
  <si>
    <t>LETONA</t>
  </si>
  <si>
    <t>HEBER</t>
  </si>
  <si>
    <t>18/02/1974</t>
  </si>
  <si>
    <t>LA CONVENCION</t>
  </si>
  <si>
    <t>MARANURA</t>
  </si>
  <si>
    <t>https://mpesije.jne.gob.pe/apidocs/142c9ff3-0883-48d4-8fe4-786719c05e9f.jpg</t>
  </si>
  <si>
    <t>https://mpesije.jne.gob.pe/apidocs/c719ed44-cbe8-4306-81f7-c7ca2a45e10a.pdf</t>
  </si>
  <si>
    <t>41242025</t>
  </si>
  <si>
    <t>MASCO CACERES, LUIS AURELIO</t>
  </si>
  <si>
    <t>MASCO</t>
  </si>
  <si>
    <t>CACERES</t>
  </si>
  <si>
    <t>LUIS AURELIO</t>
  </si>
  <si>
    <t>11/05/1981</t>
  </si>
  <si>
    <t>ISLAY</t>
  </si>
  <si>
    <t>MOLLENDO</t>
  </si>
  <si>
    <t>https://mpesije.jne.gob.pe/apidocs/1b6eafdb-2ae0-4e95-ac50-503069a4bae3.jpg</t>
  </si>
  <si>
    <t>https://mpesije.jne.gob.pe/apidocs/079c12b8-56a0-4b9d-bfc5-555cbb1c35f9.pdf</t>
  </si>
  <si>
    <t>46089177</t>
  </si>
  <si>
    <t>MEDINA STEIN, ANDREA DAYNA</t>
  </si>
  <si>
    <t>MEDINA</t>
  </si>
  <si>
    <t>STEIN</t>
  </si>
  <si>
    <t>ANDREA DAYNA</t>
  </si>
  <si>
    <t>24/11/1989</t>
  </si>
  <si>
    <t>SAN BORJA</t>
  </si>
  <si>
    <t>https://mpesije.jne.gob.pe/apidocs/ce2ebf06-2e90-407f-9981-803107fe0975.jpg</t>
  </si>
  <si>
    <t>https://mpesije.jne.gob.pe/apidocs/ead020c3-5f53-4462-9013-3960987dba79.pdf</t>
  </si>
  <si>
    <t>19995860</t>
  </si>
  <si>
    <t>PERALTA JORPA, MAXIMO</t>
  </si>
  <si>
    <t>PERALTA</t>
  </si>
  <si>
    <t>JORPA</t>
  </si>
  <si>
    <t>MAXIMO</t>
  </si>
  <si>
    <t>27/11/1965</t>
  </si>
  <si>
    <t>https://mpesije.jne.gob.pe/apidocs/218682eb-a4f1-400c-b05d-637a881181e2.jpg</t>
  </si>
  <si>
    <t>https://mpesije.jne.gob.pe/apidocs/7c7df6f9-4170-49cc-aec5-0812178fc743.pdf</t>
  </si>
  <si>
    <t>70074678</t>
  </si>
  <si>
    <t>PIÑAN MAMANI, VICTOR EDUARDO</t>
  </si>
  <si>
    <t>PIÑAN</t>
  </si>
  <si>
    <t>MAMANI</t>
  </si>
  <si>
    <t>VICTOR EDUARDO</t>
  </si>
  <si>
    <t>06/05/1992</t>
  </si>
  <si>
    <t>https://mpesije.jne.gob.pe/apidocs/af203abd-b7ad-4309-93b0-d86172a4f4e6.jpg</t>
  </si>
  <si>
    <t>https://mpesije.jne.gob.pe/apidocs/e6ebea0d-f8e3-4938-b5a3-ddaf225901c7.pdf</t>
  </si>
  <si>
    <t>07793641</t>
  </si>
  <si>
    <t>SAMANEZ GONZALES VIGIL, JEENNY CRISTINA</t>
  </si>
  <si>
    <t>SAMANEZ</t>
  </si>
  <si>
    <t>GONZALES VIGIL</t>
  </si>
  <si>
    <t>JEENNY CRISTINA</t>
  </si>
  <si>
    <t>05/12/1952</t>
  </si>
  <si>
    <t>https://mpesije.jne.gob.pe/apidocs/f86a4159-4ef5-4159-99a3-e7ad0f662dea.jpg</t>
  </si>
  <si>
    <t>https://mpesije.jne.gob.pe/apidocs/296afd5c-70dc-4c2a-ae96-4cf6d3530a49.pdf</t>
  </si>
  <si>
    <t>17930730</t>
  </si>
  <si>
    <t>VALQUI CALDERON, DEMETRIO FLAVIO</t>
  </si>
  <si>
    <t>CALDERON</t>
  </si>
  <si>
    <t>DEMETRIO FLAVIO</t>
  </si>
  <si>
    <t>22/12/1955</t>
  </si>
  <si>
    <t>https://mpesije.jne.gob.pe/apidocs/ab981458-cca9-4216-891a-c01371fa4609.jpg</t>
  </si>
  <si>
    <t>https://mpesije.jne.gob.pe/apidocs/815d153b-346a-47e2-8e3c-0eac0e1a58e3.pdf</t>
  </si>
  <si>
    <t>42188288</t>
  </si>
  <si>
    <t>YATACO TORREALVA, JOSE RICARDO</t>
  </si>
  <si>
    <t>YATACO</t>
  </si>
  <si>
    <t>TORREALVA</t>
  </si>
  <si>
    <t>JOSE RICARDO</t>
  </si>
  <si>
    <t>06/04/1982</t>
  </si>
  <si>
    <t>https://mpesije.jne.gob.pe/apidocs/b4199bc6-2a02-456e-ba65-3d397f8acb9d.jpg</t>
  </si>
  <si>
    <t>https://mpesije.jne.gob.pe/apidocs/784d9274-98ac-405b-84a3-ff7786b655ff.pdf</t>
  </si>
  <si>
    <t>PARTIDO DEL BUEN GOBIERNO</t>
  </si>
  <si>
    <t>43478989</t>
  </si>
  <si>
    <t>ALAYZA MACCERA, ROSSANA HERMINIA</t>
  </si>
  <si>
    <t>ALAYZA</t>
  </si>
  <si>
    <t>MACCERA</t>
  </si>
  <si>
    <t>ROSSANA HERMINIA</t>
  </si>
  <si>
    <t>16/03/1986</t>
  </si>
  <si>
    <t>https://mpesije.jne.gob.pe/apidocs/c0aa7fd0-a9f9-4350-925f-0182ae996c3f.jpg</t>
  </si>
  <si>
    <t>https://mpesije.jne.gob.pe/apidocs/c96cec4d-1e58-481c-b421-0f38cb368efe.pdf</t>
  </si>
  <si>
    <t>41356710</t>
  </si>
  <si>
    <t>BENITEZ BARRIONUEVO, JESSICA</t>
  </si>
  <si>
    <t>BENITEZ</t>
  </si>
  <si>
    <t>BARRIONUEVO</t>
  </si>
  <si>
    <t>JESSICA</t>
  </si>
  <si>
    <t>28/11/1981</t>
  </si>
  <si>
    <t>https://mpesije.jne.gob.pe/apidocs/79cec618-7fb8-406a-bb30-481e575dd8aa.jpg</t>
  </si>
  <si>
    <t>https://mpesije.jne.gob.pe/apidocs/8b00771a-f8e6-4ccd-8a35-81365583e9fa.pdf</t>
  </si>
  <si>
    <t>16629849</t>
  </si>
  <si>
    <t>CASTREJON FERNANDEZ, SEGUNDO JUAN</t>
  </si>
  <si>
    <t>CASTREJON</t>
  </si>
  <si>
    <t>FERNANDEZ</t>
  </si>
  <si>
    <t>SEGUNDO JUAN</t>
  </si>
  <si>
    <t>28/08/1971</t>
  </si>
  <si>
    <t>https://mpesije.jne.gob.pe/apidocs/31d49098-516e-4c03-8a17-a7b02572d1c1.jpg</t>
  </si>
  <si>
    <t>https://mpesije.jne.gob.pe/apidocs/1a054092-049b-4abe-8f27-266acf357dbe.pdf</t>
  </si>
  <si>
    <t>10277219</t>
  </si>
  <si>
    <t>DUARTE PATIÑO DE PEZET, CARMEN GEORGINA</t>
  </si>
  <si>
    <t>DUARTE</t>
  </si>
  <si>
    <t>PATIÑO DE PEZET</t>
  </si>
  <si>
    <t>CARMEN GEORGINA</t>
  </si>
  <si>
    <t>06/05/1957</t>
  </si>
  <si>
    <t>https://mpesije.jne.gob.pe/apidocs/96e1f352-3fca-4573-8959-94b731cb2082.jpg</t>
  </si>
  <si>
    <t>https://mpesije.jne.gob.pe/apidocs/e7628ce5-1d58-4b2c-91e9-f8fd0edf0a90.pdf</t>
  </si>
  <si>
    <t>31038213</t>
  </si>
  <si>
    <t>FERNANDEZ DE LA TORRE, HILDA JUDIT</t>
  </si>
  <si>
    <t>DE LA TORRE</t>
  </si>
  <si>
    <t>HILDA JUDIT</t>
  </si>
  <si>
    <t>04/08/1973</t>
  </si>
  <si>
    <t>APURIMAC</t>
  </si>
  <si>
    <t>AYMARAES</t>
  </si>
  <si>
    <t>CHALHUANCA</t>
  </si>
  <si>
    <t>https://mpesije.jne.gob.pe/apidocs/4e96cee3-276f-4dd5-87fb-be716ede1954.jpg</t>
  </si>
  <si>
    <t>https://mpesije.jne.gob.pe/apidocs/2db4aed5-9530-48d1-9972-08a4d19eb45c.pdf</t>
  </si>
  <si>
    <t>08573694</t>
  </si>
  <si>
    <t>GARCIA HUBY, FERNANDO ALBERTO</t>
  </si>
  <si>
    <t>HUBY</t>
  </si>
  <si>
    <t>FERNANDO ALBERTO</t>
  </si>
  <si>
    <t>12/03/1961</t>
  </si>
  <si>
    <t>https://mpesije.jne.gob.pe/apidocs/a03eee72-dcb6-4ae2-9b09-f203c0289b9c.jpg</t>
  </si>
  <si>
    <t>https://mpesije.jne.gob.pe/apidocs/05b150e1-09be-42fd-b8e6-11e2ee76ad58.pdf</t>
  </si>
  <si>
    <t>29715400</t>
  </si>
  <si>
    <t>GONZALES POLAR, EDGAR DEMBER</t>
  </si>
  <si>
    <t>POLAR</t>
  </si>
  <si>
    <t>EDGAR DEMBER</t>
  </si>
  <si>
    <t>06/09/1963</t>
  </si>
  <si>
    <t>https://mpesije.jne.gob.pe/apidocs/f17364a8-2519-4d38-8f99-bd6c610c1ae7.jpg</t>
  </si>
  <si>
    <t>https://mpesije.jne.gob.pe/apidocs/455b153e-0c98-4a98-b0a0-d366e8524f3e.pdf</t>
  </si>
  <si>
    <t>29311981</t>
  </si>
  <si>
    <t>HIRACHE PIZARRO, GLORIA CHARITO</t>
  </si>
  <si>
    <t>HIRACHE</t>
  </si>
  <si>
    <t>PIZARRO</t>
  </si>
  <si>
    <t>GLORIA CHARITO</t>
  </si>
  <si>
    <t>02/01/1967</t>
  </si>
  <si>
    <t>CONDESUYOS</t>
  </si>
  <si>
    <t>CHICHAS</t>
  </si>
  <si>
    <t>https://mpesije.jne.gob.pe/apidocs/b0b0414c-e256-403d-a125-f0a5634e8d31.jpg</t>
  </si>
  <si>
    <t>https://mpesije.jne.gob.pe/apidocs/62a21092-cc55-4650-bc4d-1bdd8881a12c.pdf</t>
  </si>
  <si>
    <t>02819812</t>
  </si>
  <si>
    <t>HUAMAN CORNEJO, MIGUEL FELIX</t>
  </si>
  <si>
    <t>HUAMAN</t>
  </si>
  <si>
    <t>CORNEJO</t>
  </si>
  <si>
    <t>MIGUEL FELIX</t>
  </si>
  <si>
    <t>23/07/1969</t>
  </si>
  <si>
    <t>https://mpesije.jne.gob.pe/apidocs/d2f6880b-86eb-4e5e-a1a3-3474f35e6b0d.jpg</t>
  </si>
  <si>
    <t>https://mpesije.jne.gob.pe/apidocs/41f91401-16a2-4b40-8a73-f982e16b33a1.pdf</t>
  </si>
  <si>
    <t>06296745</t>
  </si>
  <si>
    <t>LLAQUE LINARES, NORA MARIA</t>
  </si>
  <si>
    <t>LLAQUE</t>
  </si>
  <si>
    <t>LINARES</t>
  </si>
  <si>
    <t>NORA MARIA</t>
  </si>
  <si>
    <t>20/05/1955</t>
  </si>
  <si>
    <t>https://mpesije.jne.gob.pe/apidocs/77d2ff11-97f6-4d87-966b-2206b6073627.jpg</t>
  </si>
  <si>
    <t>https://mpesije.jne.gob.pe/apidocs/5c297464-cc25-4d7e-922e-61a9d88943d1.pdf</t>
  </si>
  <si>
    <t>76871362</t>
  </si>
  <si>
    <t>MOLINA SOTO, NATHALY MILAGROS</t>
  </si>
  <si>
    <t>MOLINA</t>
  </si>
  <si>
    <t>SOTO</t>
  </si>
  <si>
    <t>NATHALY MILAGROS</t>
  </si>
  <si>
    <t>15/10/1996</t>
  </si>
  <si>
    <t>https://mpesije.jne.gob.pe/apidocs/85df76a1-f01a-4e24-8b72-a80dadb1ee0a.jpg</t>
  </si>
  <si>
    <t>https://mpesije.jne.gob.pe/apidocs/c709b840-8691-4d90-9c8d-3119423e76d8.pdf</t>
  </si>
  <si>
    <t>45741388</t>
  </si>
  <si>
    <t>PRADO VALLEJOS, LILA MARIANELA</t>
  </si>
  <si>
    <t>PRADO</t>
  </si>
  <si>
    <t>VALLEJOS</t>
  </si>
  <si>
    <t>LILA MARIANELA</t>
  </si>
  <si>
    <t>12/05/1989</t>
  </si>
  <si>
    <t>Contadora pública colegiada</t>
  </si>
  <si>
    <t>https://mpesije.jne.gob.pe/apidocs/63bf2e32-eea7-4bc0-b6d0-2ab775ee4843.jpg</t>
  </si>
  <si>
    <t>https://mpesije.jne.gob.pe/apidocs/c78fdbbe-1fd7-43a2-97e1-58773c00f24e.pdf</t>
  </si>
  <si>
    <t>40067839</t>
  </si>
  <si>
    <t>QUISPE CANDIA, LUIS ELISEO</t>
  </si>
  <si>
    <t>CANDIA</t>
  </si>
  <si>
    <t>LUIS ELISEO</t>
  </si>
  <si>
    <t>18/08/1948</t>
  </si>
  <si>
    <t>QUISPICANCHI</t>
  </si>
  <si>
    <t>QUIQUIJANA</t>
  </si>
  <si>
    <t>https://mpesije.jne.gob.pe/apidocs/93bd1fb5-a0ee-4900-b08b-36a0071a8d02.jpg</t>
  </si>
  <si>
    <t>https://mpesije.jne.gob.pe/apidocs/e993201b-7cef-4a0f-a4eb-73252cf33ffc.pdf</t>
  </si>
  <si>
    <t>43348625</t>
  </si>
  <si>
    <t>RETO OTERO, OSCAR DE JESUS</t>
  </si>
  <si>
    <t>RETO</t>
  </si>
  <si>
    <t>OTERO</t>
  </si>
  <si>
    <t>OSCAR DE JESUS</t>
  </si>
  <si>
    <t>28/04/1962</t>
  </si>
  <si>
    <t>CONTRALMIRANTE VILLAR</t>
  </si>
  <si>
    <t>ZORRITOS</t>
  </si>
  <si>
    <t>https://mpesije.jne.gob.pe/apidocs/bf8f66d1-eceb-4872-b784-b17b419d8f33.jpg</t>
  </si>
  <si>
    <t>https://mpesije.jne.gob.pe/apidocs/88c12820-5e45-42c4-ae0c-a4e70f54e695.pdf</t>
  </si>
  <si>
    <t>RENOVACION POPULAR</t>
  </si>
  <si>
    <t>70747151</t>
  </si>
  <si>
    <t>ARANDA VASQUEZ, CHRISTIAN</t>
  </si>
  <si>
    <t>ARANDA</t>
  </si>
  <si>
    <t>VASQUEZ</t>
  </si>
  <si>
    <t>CHRISTIAN</t>
  </si>
  <si>
    <t>26/06/1991</t>
  </si>
  <si>
    <t>https://mpesije.jne.gob.pe/apidocs/d70f438b-eda1-464c-8674-72cac0bacde7.jpg</t>
  </si>
  <si>
    <t>https://mpesije.jne.gob.pe/apidocs/20a3a65b-0460-4a06-bcee-505c19fcc859.pdf</t>
  </si>
  <si>
    <t>09937296</t>
  </si>
  <si>
    <t>BAELLA MALCA, JOSE ISIDRO</t>
  </si>
  <si>
    <t>BAELLA</t>
  </si>
  <si>
    <t>MALCA</t>
  </si>
  <si>
    <t>JOSE ISIDRO</t>
  </si>
  <si>
    <t>11/08/1960</t>
  </si>
  <si>
    <t>https://mpesije.jne.gob.pe/apidocs/40d1c4f0-80ca-4308-9956-39825342cc72.jpg</t>
  </si>
  <si>
    <t>https://mpesije.jne.gob.pe/apidocs/c5435b9e-d8c7-48d7-88f7-17de4e8128a3.pdf</t>
  </si>
  <si>
    <t>46847115</t>
  </si>
  <si>
    <t>BAZAN CALDERON, DIEGO ALONSO FERNANDO</t>
  </si>
  <si>
    <t>BAZAN</t>
  </si>
  <si>
    <t>DIEGO ALONSO FERNANDO</t>
  </si>
  <si>
    <t>12/02/1991</t>
  </si>
  <si>
    <t>LAREDO</t>
  </si>
  <si>
    <t>https://mpesije.jne.gob.pe/apidocs/bff26ae0-3fe2-4ed8-9782-3b6450bdd88f.jpg</t>
  </si>
  <si>
    <t>https://mpesije.jne.gob.pe/apidocs/3aef188a-2b78-47e9-954a-7ce011e081a1.pdf</t>
  </si>
  <si>
    <t>07974594</t>
  </si>
  <si>
    <t>CHANG APUY, FELIX SEE HUNG</t>
  </si>
  <si>
    <t>CHANG</t>
  </si>
  <si>
    <t>APUY</t>
  </si>
  <si>
    <t>FELIX SEE HUNG</t>
  </si>
  <si>
    <t>10/11/1970</t>
  </si>
  <si>
    <t>ESTADOS UNIDOS DE AMERICA</t>
  </si>
  <si>
    <t>HONOLULU</t>
  </si>
  <si>
    <t>https://mpesije.jne.gob.pe/apidocs/eb0f38dd-1396-4901-94e7-b32e9c61a978.jpg</t>
  </si>
  <si>
    <t>https://mpesije.jne.gob.pe/apidocs/811824b7-1dc0-4038-8ec9-6bc810d66b63.pdf</t>
  </si>
  <si>
    <t>07744156</t>
  </si>
  <si>
    <t>CIPRIANI THORNE, JAVIER JOSE MARIA</t>
  </si>
  <si>
    <t>CIPRIANI</t>
  </si>
  <si>
    <t>THORNE</t>
  </si>
  <si>
    <t>JAVIER JOSE MARIA</t>
  </si>
  <si>
    <t>12/10/1955</t>
  </si>
  <si>
    <t>https://mpesije.jne.gob.pe/apidocs/5c003520-8824-4be8-958c-b1df3c8f9a6b.jpg</t>
  </si>
  <si>
    <t>https://mpesije.jne.gob.pe/apidocs/50847803-d4db-4c55-83cf-c259cb9e73f7.pdf</t>
  </si>
  <si>
    <t>43401219</t>
  </si>
  <si>
    <t>DE PAZ LANCHO, LEO MIGUEL</t>
  </si>
  <si>
    <t>DE PAZ</t>
  </si>
  <si>
    <t>LANCHO</t>
  </si>
  <si>
    <t>LEO MIGUEL</t>
  </si>
  <si>
    <t>01/03/1985</t>
  </si>
  <si>
    <t>SAN LUIS</t>
  </si>
  <si>
    <t>https://mpesije.jne.gob.pe/apidocs/3c15f97e-30d2-4d67-9170-3e68af9281ce.jpg</t>
  </si>
  <si>
    <t>https://mpesije.jne.gob.pe/apidocs/c03536e0-392f-478d-9dfc-ef19c457f090.pdf</t>
  </si>
  <si>
    <t>46548697</t>
  </si>
  <si>
    <t>KRKLEC TORRES, FRANK</t>
  </si>
  <si>
    <t>KRKLEC</t>
  </si>
  <si>
    <t>FRANK</t>
  </si>
  <si>
    <t>12/07/1990</t>
  </si>
  <si>
    <t>https://mpesije.jne.gob.pe/apidocs/45d1c562-f232-4b64-bc2c-6c8c0f0ba33a.jpg</t>
  </si>
  <si>
    <t>https://mpesije.jne.gob.pe/apidocs/8bcee026-27d0-4f75-a598-489ac1865236.pdf</t>
  </si>
  <si>
    <t>45363882</t>
  </si>
  <si>
    <t>MARTINEZ PAITAN, PAOLA ISABEL</t>
  </si>
  <si>
    <t>PAITAN</t>
  </si>
  <si>
    <t>PAOLA ISABEL</t>
  </si>
  <si>
    <t>23/03/1988</t>
  </si>
  <si>
    <t>https://mpesije.jne.gob.pe/apidocs/cb2c329e-da2f-4c05-8cbe-86dc48f97529.jpg</t>
  </si>
  <si>
    <t>https://mpesije.jne.gob.pe/apidocs/da6774e7-e804-4f18-9833-92a96dd8327c.pdf</t>
  </si>
  <si>
    <t>10275564</t>
  </si>
  <si>
    <t>ROCHA GALLEGOS, ROXANA MARIA</t>
  </si>
  <si>
    <t>ROCHA</t>
  </si>
  <si>
    <t>GALLEGOS</t>
  </si>
  <si>
    <t>ROXANA MARIA</t>
  </si>
  <si>
    <t>30/11/1964</t>
  </si>
  <si>
    <t>https://mpesije.jne.gob.pe/apidocs/86b38aa1-2f58-4a5f-b0f9-4a7d8368659b.jpg</t>
  </si>
  <si>
    <t>https://mpesije.jne.gob.pe/apidocs/2694f248-1961-4fba-ad56-4e1ec8c7036d.pdf</t>
  </si>
  <si>
    <t>41010370</t>
  </si>
  <si>
    <t>SEGURA FIGUEROA, GUSTAVO ALEXANDER</t>
  </si>
  <si>
    <t>SEGURA</t>
  </si>
  <si>
    <t>FIGUEROA</t>
  </si>
  <si>
    <t>GUSTAVO ALEXANDER</t>
  </si>
  <si>
    <t>26/02/1970</t>
  </si>
  <si>
    <t>https://mpesije.jne.gob.pe/apidocs/e1aea3a3-5ab0-43e8-b91b-052215702d28.jpg</t>
  </si>
  <si>
    <t>https://mpesije.jne.gob.pe/apidocs/8bab1060-4b59-4554-8594-417e77642abc.pdf</t>
  </si>
  <si>
    <t>08878867</t>
  </si>
  <si>
    <t>YALTA SOTELO, CARLOS ALBERTO</t>
  </si>
  <si>
    <t>YALTA</t>
  </si>
  <si>
    <t>SOTELO</t>
  </si>
  <si>
    <t>10/10/1970</t>
  </si>
  <si>
    <t>https://mpesije.jne.gob.pe/apidocs/1f3cf0a8-3e7e-4509-9b05-821faca27afa.jpg</t>
  </si>
  <si>
    <t>https://mpesije.jne.gob.pe/apidocs/9a572382-76b7-4e3a-b18c-42910b21e3a8.pdf</t>
  </si>
  <si>
    <t>10806296</t>
  </si>
  <si>
    <t>YARROW LUMBRERAS, NORMA MARTINA</t>
  </si>
  <si>
    <t>YARROW</t>
  </si>
  <si>
    <t>LUMBRERAS</t>
  </si>
  <si>
    <t>NORMA MARTINA</t>
  </si>
  <si>
    <t>29/07/1963</t>
  </si>
  <si>
    <t>https://mpesije.jne.gob.pe/apidocs/90b8a957-0b76-41a0-b2a0-62ad6e328327.jpg</t>
  </si>
  <si>
    <t>https://mpesije.jne.gob.pe/apidocs/36ac23b8-d38e-4adc-82dd-7d7482e07946.pdf</t>
  </si>
  <si>
    <t>44689086</t>
  </si>
  <si>
    <t>YONZ NUÑEZ, MADY VERONICA</t>
  </si>
  <si>
    <t>YONZ</t>
  </si>
  <si>
    <t>NUÑEZ</t>
  </si>
  <si>
    <t>MADY VERONICA</t>
  </si>
  <si>
    <t>22/08/1987</t>
  </si>
  <si>
    <t>https://mpesije.jne.gob.pe/apidocs/36da1705-188b-41bc-98e4-1c18c05612d5.jpg</t>
  </si>
  <si>
    <t>https://mpesije.jne.gob.pe/apidocs/68a4c40f-86ec-4607-ba75-3f4d641885b1.pdf</t>
  </si>
  <si>
    <t>07026029</t>
  </si>
  <si>
    <t>ZEBALLOS APONTE, JORGE ARTURO</t>
  </si>
  <si>
    <t>ZEBALLOS</t>
  </si>
  <si>
    <t>APONTE</t>
  </si>
  <si>
    <t>JORGE ARTURO</t>
  </si>
  <si>
    <t>15/01/1952</t>
  </si>
  <si>
    <t>PERU</t>
  </si>
  <si>
    <t>https://mpesije.jne.gob.pe/apidocs/cce9abf6-a68e-4e2c-b169-6eab12571da6.jpg</t>
  </si>
  <si>
    <t>https://mpesije.jne.gob.pe/apidocs/b23d4e58-4685-4a03-93dc-6b34da6ae9e3.pdf</t>
  </si>
  <si>
    <t>EXTRANJERO</t>
  </si>
  <si>
    <t>Total candidatos</t>
  </si>
  <si>
    <t>Mujeres</t>
  </si>
  <si>
    <t>Hombres</t>
  </si>
  <si>
    <t>Edad promedio</t>
  </si>
  <si>
    <t>Edad mediana</t>
  </si>
  <si>
    <t>Edad mínima</t>
  </si>
  <si>
    <t>Edad máxima</t>
  </si>
  <si>
    <t>COUNTA of DNI_CANDIDATO</t>
  </si>
  <si>
    <t>PARIDAD</t>
  </si>
  <si>
    <t>Grand Total</t>
  </si>
  <si>
    <t>% mujeres</t>
  </si>
  <si>
    <t>% hombres</t>
  </si>
  <si>
    <t>AVERAGE of EDAD</t>
  </si>
  <si>
    <t>MIN of EDAD</t>
  </si>
  <si>
    <t>MAX of EDAD</t>
  </si>
  <si>
    <t>TIENE_EXPERIENCIA_LABORAL</t>
  </si>
  <si>
    <t>CENTRO_TRABAJO</t>
  </si>
  <si>
    <t>PROFESION_OCUPACION</t>
  </si>
  <si>
    <t>RUC</t>
  </si>
  <si>
    <t>DIRECCION</t>
  </si>
  <si>
    <t>AÑO_DESDE</t>
  </si>
  <si>
    <t>AÑO_HASTA</t>
  </si>
  <si>
    <t>PAIS</t>
  </si>
  <si>
    <t>DEPARTAMENTO</t>
  </si>
  <si>
    <t>PROVINCIA</t>
  </si>
  <si>
    <t>DISTRITO</t>
  </si>
  <si>
    <t>INFORMACION_ADICIONAL</t>
  </si>
  <si>
    <t>TRABAJO_CONGRESO</t>
  </si>
  <si>
    <t>SI</t>
  </si>
  <si>
    <t>Inversiones Plus EIRL</t>
  </si>
  <si>
    <t>Asesora Gerencial Externa</t>
  </si>
  <si>
    <t>20498689877</t>
  </si>
  <si>
    <t>MZA. F LOTE. 13 DPTO. 102 URB. LA ESPERANZA (COSTADO COLEGIO ESTELA MARIS) AREQUIPA - AREQUIPA - JOS</t>
  </si>
  <si>
    <t>2018</t>
  </si>
  <si>
    <t>2022</t>
  </si>
  <si>
    <t>JOSE LUIS BUSTAMANTE Y RIVERO</t>
  </si>
  <si>
    <t>Gobierno Regional de Arequipa</t>
  </si>
  <si>
    <t>Consejera Regional de Arequipa</t>
  </si>
  <si>
    <t>20498390570</t>
  </si>
  <si>
    <t>Calle Bolívar N° 206 Cercado</t>
  </si>
  <si>
    <t>2023</t>
  </si>
  <si>
    <t>2025</t>
  </si>
  <si>
    <t>Servicios Falcons EIRL</t>
  </si>
  <si>
    <t>Gerente</t>
  </si>
  <si>
    <t>20602115349</t>
  </si>
  <si>
    <t>Av. Ramón Castilla N° 406</t>
  </si>
  <si>
    <t>HUAMANGA</t>
  </si>
  <si>
    <t>SAN JUAN BAUTISTA</t>
  </si>
  <si>
    <t>Sigo laborando y registrado en la planilla de la institución hasta la actualidad en Servicios Falcons EIRL</t>
  </si>
  <si>
    <t>División de Investigaciones de Alta Complejidad (DIVIAC)</t>
  </si>
  <si>
    <t>Jefe de División</t>
  </si>
  <si>
    <t>Av. Pedro Venturo Nro 403 - Urb Higuereta</t>
  </si>
  <si>
    <t>2024</t>
  </si>
  <si>
    <t>SANTIAGO DE SURCO</t>
  </si>
  <si>
    <t>Cargo desempeñado desde el 31 Oct 2023 hasta el 13 Abr 2024, dependiente de la DIRNIC PNP</t>
  </si>
  <si>
    <t>II MACREPOL Lambayeque</t>
  </si>
  <si>
    <t>Jefe de la Región Policial Lambayeque</t>
  </si>
  <si>
    <t>Av. José Balta - Complejo Policial 07 de Agosto</t>
  </si>
  <si>
    <t>2021</t>
  </si>
  <si>
    <t>Mayo 2021 a Feb 2022</t>
  </si>
  <si>
    <t>Dirección de Medioambiente - PNP</t>
  </si>
  <si>
    <t>Jefe de Secretaría</t>
  </si>
  <si>
    <t>Calle Rivero de Ustaris 251</t>
  </si>
  <si>
    <t>Cargo desempeñado desde febrero del 2022 a Julio del 2022, primero como Jefe de la División contra la Tala Ilegal y Protección de Recursos Naturales de la DIRMEAMB</t>
  </si>
  <si>
    <t>Observatorio del Delito y la Criminalidad - DIRNIC PNP</t>
  </si>
  <si>
    <t>Jefe de Unidad</t>
  </si>
  <si>
    <t>Plaza 30 de Agosto S/N, Urb. Corpac - MININTER</t>
  </si>
  <si>
    <t>SAN ISIDRO</t>
  </si>
  <si>
    <t>Prestó servicios del 15 Abr al 31 Dic 2024</t>
  </si>
  <si>
    <t>Dirección General de Inteligencia - MININTER</t>
  </si>
  <si>
    <t>Jefe de División de Búsqueda</t>
  </si>
  <si>
    <t>Casa de Seguridad (dir. reservada)</t>
  </si>
  <si>
    <t>Con RM Nro. 903-2022 del 18JUL2022, fue designado como coordinador general del Equipo Especial de Apoyo al Equipo Especial de Fiscales Contra la Corrupción en el Poder - EFICCOP.</t>
  </si>
  <si>
    <t>Universidad Andina del Cusco</t>
  </si>
  <si>
    <t>Docente</t>
  </si>
  <si>
    <t>20177395227</t>
  </si>
  <si>
    <t>Urb. Ingeniería Larapa Grande A-7, San Jerónimo</t>
  </si>
  <si>
    <t>SAN JERONIMO</t>
  </si>
  <si>
    <t>Docente en la escuela profesional de economía</t>
  </si>
  <si>
    <t>Ministerio de Economía y Finanzas</t>
  </si>
  <si>
    <t>Consultor / Inversión privada</t>
  </si>
  <si>
    <t>20131370645</t>
  </si>
  <si>
    <t>Jr. Lampa 594</t>
  </si>
  <si>
    <t>Temas: Políticas de Promoción de la Inversión Privada.</t>
  </si>
  <si>
    <t>Consultoría Independiente</t>
  </si>
  <si>
    <t>Av Grau 4-5 Apu Zarzuela Baja</t>
  </si>
  <si>
    <t>En los municipios distritales de OMACHA, CHALLABAMBA y VILLCABAMBA</t>
  </si>
  <si>
    <t>Apu Millenium SAC</t>
  </si>
  <si>
    <t>20602298214</t>
  </si>
  <si>
    <t>Av. La Cultura N° 1008</t>
  </si>
  <si>
    <t>2019</t>
  </si>
  <si>
    <t>OMACHA</t>
  </si>
  <si>
    <t>Elaboración de material educativo.</t>
  </si>
  <si>
    <t>Municipalidad Distrital de San Sebastián</t>
  </si>
  <si>
    <t>Consultor - Gestión Pública</t>
  </si>
  <si>
    <t>20159308961</t>
  </si>
  <si>
    <t>Plaza de Armas San Sebastián S/N</t>
  </si>
  <si>
    <t>SAN SEBASTIAN</t>
  </si>
  <si>
    <t>Especialista en Gobernanza e infraestructura</t>
  </si>
  <si>
    <t>Asociación Pro Derechos Humanos</t>
  </si>
  <si>
    <t>Socióloga</t>
  </si>
  <si>
    <t>Calle Pachacutec 980</t>
  </si>
  <si>
    <t>Centro de la Mujer Peruana Flora Tristán</t>
  </si>
  <si>
    <t>Consultora Socióloga</t>
  </si>
  <si>
    <t>Parque Hernán Velarde N° 42 Lima</t>
  </si>
  <si>
    <t>Servicios Educativos El Agustino SEA</t>
  </si>
  <si>
    <t>Sociologa</t>
  </si>
  <si>
    <t>Jr Renan Elias Olivera 249</t>
  </si>
  <si>
    <t>EL AGUSTINO</t>
  </si>
  <si>
    <t>Centro de Estudios y Promoción del Desarrollo Ciudadano - DESCO Ciudadano</t>
  </si>
  <si>
    <t>Consultora Sociologa</t>
  </si>
  <si>
    <t>Mz G Lt 10 Sector 2, Grupo 5, Villa el Salvador</t>
  </si>
  <si>
    <t>Fundación Friedrich Egert</t>
  </si>
  <si>
    <t>Av Camino Real No 492</t>
  </si>
  <si>
    <t>Tectopia Perú</t>
  </si>
  <si>
    <t>AI Developer</t>
  </si>
  <si>
    <t>Calle Berlin 438</t>
  </si>
  <si>
    <t>Divelia SAC</t>
  </si>
  <si>
    <t>CEO &amp; Digital Transformator</t>
  </si>
  <si>
    <t>20607140686</t>
  </si>
  <si>
    <t>2020</t>
  </si>
  <si>
    <t>INICTEL UNI</t>
  </si>
  <si>
    <t>Docente Blockchain</t>
  </si>
  <si>
    <t>20514761826</t>
  </si>
  <si>
    <t>Av San Luis 1771</t>
  </si>
  <si>
    <t>Servicios por honorarios</t>
  </si>
  <si>
    <t>Marina de Guerra del Perú</t>
  </si>
  <si>
    <t>Programador de Parámetros Meteorológicos</t>
  </si>
  <si>
    <t>20153408191</t>
  </si>
  <si>
    <t>Calle Roca 118</t>
  </si>
  <si>
    <t>Prestación de servicios</t>
  </si>
  <si>
    <t>Fdex Asesores SAC</t>
  </si>
  <si>
    <t>CEO &amp; Full Stack Developer</t>
  </si>
  <si>
    <t>20603216700</t>
  </si>
  <si>
    <t>Blvd. Plaza Mantaro 102</t>
  </si>
  <si>
    <t>SAN MIGUEL</t>
  </si>
  <si>
    <t>Banco BBVA</t>
  </si>
  <si>
    <t>Gerente de Oficina</t>
  </si>
  <si>
    <t>20100130204</t>
  </si>
  <si>
    <t>Av. Republica de Panamá 3055</t>
  </si>
  <si>
    <t>2016</t>
  </si>
  <si>
    <t>Autoridad de Transporte Urbano (ATU)</t>
  </si>
  <si>
    <t>Especialista económico Financiero</t>
  </si>
  <si>
    <t>20604932964</t>
  </si>
  <si>
    <t>Calle Jose Galvez N° 550</t>
  </si>
  <si>
    <t>Locador</t>
  </si>
  <si>
    <t>Municipalidad Metropolitana de Lima</t>
  </si>
  <si>
    <t>Especialista Económico Financiero</t>
  </si>
  <si>
    <t>20131380951</t>
  </si>
  <si>
    <t>Rufino Torrico 1778- Cercado de Lima</t>
  </si>
  <si>
    <t>Locador.</t>
  </si>
  <si>
    <t>Municipalidad Distrital De San Marcos</t>
  </si>
  <si>
    <t>Gerente de Administración</t>
  </si>
  <si>
    <t>20166544000</t>
  </si>
  <si>
    <t>jiron progreso n° 332</t>
  </si>
  <si>
    <t>HUARI</t>
  </si>
  <si>
    <t>SAN MARCOS</t>
  </si>
  <si>
    <t>Centro de Conciliación "Conciliación del Centro"</t>
  </si>
  <si>
    <t>Conciliador</t>
  </si>
  <si>
    <t>Jr. Julio C. Tello N° 766</t>
  </si>
  <si>
    <t>EL TAMBO</t>
  </si>
  <si>
    <t>Director y conciliador con especialización en familia.</t>
  </si>
  <si>
    <t>Inmobiliaria y Constructora Techo Seguro Perú EIRL</t>
  </si>
  <si>
    <t>Gerente - Titular</t>
  </si>
  <si>
    <t>20610120301</t>
  </si>
  <si>
    <t>Jr. Julio C. Tello 766</t>
  </si>
  <si>
    <t>Radiodifusora Huancayo SAC</t>
  </si>
  <si>
    <t>Director - conductor</t>
  </si>
  <si>
    <t>20112257994</t>
  </si>
  <si>
    <t>Calle Real N° 577 Of. 403</t>
  </si>
  <si>
    <t>1998</t>
  </si>
  <si>
    <t>Director y conductor del programa informativo Huancayo Noticias.</t>
  </si>
  <si>
    <t>Instituto de Investigación Peruana de Política Social y Derecho Constitucional</t>
  </si>
  <si>
    <t>Presidente- Fundador</t>
  </si>
  <si>
    <t>20610233008</t>
  </si>
  <si>
    <t>Trabajador independiente</t>
  </si>
  <si>
    <t>Comerciante</t>
  </si>
  <si>
    <t>Interior del mercado Pedro Vilcapoza</t>
  </si>
  <si>
    <t>2014</t>
  </si>
  <si>
    <t>SAN ROMAN</t>
  </si>
  <si>
    <t>JULIACA</t>
  </si>
  <si>
    <t>Puesto de venta N° 35 pabellón 3 de la sección carnes.</t>
  </si>
  <si>
    <t>CONGRESO DE LA REPUBLICA</t>
  </si>
  <si>
    <t>ESPECIALISTA PARLAMENTARIO</t>
  </si>
  <si>
    <t>20161749126</t>
  </si>
  <si>
    <t>PLAZA BOLIVAR - AV. ABANCAY S/N</t>
  </si>
  <si>
    <t>2004</t>
  </si>
  <si>
    <t>* DESDE 2004 HASTA 19-06-2025
*DIRECTOR GENERAL PARLAMENTARIO DEL CONGRESO DE LA REPÚBLICA ( 2023 - 2025)</t>
  </si>
  <si>
    <t>ASESOR PARLAMENTARIO</t>
  </si>
  <si>
    <t>PLAZA BOLÍVAR - AV.ABANCAY S/N</t>
  </si>
  <si>
    <t>*DESDE 20-06-2025 HASTA LA ACTUALIDAD
*ACTUALMENTE DIRECTOR GENERAL PARLAMENTARIO DEL CONGRESO DE LA REPUBLICA</t>
  </si>
  <si>
    <t>CONGRESO DE LA REPÚBLICA</t>
  </si>
  <si>
    <t>ASISTENTE NIVEL SA-2 EN EL DESPACHO DEL EX CONGRESISTA LUIS GALARRETA</t>
  </si>
  <si>
    <t>Jr. Azángaro 468</t>
  </si>
  <si>
    <t>2011</t>
  </si>
  <si>
    <t>2013</t>
  </si>
  <si>
    <t>desde el 28 de julio de 2011 hasta el 12 de agosto de 2013 en el cargo de Asistente Nivel SA-2 en el despacho del ex Congresista Luis Galarreta</t>
  </si>
  <si>
    <t>2009</t>
  </si>
  <si>
    <t>desde el 3 de agosto de 2009 hasta el 26 de julio de 2011, en el cargo de asistente nivel SA-2, en el Despacho del ex Congresista Luis Fernando Galarreta Velarde.</t>
  </si>
  <si>
    <t>ASISTENTE NIVEL SA-2 y TÉCNICO NIVEL ST-6 EN EL DESPACHO DEL EX CONGRESISTA LUIS GALARRETA</t>
  </si>
  <si>
    <t>desde el 28 de agosto de 2013 en el cargo de Asistente Nivel SA-2. A partir del 1 de julio de 2014 en el cargo de técnico nivel st-6 en el Despacho del ex Congresista Luis Galarreta, cesando el 26 de julio de 2016</t>
  </si>
  <si>
    <t>TECNICO NIVEL ST-6 y ASESOR NIVEL SP-9 EN EL DESPACHO DEL EX CONGRESISTA LUIS GALARRETA</t>
  </si>
  <si>
    <t>desde el 27 de julio de 2016 en el cargo de técnico nivel st-6 en el despacho del ex Congresista Luis Galarreta. A partir del 6 de octubre de 2016 en el cargo de asesor nivel sp-9 en el despacho del ex Congresista Luis Galarreta, cesando el 6 de agosto de 2018.
desde el 29 de agosto de 2018 hasta el 15 de marzo de 2020 en el cargo de asesor nivel sp-9 en el despacho del ex congresista Luis Galarreta.</t>
  </si>
  <si>
    <t>CONGRESISTA</t>
  </si>
  <si>
    <t>periodo 2021-2026</t>
  </si>
  <si>
    <t>Carofi Bienes Raíces EIRL</t>
  </si>
  <si>
    <t>Apoyo Administrativo</t>
  </si>
  <si>
    <t>20504749097</t>
  </si>
  <si>
    <t>Calle López de Zúñiga 527</t>
  </si>
  <si>
    <t>Meses de setiembre a diciembre de 2024.</t>
  </si>
  <si>
    <t>Trece SAC</t>
  </si>
  <si>
    <t>Calle Luis Felipe del Solar N 205</t>
  </si>
  <si>
    <t>2015</t>
  </si>
  <si>
    <t>Congreso de la República</t>
  </si>
  <si>
    <t>Congresista de la República</t>
  </si>
  <si>
    <t>Plaza Bolivar con AV. Abancay S/N</t>
  </si>
  <si>
    <t>Notaría Villavicencio</t>
  </si>
  <si>
    <t>Asistente Legal</t>
  </si>
  <si>
    <t>Av. Primero de Mayo N 160</t>
  </si>
  <si>
    <t>CARMEN DE LA LEGUA-REYNOSO</t>
  </si>
  <si>
    <t>Carmen Rodriguez Figueroa</t>
  </si>
  <si>
    <t>10159816261</t>
  </si>
  <si>
    <t>Calle López de Zúñiga # 527</t>
  </si>
  <si>
    <t>Se trabajo en los meses de febrero a marzo y de mayo a agosto de 2024</t>
  </si>
  <si>
    <t>OTASS</t>
  </si>
  <si>
    <t>APOYO ADM. EN GOBIERNO CORPORATIVO</t>
  </si>
  <si>
    <t>CALLE GERMÁN SCHEREIBER GULSMANCO 210</t>
  </si>
  <si>
    <t>JIRÓN HUALLAGA 358</t>
  </si>
  <si>
    <t>TÉCNICO</t>
  </si>
  <si>
    <t>2017</t>
  </si>
  <si>
    <t>EPS SEDA HUÁNUCO</t>
  </si>
  <si>
    <t>ASESORA</t>
  </si>
  <si>
    <t>JIRÓN DAMASO BEARÚN 545</t>
  </si>
  <si>
    <t>Congresista</t>
  </si>
  <si>
    <t>AV. ABANCAY S/N PLAZA BOLIVAR</t>
  </si>
  <si>
    <t>Fui elegida congresista por el periodo parlamentario 2016-2021; sin embargo, por el cierre inconstitucional del Parlamento el 30 de setiembre de 2019, mi periodo parlamentario se recortó hasta el 15 de marzo de 2020.</t>
  </si>
  <si>
    <t>FUNCIONARIA</t>
  </si>
  <si>
    <t>JIRON HUALLAGA 330</t>
  </si>
  <si>
    <t>JEFE DEL FONDO EDITORIAL</t>
  </si>
  <si>
    <t>JEFE DE LA OFICINA DE PARTICIPACIÓN CIUDADANA</t>
  </si>
  <si>
    <t>ASESORA DE LA COMISIÓN DE FISCALIZACIÓN Y CONTRALORIA</t>
  </si>
  <si>
    <t>ASESORA DE LA COMISIÓN DE INTELIGENCIA</t>
  </si>
  <si>
    <t>Abogado independiente</t>
  </si>
  <si>
    <t>Abogado</t>
  </si>
  <si>
    <t>10402249949</t>
  </si>
  <si>
    <t>Lima</t>
  </si>
  <si>
    <t>Labore en el sector público contratado con Orden de Servicio</t>
  </si>
  <si>
    <t>Asesor</t>
  </si>
  <si>
    <t>Pasaje Simón Rodriguez 615 - Cercado de Lima - Lima - Lima</t>
  </si>
  <si>
    <t>Universidad de San Martín de Porres</t>
  </si>
  <si>
    <t>Profesor</t>
  </si>
  <si>
    <t>20138149022</t>
  </si>
  <si>
    <t>Alameda del Corregidor 1865 - La Molina - Lima - Lima</t>
  </si>
  <si>
    <t>LA MOLINA</t>
  </si>
  <si>
    <t>Profesional</t>
  </si>
  <si>
    <t>Pasaje Simón Rodriguez 615</t>
  </si>
  <si>
    <t>Profesional en el Servicio Parlamentario</t>
  </si>
  <si>
    <t>Hasta la actualidad</t>
  </si>
  <si>
    <t>TECNICO</t>
  </si>
  <si>
    <t>JR. HUALLAGA 358</t>
  </si>
  <si>
    <t>CONGRESISTA DE LA REPUBLICA</t>
  </si>
  <si>
    <t>CONGRESISTA HASTA LA ACTUALIDAD.
ELEGIDO CONGRESISTA POR EL PERIODO 2021- 2026.</t>
  </si>
  <si>
    <t>AUXILIAR</t>
  </si>
  <si>
    <t>TELEJAC SAC.</t>
  </si>
  <si>
    <t>COMUNICADOR</t>
  </si>
  <si>
    <t>20612763519</t>
  </si>
  <si>
    <t>SAN JOSÉ 759 OF. 049</t>
  </si>
  <si>
    <t>HASTA LA ACTUALIDAD</t>
  </si>
  <si>
    <t>ROSA DEL CARMEN TOCTO MONTALVO</t>
  </si>
  <si>
    <t>10164919728</t>
  </si>
  <si>
    <t>NEGOCIACIONES TAFUR E.I.R.L.</t>
  </si>
  <si>
    <t>Asesor legal</t>
  </si>
  <si>
    <t>20479749176</t>
  </si>
  <si>
    <t>Jr. Amazonas 101</t>
  </si>
  <si>
    <t>AMAZONAS COFFEE FRIENDS S.A.C.</t>
  </si>
  <si>
    <t>20604498091</t>
  </si>
  <si>
    <t>Av. Chachapoyas 3509 sector san luis</t>
  </si>
  <si>
    <t>UTCUBAMBA</t>
  </si>
  <si>
    <t>BAGUA GRANDE</t>
  </si>
  <si>
    <t>Estudio Contable K'PITAL E.I.R.L.</t>
  </si>
  <si>
    <t>20607364771</t>
  </si>
  <si>
    <t>Jr. Kuelap N.° 131</t>
  </si>
  <si>
    <t>CHACHAPOYAS</t>
  </si>
  <si>
    <t>Hasta la actualidad.</t>
  </si>
  <si>
    <t>Estudio jurídico contable CRECECONT'S E. I. R. L.</t>
  </si>
  <si>
    <t>20610688404</t>
  </si>
  <si>
    <t>Jr. Kuelap N.° 135</t>
  </si>
  <si>
    <t>Especialista</t>
  </si>
  <si>
    <t>Av. Abancay cuadra 2 S/N</t>
  </si>
  <si>
    <t>Especialista del Área de Despacho Parlamentario.</t>
  </si>
  <si>
    <t>Centro de Estudios Constitucionales y Parlamentarios. Actualmente viene ejerciendo funciones.</t>
  </si>
  <si>
    <t>Fondo Editorial del Congreso de la República.</t>
  </si>
  <si>
    <t>Asesor I del Despacho del congresista Arturo Alegría.</t>
  </si>
  <si>
    <t>Asesor II del Despacho del congresista Erwin Tito.</t>
  </si>
  <si>
    <t>MINKAMAR S.A.C</t>
  </si>
  <si>
    <t>ADMINISTRADORA</t>
  </si>
  <si>
    <t>20604844593</t>
  </si>
  <si>
    <t>CALLE ARICA 171 URBANIZACIÓN SURQUILLO</t>
  </si>
  <si>
    <t>MARSALA SAC</t>
  </si>
  <si>
    <t>GESTIÓN DE MARKETING</t>
  </si>
  <si>
    <t>20604652201</t>
  </si>
  <si>
    <t>AV. MIGUEL DASSO 160 INT. 801</t>
  </si>
  <si>
    <t>HASTA LA ACTUALIDAD.</t>
  </si>
  <si>
    <t>AV. HUALLAGA 358</t>
  </si>
  <si>
    <t>2006</t>
  </si>
  <si>
    <t>DIMOL S.A.C</t>
  </si>
  <si>
    <t>GERENTE GENERAL</t>
  </si>
  <si>
    <t>20605048057</t>
  </si>
  <si>
    <t>CALLE 2 DE MAYO 701 - URB. SURQUILLO</t>
  </si>
  <si>
    <t>ASESOR DE GRUPO PARLAMENTARIO FP</t>
  </si>
  <si>
    <t>FACULTAD DE DERECHO USMP</t>
  </si>
  <si>
    <t>DOCENTE</t>
  </si>
  <si>
    <t>ALAMEDA DEL CORREGIDOR 1865 - LA MOLINA</t>
  </si>
  <si>
    <t>ASESOR</t>
  </si>
  <si>
    <t>AV. ABANCAY S/N - PLAZA BOLIVAR</t>
  </si>
  <si>
    <t>JEFE DE DEPARTAMENTO</t>
  </si>
  <si>
    <t>AVIANCA PERÚ S.A.</t>
  </si>
  <si>
    <t>TRIPULANTE DE CABINA</t>
  </si>
  <si>
    <t>CALLE CORPAC 152, FUNDO BOCANEGRA, CALLAO</t>
  </si>
  <si>
    <t>2010</t>
  </si>
  <si>
    <t>PD PRODUCTORA E.I.R.L.</t>
  </si>
  <si>
    <t>AV. 28 DE JULIO 345, DPTO. 1004C, MIRAFLORES</t>
  </si>
  <si>
    <t>INMOBILIARIA E INVERSIONES RB S.A.C</t>
  </si>
  <si>
    <t>ASESOR LEGAL</t>
  </si>
  <si>
    <t>AV. TOMAS MARSANO N° 1981 DPTO 301</t>
  </si>
  <si>
    <t>SURQUILLO</t>
  </si>
  <si>
    <t>ACTUALMENTE</t>
  </si>
  <si>
    <t>UNIVERSIDAD PRIVADA DE HUANCAYO FRANKLIN ROOSEVELT S.A.C</t>
  </si>
  <si>
    <t>ASESOR EXTERNO</t>
  </si>
  <si>
    <t>AV. GIRÁLDEZ 542</t>
  </si>
  <si>
    <t>AV. 9 DE DICIEMBRE 422</t>
  </si>
  <si>
    <t>ALIEM PERU S.A.C</t>
  </si>
  <si>
    <t>ASESOR COMERCIAL</t>
  </si>
  <si>
    <t>AV. JACARANDA MZ. K LT. 9 -A</t>
  </si>
  <si>
    <t>SERVICIOS GENERALES JACKSON SAC</t>
  </si>
  <si>
    <t>ADMINISTRADOR</t>
  </si>
  <si>
    <t>AV. CIRCUNVALACIÓN 415</t>
  </si>
  <si>
    <t>Botica Mery E. I. R. L.</t>
  </si>
  <si>
    <t>Obstetriz</t>
  </si>
  <si>
    <t>20480791992</t>
  </si>
  <si>
    <t>Av. Chachapoyas 2218</t>
  </si>
  <si>
    <t>2001</t>
  </si>
  <si>
    <t>Congreso de la República del Perú</t>
  </si>
  <si>
    <t>Jr. Huallaga 358</t>
  </si>
  <si>
    <t>CAFÉ DEL MUSEO</t>
  </si>
  <si>
    <t>ASISTENTE</t>
  </si>
  <si>
    <t>20513257610</t>
  </si>
  <si>
    <t>AV. BOLIVAR N°1515</t>
  </si>
  <si>
    <t>AV. ABANCAY S/N</t>
  </si>
  <si>
    <t>Viene desempeñando funciones hasta la actualidad</t>
  </si>
  <si>
    <t>20535603261</t>
  </si>
  <si>
    <t>PARQUE HERNAN VELARDE NRO. 38, SANTA BEATRIZ</t>
  </si>
  <si>
    <t>PQ. PARQUE HERNAN VELARDE NRO. 38</t>
  </si>
  <si>
    <t>EXPERTOS EN ODONTOLOGÍA, IMPLANTOLOGIA Y ORTODONCIA SLP.</t>
  </si>
  <si>
    <t>ODONTÓLOGA</t>
  </si>
  <si>
    <t>CALLE CLARA JANES 9 LOCAL</t>
  </si>
  <si>
    <t>ESPANA</t>
  </si>
  <si>
    <t>RUC EMPRESA B87687422
DIRECCIÓN: LEGANES/ MADRID/ ESPAÑA</t>
  </si>
  <si>
    <t>CENTRO DE ESPECIALIDADES DENTALES Y DE SALUD S.L.</t>
  </si>
  <si>
    <t>AVENIDA REINA SOFIA 14 LOCAL</t>
  </si>
  <si>
    <t>RUC EMPRESA B88324447
DIRECCIÓN: LEGANES / MADRID/ESPAÑA</t>
  </si>
  <si>
    <t>PROGRAMA REGIONAL DE INFRAESTRUCTURA MULTISECTORIAL</t>
  </si>
  <si>
    <t>DIRECTOR EJECUTIVO</t>
  </si>
  <si>
    <t>20182785611</t>
  </si>
  <si>
    <t>AV. CENTENARIO NRO. 4600</t>
  </si>
  <si>
    <t>INICIO 07-2025 HASTA 09-2025</t>
  </si>
  <si>
    <t>MUNICIPALIDAD DISTRITAL DE MANANTAY</t>
  </si>
  <si>
    <t>SUB GERENTE</t>
  </si>
  <si>
    <t>20393356899</t>
  </si>
  <si>
    <t>AV. TUPAC AMARU NRO. 703 URB. NUEVA PUCALLPA</t>
  </si>
  <si>
    <t>MANANTAY</t>
  </si>
  <si>
    <t>INICIO 01-2016 HASTA 04-2016</t>
  </si>
  <si>
    <t>GERENCIA TERRITORIAL DE PURUS</t>
  </si>
  <si>
    <t>GERENTE EJECUTIVO</t>
  </si>
  <si>
    <t>20351710617</t>
  </si>
  <si>
    <t>AV. PURÚS S/N PURÚS</t>
  </si>
  <si>
    <t>PURUS</t>
  </si>
  <si>
    <t>INICIO 06-01-2023 HASTA 14-05-2025</t>
  </si>
  <si>
    <t>SERVICIOS E INVERSIONES VILLAFAED S.A.C.</t>
  </si>
  <si>
    <t>ASESORIA EXTERNA</t>
  </si>
  <si>
    <t>20611392487</t>
  </si>
  <si>
    <t>JR. LIMA N° 1572 A.H. FLORIDA ALTA</t>
  </si>
  <si>
    <t>INICIO 30 DE ABRIL 2025 AL 31 DE DICIEMBRE  , CON POSIBLE RENOVACIÓN</t>
  </si>
  <si>
    <t>DIRECCION REGIONAL SECTORIAL DE COMERCIO EXTERIOR Y TURISMO</t>
  </si>
  <si>
    <t>DIRECTORA REGIONAL</t>
  </si>
  <si>
    <t>20393125498</t>
  </si>
  <si>
    <t>JR. DOS DE MAYO N° 111 - PUCALLPA</t>
  </si>
  <si>
    <t>INICIO 05-06-2016 HASTA 30-05-2018</t>
  </si>
  <si>
    <t>Cámara de Comercio de Lima</t>
  </si>
  <si>
    <t>Coordinadora</t>
  </si>
  <si>
    <t>20101266819</t>
  </si>
  <si>
    <t>Giuseppe Garibaldi 396</t>
  </si>
  <si>
    <t>Av. Abancay s/n</t>
  </si>
  <si>
    <t>laboro hasta la actualidad</t>
  </si>
  <si>
    <t>Regidora</t>
  </si>
  <si>
    <t>Jr. Conde de Superunda 169</t>
  </si>
  <si>
    <t>Gobierno Regional del Callao - MEF</t>
  </si>
  <si>
    <t>Consultor</t>
  </si>
  <si>
    <t>20505703554</t>
  </si>
  <si>
    <t>Av. Elmer Faucett 3970</t>
  </si>
  <si>
    <t>AV. ABANCAY CUADRA 2 S/N</t>
  </si>
  <si>
    <t>ASESOR DE COMISIÓN ORDINARIA</t>
  </si>
  <si>
    <t>AV. ABANCAY S/N CUADRA 2</t>
  </si>
  <si>
    <t>ASESOR DE DESPACHO PARLAMENTARIO  HASTA LA ACTUALIDAD</t>
  </si>
  <si>
    <t>TÉCNICO EN GRUPO PARLAMENTARIO</t>
  </si>
  <si>
    <t>PARQUE HERNAN VELARDE 38</t>
  </si>
  <si>
    <t>ESPECIALISTA EN PROGRAMAS DE FORMACIÓN Y COMUNICACIÓN</t>
  </si>
  <si>
    <t>GRUPO PALMA SAC.</t>
  </si>
  <si>
    <t>GERENTE</t>
  </si>
  <si>
    <t>20445721680</t>
  </si>
  <si>
    <t>MIGUEL GRAU 913</t>
  </si>
  <si>
    <t>2008</t>
  </si>
  <si>
    <t>JAYANCA</t>
  </si>
  <si>
    <t>EMPRESA SIN ACTIVIDAD</t>
  </si>
  <si>
    <t>CONGRESISTA DE LA REPÚBLICA</t>
  </si>
  <si>
    <t>Plaza de la Constitución, Av. Abancay s/n - Lima, Perú</t>
  </si>
  <si>
    <t>SE PRECISA QUE SOLO CUMPLIO FUNCIONES HASTA MARZO DEL 2020, POR DISOLUCIÓN DEL CONGRESO 30/09/2019; CARGO TERCER VICEPRESIDENTE DEL CONGRESO DE LA REPÚBLICA.</t>
  </si>
  <si>
    <t>MUNICIPALIDAD DE SANTA ROSA</t>
  </si>
  <si>
    <t>REGIDOR</t>
  </si>
  <si>
    <t>20162368614</t>
  </si>
  <si>
    <t>CALLE UNIÓN 433</t>
  </si>
  <si>
    <t>COPEMARY SAC</t>
  </si>
  <si>
    <t>20561366579</t>
  </si>
  <si>
    <t>AV. BERTOLOTTO 320</t>
  </si>
  <si>
    <t>EJERCE FUNCIONES HASTA LA ACTUALIDAD</t>
  </si>
  <si>
    <t>BOXES CAR TALLER AUTOBOUTIQUE SAC</t>
  </si>
  <si>
    <t>20602734693</t>
  </si>
  <si>
    <t>LUIS ALBERTO SANCHEZ MZ.E1 L.T08</t>
  </si>
  <si>
    <t>MINISTERIO DE DESARROLLO AGRARIO Y RIEGO</t>
  </si>
  <si>
    <t>ASESORA DE LA ALTA DIRECCION</t>
  </si>
  <si>
    <t>CAHUIDE 805</t>
  </si>
  <si>
    <t>CONGRESO  DE LA REPÙBLICA</t>
  </si>
  <si>
    <t>AV ABANCAY S/N</t>
  </si>
  <si>
    <t>Se precisa que en periodo 2018 al 2019, fue Jefe de la Oficina de Cooperacion Internacional del Congreso de la Republica.
En el periodo Agosto de 2019 a Mayo 2020, fue Jefe de la Oficina del Centro de Estudios Constitucionales  y Parlamentarios del Congreso de Republica.</t>
  </si>
  <si>
    <t>ADMINISTRATIVO</t>
  </si>
  <si>
    <t>PASEO COLON 422</t>
  </si>
  <si>
    <t>01 DE DICIEMBRE AL 31 DE DICIEMBRE DE 2020</t>
  </si>
  <si>
    <t>COORDINADORA</t>
  </si>
  <si>
    <t>AV. PASEO COLON 422</t>
  </si>
  <si>
    <t>ENERO A JULIO 2023</t>
  </si>
  <si>
    <t>TRABAJA EN EL CONGRESO HASTA LA ACTUALIDAD</t>
  </si>
  <si>
    <t>Av. PASEO COLON 422</t>
  </si>
  <si>
    <t>ENERO AL 26 DE JULIO DE 2021.
DESDE 01 DE AGOSTO A DICIEMBRE DE 2021.</t>
  </si>
  <si>
    <t>AV. PASEO COLÓN 422</t>
  </si>
  <si>
    <t>DE ENERO A DICIEMBRE DEL AÑO 2022</t>
  </si>
  <si>
    <t>S3 CONSTRUCTORES Y CONSULTORES E.I.R.L</t>
  </si>
  <si>
    <t>TITULAR GERENTE</t>
  </si>
  <si>
    <t>20610618015</t>
  </si>
  <si>
    <t>JR. TACNA 150</t>
  </si>
  <si>
    <t>VIGENTE</t>
  </si>
  <si>
    <t>INVERSIONES E INMOBILIARIA MONTENEGRO S.A.C</t>
  </si>
  <si>
    <t>REPRESENTANTE LEGAL</t>
  </si>
  <si>
    <t>20567232264</t>
  </si>
  <si>
    <t>JR. TACNA N° 152</t>
  </si>
  <si>
    <t>SCOLLY TRAVEL TOURS &amp; SERVICIOS GENERALES E.I.R.L</t>
  </si>
  <si>
    <t>20619617469</t>
  </si>
  <si>
    <t>CPM INGENIERÍA &amp; CONSTRUCCIÓN S.A.C</t>
  </si>
  <si>
    <t>GERENTE DE ADMINISTRACIÓN Y FINANZAS</t>
  </si>
  <si>
    <t>20528181334</t>
  </si>
  <si>
    <t>JR. TACNA 152</t>
  </si>
  <si>
    <t>CONSORCIO ALAMEDA MONUMENTAL</t>
  </si>
  <si>
    <t>20608121464</t>
  </si>
  <si>
    <t>JR. TACNA 172</t>
  </si>
  <si>
    <t>VIGENTE EN SUNAT , PERO OBRA ENTREGADA Y LIQUIDADA</t>
  </si>
  <si>
    <t>SEGURO SOCIAL DE SALUD - ESSALUD</t>
  </si>
  <si>
    <t>DIRECTOR HOSPITAL SULLANA</t>
  </si>
  <si>
    <t>CALLE SANTA CLARA</t>
  </si>
  <si>
    <t>SULLANA</t>
  </si>
  <si>
    <t>DESDE EL 27/11/2015 HASTA EL 27/02/2026</t>
  </si>
  <si>
    <t>UNIVERSIDAD NACIONAL DE PIURA</t>
  </si>
  <si>
    <t>CAR. CASERIO MIRAFLORES S/N (CAMPUS UNIVERSITARIO)</t>
  </si>
  <si>
    <t>CONGRESO DE LA REPUBLICA DEL PERU</t>
  </si>
  <si>
    <t>AV. ABANCAY 251, LIMA</t>
  </si>
  <si>
    <t>ACTUALMENTE CONGRESISTA, EL PERIODO CULMINA EN JULIO DEL AÑO 2026.</t>
  </si>
  <si>
    <t>GERENTE DE RED ASISTENCIAL PIURA - RAPI</t>
  </si>
  <si>
    <t>URB. MIRAFLORES CASTILLA</t>
  </si>
  <si>
    <t>DIRECTOR DEL CENTRO DE ATENCION PRIMARIA III</t>
  </si>
  <si>
    <t>ALEJANDRO TABOADA 329</t>
  </si>
  <si>
    <t>CATACAOS</t>
  </si>
  <si>
    <t>DESDE EL 07 DE JUNIO DE 2016 AL 04 DE DICIEMBRE DE 2017.</t>
  </si>
  <si>
    <t>Independiente</t>
  </si>
  <si>
    <t>Agricultor</t>
  </si>
  <si>
    <t>Nuevo Imperial</t>
  </si>
  <si>
    <t>CANETE</t>
  </si>
  <si>
    <t>NUEVO IMPERIAL</t>
  </si>
  <si>
    <t>Agricultor poseedor-tenedor de terrenos agrícolas</t>
  </si>
  <si>
    <t>Municipalidad de Quilmana</t>
  </si>
  <si>
    <t>Gerente de Servicios Públicos</t>
  </si>
  <si>
    <t>Av. Lima 451</t>
  </si>
  <si>
    <t>QUILMANA</t>
  </si>
  <si>
    <t>Municipalidad Nuevo Imperial Cañete</t>
  </si>
  <si>
    <t>Alcalde</t>
  </si>
  <si>
    <t>Jr. Manchego Muñoz 993</t>
  </si>
  <si>
    <t>LA PALMA AGRICOLA E.I.R.L</t>
  </si>
  <si>
    <t>20453800769</t>
  </si>
  <si>
    <t>JR. 30 DE AGOSTO N°655</t>
  </si>
  <si>
    <t>2003</t>
  </si>
  <si>
    <t>HASTA A ACTUALIDAD</t>
  </si>
  <si>
    <t>UNIVERSIDAD ESAN</t>
  </si>
  <si>
    <t>Jirón Alonso de Molina 1652</t>
  </si>
  <si>
    <t>Docente tiempo parcial, hasta la actualidad. Además, he brindado consultoría externa a la Universidad del 2010 al 2018.</t>
  </si>
  <si>
    <t>UNIVERSIDAD SAN IGNACIO DE LOYOLA</t>
  </si>
  <si>
    <t>Avenida La Fontana 750</t>
  </si>
  <si>
    <t>Docente a tiempo parcial.</t>
  </si>
  <si>
    <t>ASESOR - JEFE DE GABINETE</t>
  </si>
  <si>
    <t>Plaza Bolívar - Av. Abancay s/n</t>
  </si>
  <si>
    <t>UNIVERSIDAD DE LIMA</t>
  </si>
  <si>
    <t>Av. Javier Prado Este 4600</t>
  </si>
  <si>
    <t>Docente tiempo parcial, hasta la actualidad.</t>
  </si>
  <si>
    <t>TRES PUNTAS PRODUCCIONES E.I.R.L.</t>
  </si>
  <si>
    <t>DIRECTOR ACADÉMICO DE ESCUELA DIGITAL</t>
  </si>
  <si>
    <t>20563563398</t>
  </si>
  <si>
    <t>Jr. Rodolfo Rutte 959</t>
  </si>
  <si>
    <t>MAGDALENA DEL MAR</t>
  </si>
  <si>
    <t>PROFESIONAL</t>
  </si>
  <si>
    <t>PROFESIONAL SP8</t>
  </si>
  <si>
    <t>PROFESIONAL SP9 DEPARTAMENTO DE COMISIONES</t>
  </si>
  <si>
    <t>ASESOR SP8 COMISIÓN AGRARIA</t>
  </si>
  <si>
    <t>ASESOR PRINCIPAL SP9 HASTA LA ACTUALIDAD</t>
  </si>
  <si>
    <t>GOBIERNO REGIONAL DE HUANUCO</t>
  </si>
  <si>
    <t>ING. CIVIL</t>
  </si>
  <si>
    <t>20489250731</t>
  </si>
  <si>
    <t>CALLE CALICANTO 145</t>
  </si>
  <si>
    <t>AMARILIS</t>
  </si>
  <si>
    <t>MI CARGO ES DE COORDINADOR DE PROYECTOS DE INVERSION PUBLICA, PERTENECIENDO AL EQUIPO TECNICO DE LA GERENCIA GENERAL DEL GOBIERNO REGIONAL DE HUANUCO - LOCADOR DE SERVICIOS HASTA EL 15 DE DICIEMBRE DEL 2025</t>
  </si>
  <si>
    <t>DYET TECNOLOGIA Y CONSTRUCCION</t>
  </si>
  <si>
    <t>20602461671</t>
  </si>
  <si>
    <t>CALLE 2 DE MAYO 534 OFICINA 502</t>
  </si>
  <si>
    <t>ASISTENTE DE PROYECTOS</t>
  </si>
  <si>
    <t>GARCIA Y FRANCISCO E.I.R.L.</t>
  </si>
  <si>
    <t>20606804050</t>
  </si>
  <si>
    <t>AV. CUBA 1249 DPTO. 1901</t>
  </si>
  <si>
    <t>CONSORCIO PM - DEVENCO</t>
  </si>
  <si>
    <t>20605452605</t>
  </si>
  <si>
    <t>CALLE MANUEL TOVAR 260</t>
  </si>
  <si>
    <t>CONTADOR PÚBLICO</t>
  </si>
  <si>
    <t>CALLE 9 DE DICIEMBRE N° 533</t>
  </si>
  <si>
    <t>SERVIDOR NOMBRADO A PLAZO INDETERMINADO</t>
  </si>
  <si>
    <t>Grupo Promotor Talento e Innovación</t>
  </si>
  <si>
    <t>Gerente General</t>
  </si>
  <si>
    <t>20601719704</t>
  </si>
  <si>
    <t>Av. Centenario Oeste 651</t>
  </si>
  <si>
    <t>Gobierno Regional de Ica</t>
  </si>
  <si>
    <t>Director Regional</t>
  </si>
  <si>
    <t>20452393817</t>
  </si>
  <si>
    <t>Av. Cutervo 920</t>
  </si>
  <si>
    <t>MEDIANTE RESOLUCIÓN GERENCIAL GENERAL REGIONAL 173-2023-GORE-ICA-GGR, DEL 26 DE JULIO DE 2023, SE ME ENCARGA EL CARGO DE DIRECTOR DE LA OFICINA DE COORDINACIÓN REGIONAL DEL GOBIERNO REGIONAL DE ICA, EN ADICIONES A MIS FUNCIONES COMO ASESOR II DEL DESPACHO DE LA GOBERNACIÓN REGIONAL.</t>
  </si>
  <si>
    <t>Personal de Informática</t>
  </si>
  <si>
    <t>Servicios de Parque de Lima</t>
  </si>
  <si>
    <t>personal de Informática</t>
  </si>
  <si>
    <t>20145913544</t>
  </si>
  <si>
    <t>Jr. Amazonas S/N Cercado de Lima</t>
  </si>
  <si>
    <t>Asesor II</t>
  </si>
  <si>
    <t>MEDIANTE RESOLUCIÓN GERENCIAL GENERAL REGIONAL 013-2023-GORE-ICA-GGR, DEL 02 DE ENERO DE 2023, SE ME DESIGNA EN EL CARGO DE ASESOR II  DEL DESPACHO DE LA GOBERNACIÓN REGIONAL DEL GOBIERNO REGIONAL DE ICA.</t>
  </si>
  <si>
    <t>EMPRESA DE MADERAS OXAPAMPA S.A.C.</t>
  </si>
  <si>
    <t>20600174038</t>
  </si>
  <si>
    <t>PTE.PROVIVIENDA BUENA VISTA I MZA. H LOTE. 02 A.V. PROVIVIENDA BUENA VISTA I OQUENDO (ARTURA DEL PUE</t>
  </si>
  <si>
    <t>P.S Villavista</t>
  </si>
  <si>
    <t>Enfermería</t>
  </si>
  <si>
    <t>C.P. Villavista</t>
  </si>
  <si>
    <t>DOS DE MAYO</t>
  </si>
  <si>
    <t>PACHAS</t>
  </si>
  <si>
    <t>Defensoría del Pueblo</t>
  </si>
  <si>
    <t>Jefe de Área</t>
  </si>
  <si>
    <t>JR. Ucayali</t>
  </si>
  <si>
    <t>En el periodo comprendido entre el 18/8/2021 y el 27/12/2022 laboré en otras entidades</t>
  </si>
  <si>
    <t>Ministerio de Comercio Exterior y Turismo</t>
  </si>
  <si>
    <t>Jefe del Gabinete de Asesores</t>
  </si>
  <si>
    <t>Calle Uno Oeste NRO.50</t>
  </si>
  <si>
    <t>Asesora del despacho ministerial</t>
  </si>
  <si>
    <t>Calle uno Oeste</t>
  </si>
  <si>
    <t>Centro de Formación en Turismo</t>
  </si>
  <si>
    <t>Directora Nacional</t>
  </si>
  <si>
    <t>JR Pedro Martino 320</t>
  </si>
  <si>
    <t>BARRANCO</t>
  </si>
  <si>
    <t>Jiròn Ayacucho 512</t>
  </si>
  <si>
    <t>I.E. Agropecuario Naranjillo</t>
  </si>
  <si>
    <t>Av Los Colonos</t>
  </si>
  <si>
    <t>LUYANDO</t>
  </si>
  <si>
    <t>GOBIERNO REGIONAL DE CAJAMARCA</t>
  </si>
  <si>
    <t>ASESOR DEL GOBERNADOR</t>
  </si>
  <si>
    <t>JR STA TERESA DE JOURNET N°351</t>
  </si>
  <si>
    <t>LITIGACION EN EL ESTUDIO JURIDICO LEGAL</t>
  </si>
  <si>
    <t>INSTITUCIÓN EDUCATIVA FAUSTINO MALDONADO</t>
  </si>
  <si>
    <t>PROFESOR DE AULA</t>
  </si>
  <si>
    <t>AV.DOS DE MAYO C/CALLE LORETO</t>
  </si>
  <si>
    <t>1982</t>
  </si>
  <si>
    <t>JUBILADO</t>
  </si>
  <si>
    <t>MUNICIPALIDAD PROVINCIAL DE CHUMBIVILCAS</t>
  </si>
  <si>
    <t>ASISTENTE ADMINISTRATIVO II DE LA GERENCIA MUNICIPAL</t>
  </si>
  <si>
    <t>municipalidad distrital de Lurigancho</t>
  </si>
  <si>
    <t>abogado</t>
  </si>
  <si>
    <t>av. 28 de julio 700</t>
  </si>
  <si>
    <t>LOCACION DE SERVICIO</t>
  </si>
  <si>
    <t>MUNICIPALIDAD DISTRITAL DE LLUSCO</t>
  </si>
  <si>
    <t>JEFE DE OFICINA DEMUNA</t>
  </si>
  <si>
    <t>LLUSCO</t>
  </si>
  <si>
    <t>MUNICIPALIDAD DISTRITAL DE QUIÑOTA</t>
  </si>
  <si>
    <t>QUIÑOTA</t>
  </si>
  <si>
    <t>QUINOTA</t>
  </si>
  <si>
    <t>MUNICIPALIDAD DISTRITAL DE MEGANTONI</t>
  </si>
  <si>
    <t>ESPECIALISTA EN PROMOCIÓN PRODUCTIVO, AMBIENTAL, SOCIAL</t>
  </si>
  <si>
    <t>MEGANTONI</t>
  </si>
  <si>
    <t>Institución Educativa Horacio Morales Delgado 40075</t>
  </si>
  <si>
    <t>Licenciada en Educación</t>
  </si>
  <si>
    <t>20187720274</t>
  </si>
  <si>
    <t>Calle Las Rosas N° 200 Pampa de Camarones</t>
  </si>
  <si>
    <t>1992</t>
  </si>
  <si>
    <t>SACHACA</t>
  </si>
  <si>
    <t>municipalidad chota- cajamarca- peru</t>
  </si>
  <si>
    <t>asistente administrativo</t>
  </si>
  <si>
    <t>jr anaximandro vega n°409</t>
  </si>
  <si>
    <t>municipalidad distrital de anguia</t>
  </si>
  <si>
    <t>administradora</t>
  </si>
  <si>
    <t>calle comercio n°212</t>
  </si>
  <si>
    <t>IE 00508 ROGELIO IZQUIERDO OLORTEGUI</t>
  </si>
  <si>
    <t>PROFESOR</t>
  </si>
  <si>
    <t>20404224809</t>
  </si>
  <si>
    <t>JR. ALFONSO UGARTE S/N</t>
  </si>
  <si>
    <t>MOYOBAMBA</t>
  </si>
  <si>
    <t>JEPELACIO</t>
  </si>
  <si>
    <t>SCORPIO A&amp;C CONSULTORES EIRL</t>
  </si>
  <si>
    <t>20574645426</t>
  </si>
  <si>
    <t>URB. MIRAFLORES MZ B2, LT 04, INT. 201</t>
  </si>
  <si>
    <t>PICHARI</t>
  </si>
  <si>
    <t>PISCIFACTORIAS DE LOS ANDES SA</t>
  </si>
  <si>
    <t>CONTADORA</t>
  </si>
  <si>
    <t>PAQUE INDUSTRIAL SALCEDO M2-N-LOTE-10</t>
  </si>
  <si>
    <t>DESDE EL 24/07/2025 AL 02/08/2025</t>
  </si>
  <si>
    <t>AV DOMINGO CUETO N°120</t>
  </si>
  <si>
    <t>DESDE EL 11/09/2025 HASTA EL 29/12/2025 ( VIGENTE ) CON ORDEN DE SERVICIO</t>
  </si>
  <si>
    <t>MUNICIPALIDAD DISTRITAL VENTANILLA</t>
  </si>
  <si>
    <t>ABOGADA</t>
  </si>
  <si>
    <t>AV LA PLAYA SIN NUMERO</t>
  </si>
  <si>
    <t>VENTANILLA</t>
  </si>
  <si>
    <t>DE ENERO A ABRIL DE MANERA NO CONTINUA CON ORDEN DE SERVICIO</t>
  </si>
  <si>
    <t>PROYECTO ESPECIAL BINACIONAL LAGO TITICACA</t>
  </si>
  <si>
    <t>AV LA TORRE N°399</t>
  </si>
  <si>
    <t>DEL 15/04/2024 AL 31 /12/2024 CON ORDEN DE SERVICIO</t>
  </si>
  <si>
    <t>PROGRAMA NACIONAL DE CENTROS JUVENILES</t>
  </si>
  <si>
    <t>JR PEDRO CONDE N° 232</t>
  </si>
  <si>
    <t>MES DE JUNIO Y JULIO DE MANERA NO CONTINUA CON ORDEN DE SERVICIO</t>
  </si>
  <si>
    <t>Trabajadora del hogar</t>
  </si>
  <si>
    <t>AA.HH Fray Martín</t>
  </si>
  <si>
    <t>NO</t>
  </si>
  <si>
    <t>IEP 70146 - CCOPAMAYA</t>
  </si>
  <si>
    <t>Centro Poblado Ccopamaya</t>
  </si>
  <si>
    <t>1994</t>
  </si>
  <si>
    <t>ACORA</t>
  </si>
  <si>
    <t>ASESOR TÉCNICO</t>
  </si>
  <si>
    <t>PLAZA BOLIVAR AV. ABANCAY S/N</t>
  </si>
  <si>
    <t>Ministerio de Comercio Exterior y Turismo - MINCETUR</t>
  </si>
  <si>
    <t>Director de Desarrollo Artesanal</t>
  </si>
  <si>
    <t>Calle 1 oeste 050, San Isidro</t>
  </si>
  <si>
    <t>Director General de Artesanía</t>
  </si>
  <si>
    <t>MUNICIPALIDAD DISTRITAL DE MARCAVILCA</t>
  </si>
  <si>
    <t>LOCADOR CONSULTOR DE OBRAS</t>
  </si>
  <si>
    <t>20159215106</t>
  </si>
  <si>
    <t>PLAZA MIGUEL GRAU NRO. S/N PIURA SUYANA MARCAVILCA</t>
  </si>
  <si>
    <t>MARCAVELICA</t>
  </si>
  <si>
    <t>MINISTERIO DE VIVIENDA CONSTRUCCION Y SANEAMIENTO</t>
  </si>
  <si>
    <t>INGENIERO PERITO TASADOR</t>
  </si>
  <si>
    <t>20504743307</t>
  </si>
  <si>
    <t>AV. REPUBLICA DE PANAMA N° 3650</t>
  </si>
  <si>
    <t>AIJA</t>
  </si>
  <si>
    <t>autoterminal sudamerica - IBC JAPON</t>
  </si>
  <si>
    <t>gerente de ventas</t>
  </si>
  <si>
    <t>Manzana E S/N 48-b</t>
  </si>
  <si>
    <t>CHILE</t>
  </si>
  <si>
    <t>RUT: 76622790-2</t>
  </si>
  <si>
    <t>NEUMATICOS DEL SUR SRL</t>
  </si>
  <si>
    <t>20452861853</t>
  </si>
  <si>
    <t>Av. Arias Araguez Nro. 1305</t>
  </si>
  <si>
    <t>PERNOS DEL SUR EIRL</t>
  </si>
  <si>
    <t>20520064576</t>
  </si>
  <si>
    <t>URB. LOS PINOS LOTE 10 MZ D</t>
  </si>
  <si>
    <t>INVERSIONES RENATUS</t>
  </si>
  <si>
    <t>10076545826</t>
  </si>
  <si>
    <t>JR TORIBIO RODRIGUEZ DE MENDOZA 192, CHOSICA</t>
  </si>
  <si>
    <t>SOCIEDAD MINERA DE RESPONSABILIDAD LIMITADA AGRECASH</t>
  </si>
  <si>
    <t>20610261087</t>
  </si>
  <si>
    <t>TR DE MENDOZA NRO. 192 LIMA - LIMA - LURIGANCHO</t>
  </si>
  <si>
    <t>ASESOR I DE BANCADA NUEVA CONSTITUCIÓN</t>
  </si>
  <si>
    <t>20131445862</t>
  </si>
  <si>
    <t>PLAZA BOLIVAR, AV ABANCAY S/N CERCADO DE LIMA</t>
  </si>
  <si>
    <t>CENTRO VACACIONAL HUAMPANI</t>
  </si>
  <si>
    <t>PRESIDENTE DEL DIRECTORIO DEL CENTRO VACACIONAL HUAMPANI</t>
  </si>
  <si>
    <t>20155140942</t>
  </si>
  <si>
    <t>CARRETERA CENTRAL KM 24.5 ENTRE AV LOS MANZANOS Y NARANJAS, CHOSICA</t>
  </si>
  <si>
    <t>AUXILIAR DE LA COMISION DE TRABAJO</t>
  </si>
  <si>
    <t>20131445894</t>
  </si>
  <si>
    <t>PLAZA BOLIVAR, AV ABANCAY SN CERCADO DE LIMA</t>
  </si>
  <si>
    <t>INSTITUCIÓN EDUCATIVA PRIMARIA 72581 JULIACA</t>
  </si>
  <si>
    <t>CENTRO DE CONCILIACION EXTRAJUDICIAL "TRIPLE A"</t>
  </si>
  <si>
    <t>DIRECTOR - ABOGADO</t>
  </si>
  <si>
    <t>20605754300</t>
  </si>
  <si>
    <t>CALLE: MARURI N°265 OFC. 206</t>
  </si>
  <si>
    <t>INVERSIONES GENERALES Y SERVICIOS SLYC S.A.C. - INGEYSER SLYC S.A.C.</t>
  </si>
  <si>
    <t>20600406320</t>
  </si>
  <si>
    <t>LA EMPRESA FUE CREADA EN EL AÑO 2015.</t>
  </si>
  <si>
    <t>JK INGEYSER S.A.C.</t>
  </si>
  <si>
    <t>CONDUCTOR SEMI TRAILER</t>
  </si>
  <si>
    <t>20614067552</t>
  </si>
  <si>
    <t>CERRO COLORADO</t>
  </si>
  <si>
    <t>RICO POLLO S.A.C.</t>
  </si>
  <si>
    <t>CHOFER DE CARGA PESADA</t>
  </si>
  <si>
    <t>20121685435</t>
  </si>
  <si>
    <t>2012</t>
  </si>
  <si>
    <t>TRANSPORTES HAGEMSA S.A.C</t>
  </si>
  <si>
    <t>20371332210</t>
  </si>
  <si>
    <t>TRANSALTISA S.A.</t>
  </si>
  <si>
    <t>CONDUCTOR DE RUTA</t>
  </si>
  <si>
    <t>20100228191</t>
  </si>
  <si>
    <t>KUSCA YANAPAY</t>
  </si>
  <si>
    <t>PRESIDENTA</t>
  </si>
  <si>
    <t>20603553005</t>
  </si>
  <si>
    <t>AV. RINCONADA DEL LAGO N° 1086 DPTO 1</t>
  </si>
  <si>
    <t>I.E.P. SANTA ISABEL</t>
  </si>
  <si>
    <t>20486690934</t>
  </si>
  <si>
    <t>JR. LOS GUINDALES</t>
  </si>
  <si>
    <t>2007</t>
  </si>
  <si>
    <t>MARCOPOLA E.I.R.L</t>
  </si>
  <si>
    <t>20609283409</t>
  </si>
  <si>
    <t>BAJA DE OFICIO EN OCTUBRE DEL AÑO 2023.</t>
  </si>
  <si>
    <t>TRABAJO REALIZADO EN UN DESPACHO CONGRESAL.</t>
  </si>
  <si>
    <t>INDEPENDIENTE</t>
  </si>
  <si>
    <t>VENDEDOR</t>
  </si>
  <si>
    <t>MZ C LOTE 15 ASOC. DE VIVIENDA LOS ALAMOS I ETAPA</t>
  </si>
  <si>
    <t>NEGOCIO QUE REALIZA COMPRA Y VENTA DE BATERIAS EN DESUSO.</t>
  </si>
  <si>
    <t>MUNICIPALIDAD METROPOLITANA DE LIMA</t>
  </si>
  <si>
    <t>SUB GERENTA DE TRANSPORTES NO MOTORIZADOS.</t>
  </si>
  <si>
    <t>JR. RUFINO TORRICO NRO. 1178 CERCADO DE LIMA LIMA - LIMA - LIMA</t>
  </si>
  <si>
    <t>EMBAJADA PERUANA DE CICLISMO</t>
  </si>
  <si>
    <t>20556822671</t>
  </si>
  <si>
    <t>MLC.JUAN CAUCIO MANTORELA NRO. 1259 DPTO. 802 LIMA - LIMA - CHORRILLOS</t>
  </si>
  <si>
    <t>CHORRILLOS</t>
  </si>
  <si>
    <t>ACTIVO DESDE 17/03/2025</t>
  </si>
  <si>
    <t>WIÑAY PERU SOCIEDAD ANONIMA - WIÑAY PERU S.A.</t>
  </si>
  <si>
    <t>ASESORIA PROYECTO WIÑAY PERU</t>
  </si>
  <si>
    <t>20525059686</t>
  </si>
  <si>
    <t>AV. NICOLAS DE PIEROLA NRO. 1630 LIMA - LIMA - LIMA</t>
  </si>
  <si>
    <t>RESPONSABLE DE LA MOVILIDAD NO MOTORIZADO EN SAN JUAN DE LURIGANCHO CON RUC. 20131378034.
ASESORIA PROYECTO MEGABASTOS- SANTA ANITA.</t>
  </si>
  <si>
    <t>EMPRESA AGROINDUSTRIAL POMALCA S.A.A.</t>
  </si>
  <si>
    <t>SEGURIDAD</t>
  </si>
  <si>
    <t>20163898200</t>
  </si>
  <si>
    <t>2005</t>
  </si>
  <si>
    <t>POMALCA</t>
  </si>
  <si>
    <t>ACTUALMENTE SOY JUBILALDO.</t>
  </si>
  <si>
    <t>Universidad Tecnologica del Perú</t>
  </si>
  <si>
    <t>20462509236</t>
  </si>
  <si>
    <t>Av. Ayabaca S/N, Sector San José, Ica 11001</t>
  </si>
  <si>
    <t>Asociación Educativa Caritas Graciosas</t>
  </si>
  <si>
    <t>Recaudadora de fondos</t>
  </si>
  <si>
    <t>20118476418</t>
  </si>
  <si>
    <t>CAL. JOSE QUIÑONES 160</t>
  </si>
  <si>
    <t>Ministerio de Educación</t>
  </si>
  <si>
    <t>Especialista en Redes &amp; Oportunidades</t>
  </si>
  <si>
    <t>20131370998</t>
  </si>
  <si>
    <t>CAL. DEL COMERCIO 193</t>
  </si>
  <si>
    <t>Innova Schools</t>
  </si>
  <si>
    <t>Líder de captación de usuarios</t>
  </si>
  <si>
    <t>20510713363</t>
  </si>
  <si>
    <t>Avenida Carlos Villarán No. 140</t>
  </si>
  <si>
    <t>Asociación UNACEM</t>
  </si>
  <si>
    <t>Asistente de Comunicaciones &amp; RSE</t>
  </si>
  <si>
    <t>20506241881</t>
  </si>
  <si>
    <t>AV. ATOCONGO CAMPAMENTO DE ATOCONGO 3020</t>
  </si>
  <si>
    <t>VILLA MARIA DEL TRIUNFO</t>
  </si>
  <si>
    <t>ALYZ MACC</t>
  </si>
  <si>
    <t>20602980686</t>
  </si>
  <si>
    <t>Calle Jorge Buckley 239</t>
  </si>
  <si>
    <t>Universidad Peruana Cayetano Heredia</t>
  </si>
  <si>
    <t>Docente de postgrado</t>
  </si>
  <si>
    <t>20110768151</t>
  </si>
  <si>
    <t>Av. Honorio Delgado N., San Martín de Porres, Lima</t>
  </si>
  <si>
    <t>SAN MARTIN DE PORRES</t>
  </si>
  <si>
    <t>Ministerio de Salud</t>
  </si>
  <si>
    <t>Especialista en Salud Publica</t>
  </si>
  <si>
    <t>20131373237</t>
  </si>
  <si>
    <t>Av Salaverry 801</t>
  </si>
  <si>
    <t>Actualmente soy personal nombrada bajo el régimen laboral 276</t>
  </si>
  <si>
    <t>I.E. CESAR VALLEJO</t>
  </si>
  <si>
    <t>20602170676</t>
  </si>
  <si>
    <t>CALLE LOS ARRIEROS S/N</t>
  </si>
  <si>
    <t>Asociación Empezamos Creciendo</t>
  </si>
  <si>
    <t>Coordinadora de Proyectos</t>
  </si>
  <si>
    <t>Jr. Sáenz Peña 117, Barranco</t>
  </si>
  <si>
    <t>TRANSPORTE WARI SOCIEDAD ANONIMA CERRADA TRANSPORTE WARI S.A.C.</t>
  </si>
  <si>
    <t>Administradora</t>
  </si>
  <si>
    <t>20505209193</t>
  </si>
  <si>
    <t>Av. Nicolas Arriola Nro. 910</t>
  </si>
  <si>
    <t>Municipalidad Distrital de José Luis Bustamante y Rivero</t>
  </si>
  <si>
    <t>Secretario General</t>
  </si>
  <si>
    <t>20312108284</t>
  </si>
  <si>
    <t>Av. Dolores S/N, José Luis Bustamante y Rivero 04009</t>
  </si>
  <si>
    <t>Municipalidad Provincial de Arequipa</t>
  </si>
  <si>
    <t>Abogado/Asesor de alcaldia</t>
  </si>
  <si>
    <t>20154489895</t>
  </si>
  <si>
    <t>El filtro 501</t>
  </si>
  <si>
    <t>agronegocios DD&amp;P EIRL</t>
  </si>
  <si>
    <t>CONTADOR</t>
  </si>
  <si>
    <t>20454927703</t>
  </si>
  <si>
    <t>AV 3 DE OCTUBRE 277</t>
  </si>
  <si>
    <t>CAYLLOMA</t>
  </si>
  <si>
    <t>MAJES</t>
  </si>
  <si>
    <t>EMPRESA DE TRANSPORTES Y TURISMO ANTARES</t>
  </si>
  <si>
    <t>20369417151</t>
  </si>
  <si>
    <t>PARCELA 559 SEC A LOS MOLLES</t>
  </si>
  <si>
    <t>AGROINVERSIONES RODELCO SAC</t>
  </si>
  <si>
    <t>20456212949</t>
  </si>
  <si>
    <t>PARCELA 277</t>
  </si>
  <si>
    <t>ZEGALAC EIRL</t>
  </si>
  <si>
    <t>20454236468</t>
  </si>
  <si>
    <t>Pasaje Bolognesi</t>
  </si>
  <si>
    <t>AYALA CONDORI RECKI RUSSELL</t>
  </si>
  <si>
    <t>10451752702</t>
  </si>
  <si>
    <t>CIUDAD MAJES SECTOR 2</t>
  </si>
  <si>
    <t>Cirujano Dentista</t>
  </si>
  <si>
    <t>10028198120</t>
  </si>
  <si>
    <t>Urb. Santa Margarita Cd 19 V etapa</t>
  </si>
  <si>
    <t>VEINTISEIS DE OCTUBRE</t>
  </si>
  <si>
    <t>Atenea Programas de Intercambio EIRL</t>
  </si>
  <si>
    <t>20477163573</t>
  </si>
  <si>
    <t>Av.España. Edificio Servat. 305. Piso 9</t>
  </si>
  <si>
    <t>1999</t>
  </si>
  <si>
    <t>Universidad Nacional Mayor de San Marcos</t>
  </si>
  <si>
    <t>Servicios en la Clínica Universitaria</t>
  </si>
  <si>
    <t>20148092282</t>
  </si>
  <si>
    <t>CAL. GERMAN AMEZAGA OTROS 375</t>
  </si>
  <si>
    <t>CENTRO MÉDICO NAVAL</t>
  </si>
  <si>
    <t>INTERNA DE ODONTOLOGÍA</t>
  </si>
  <si>
    <t>AV. VENEZUELA CDRA. 24 S/N</t>
  </si>
  <si>
    <t>BELLAVISTA</t>
  </si>
  <si>
    <t>ORAL X</t>
  </si>
  <si>
    <t>ASISTENTE EN ODONTOLOGÍA</t>
  </si>
  <si>
    <t>20601253047</t>
  </si>
  <si>
    <t>AV. BRASIL 2481, JESUS MARIA 15072</t>
  </si>
  <si>
    <t>Analisis &amp; Soluciones Luz Ambar S.A.C.</t>
  </si>
  <si>
    <t>20613814141</t>
  </si>
  <si>
    <t>Jr. Tarma Nro. 119 Int. 404 Cercado de Lima</t>
  </si>
  <si>
    <t>ONG Luz Ambar Perú</t>
  </si>
  <si>
    <t>Presidente</t>
  </si>
  <si>
    <t>20519266840</t>
  </si>
  <si>
    <t>Jr. Tarma Nro. 119 Dpto. 404</t>
  </si>
  <si>
    <t>Luz Ambar S.A.C</t>
  </si>
  <si>
    <t>20503069840</t>
  </si>
  <si>
    <t>Ejército del Perú</t>
  </si>
  <si>
    <t>Jefe del Estado Mayor General del Ejército</t>
  </si>
  <si>
    <t>Av Boulevard S/N</t>
  </si>
  <si>
    <t>Comandante General de la Región Militar del Norte</t>
  </si>
  <si>
    <t>Av Bolognesi 970, Piura</t>
  </si>
  <si>
    <t>Responsable de la respuesta militar durante el Fenómeno de "El Niño" en 2017 en toda la Región Militar del Norte</t>
  </si>
  <si>
    <t>ORGANIZACIÓN DE ESTADOS AMERICANOS</t>
  </si>
  <si>
    <t>Consejero en asuntos de seguridad hemisférica en la Misión Peruana ante OEA</t>
  </si>
  <si>
    <t>Washington DC</t>
  </si>
  <si>
    <t>ESTADOS UNIDOS</t>
  </si>
  <si>
    <t>Comando Conjunto de la Fuerzas Armadas</t>
  </si>
  <si>
    <t>Jefe del Estado Mayor Conjunto</t>
  </si>
  <si>
    <t>Avenida Arequipa 299, Lima</t>
  </si>
  <si>
    <t>RENOVANDO LAURELES DE AYER S.R.L.</t>
  </si>
  <si>
    <t>20605517588</t>
  </si>
  <si>
    <t>CAL. MANUEL BELGRANO F9, URB. ALVAREZ THOMAS</t>
  </si>
  <si>
    <t>BAJA DE OFICIO</t>
  </si>
  <si>
    <t>MUNICIPALIDAD DISTRITAL DE YANAHUARA</t>
  </si>
  <si>
    <t>JEFE DE TRÁMITE DOCUMENTARIO Y ARCHIVO</t>
  </si>
  <si>
    <t>20162586956</t>
  </si>
  <si>
    <t>MIGUEL GRAU 402</t>
  </si>
  <si>
    <t>YANAHUARA</t>
  </si>
  <si>
    <t>ARVA NEGOCIOS SERVICIOS GENERALES Y REPRESENTACIONES SOCIEDAD COMERCIAL DE RESPONSABILIDAD LIMITADA</t>
  </si>
  <si>
    <t>TRABAJADOR</t>
  </si>
  <si>
    <t>20539335562</t>
  </si>
  <si>
    <t>AV INDEPENDENCIA NRO.28, RESIDENCIAL LA VICTORIA</t>
  </si>
  <si>
    <t>CORPORACIÓN CEPAZ Y SERVICIOS GENERALES SRL</t>
  </si>
  <si>
    <t>20605410244</t>
  </si>
  <si>
    <t>CAL.MANUEL BELGRANO F9, URB. ALVAREZ THOMAS</t>
  </si>
  <si>
    <t>COORDINADOR AGENCIA LOCAL DE EMPLEO</t>
  </si>
  <si>
    <t>POLICIA NACIONAL DEL PERU</t>
  </si>
  <si>
    <t>OFICIAL GENERAL</t>
  </si>
  <si>
    <t>PLZ 30 DE AGOSTO S/N</t>
  </si>
  <si>
    <t>1981</t>
  </si>
  <si>
    <t>SERVICIO DE SEGURIDAD</t>
  </si>
  <si>
    <t>JR. CONDE DE SUPERUNDA 141</t>
  </si>
  <si>
    <t>SERVICIOS GENERALES Y TURISTICOS LAREDO GRANDE SAC</t>
  </si>
  <si>
    <t>20602489273</t>
  </si>
  <si>
    <t>CALLE SAN JOSE 513-URBANIZACIÓN 22 DE FEBRERO</t>
  </si>
  <si>
    <t>INVERSIONES ALDIGO SAC</t>
  </si>
  <si>
    <t>20560011238</t>
  </si>
  <si>
    <t>CALLE SAN JOSE 513</t>
  </si>
  <si>
    <t>JIRÓN HUALLAGA 350-LIMA</t>
  </si>
  <si>
    <t>NEGOCIOS E INVERSIONES F.CHANG EIRL</t>
  </si>
  <si>
    <t>20484287466</t>
  </si>
  <si>
    <t>JR. HUANCAVELICA N° 239 - AL COSTADO DEL BANCO SCOTIABANK</t>
  </si>
  <si>
    <t>A PARTIR DE SEPTIEMBRE DE 2025</t>
  </si>
  <si>
    <t>MEGA UTILES Y SUMINISTROS SAC</t>
  </si>
  <si>
    <t>20601007101</t>
  </si>
  <si>
    <t>JR. AREQUIPA N° 843 - AL FRENTE DE SAGA FALABELLA</t>
  </si>
  <si>
    <t>DE OCTUBRE DE 2017 A DICIEMBRE DE 2022</t>
  </si>
  <si>
    <t>FUNDACION LIMA</t>
  </si>
  <si>
    <t>PRESIDENTE</t>
  </si>
  <si>
    <t>20503768187</t>
  </si>
  <si>
    <t>AV 28 DE JULIO 877</t>
  </si>
  <si>
    <t>MCI LIMA</t>
  </si>
  <si>
    <t>DIRECTOR CREATIVO</t>
  </si>
  <si>
    <t>JR LEON VELARDE 920</t>
  </si>
  <si>
    <t>COORDINADOR DE MEDIOS</t>
  </si>
  <si>
    <t>AV ABANCAY  251</t>
  </si>
  <si>
    <t>JR CONDE DE SUPERUNDA 141</t>
  </si>
  <si>
    <t>UNIVERSIDAD SAN MARTIN DE PORRES</t>
  </si>
  <si>
    <t>AV. ALAMEDA DEL CORREGIDOR 1865</t>
  </si>
  <si>
    <t>FUI DOCENTE DE LOS CURSOS HISTORIA DE LAS IDEAS POLITICAS I Y II, FUNDAMENTOS DE ECONOMIA Y ECONOMIA POLITICA EN LA FACULTAD DE DERECHO.</t>
  </si>
  <si>
    <t>CENTRO DE ALTOS ESTUDIOS NACIONALES (CAEN)</t>
  </si>
  <si>
    <t>FUI DOCENTE DEL CURSO DE TEORIA DEL ESTADO EN LA VIII MAESTRIA EN INTELIGENCIA ESTRATEGICA.</t>
  </si>
  <si>
    <t>CENTRO PARA EL DESARROLLO REGULATORIO (CEDER) - E.I.R.L.</t>
  </si>
  <si>
    <t>ANALISTA</t>
  </si>
  <si>
    <t>ASESOR / TECNICO</t>
  </si>
  <si>
    <t>AV ABANCAY S/N PLAZA BOLIVAR</t>
  </si>
  <si>
    <t>AV. ABANACAY S/N</t>
  </si>
  <si>
    <t>CORTE SUPERIOR DE JUSTICIA DE LIMA</t>
  </si>
  <si>
    <t>ASISTENTE DE CONTROL</t>
  </si>
  <si>
    <t>AV. ABANCAY CON AV. COLMENA</t>
  </si>
  <si>
    <t>EXACTAMENTE EL 29/04/2010 AL 22/05/2015.</t>
  </si>
  <si>
    <t>CONTRALORIA GENERAL DE LA REPUBLICA</t>
  </si>
  <si>
    <t>ESPECIALISTA</t>
  </si>
  <si>
    <t>JR. CORONEL CAMILO CARRILLO 114</t>
  </si>
  <si>
    <t>EXACTAMENTE DESDE EL 25/05/2015 AL 01/09/2021.</t>
  </si>
  <si>
    <t>REGIDORA</t>
  </si>
  <si>
    <t>JR. CONDE DE SUPERUNDA N°141</t>
  </si>
  <si>
    <t>SEGURO SOCIAL DEL PERU</t>
  </si>
  <si>
    <t>AV. ARENALES 1402</t>
  </si>
  <si>
    <t>MINISTERIO DE TRANSPORTE Y COMUNICACIONES</t>
  </si>
  <si>
    <t>ASESORA DE ALTA DIRECCION</t>
  </si>
  <si>
    <t>JR ZORRITOS S/N</t>
  </si>
  <si>
    <t>INSTITUTO METROPOLITANO DE TRANSPORTE</t>
  </si>
  <si>
    <t>PRESIDENTE EJECUTIVA</t>
  </si>
  <si>
    <t>JR. CUSCO 246</t>
  </si>
  <si>
    <t>ESTUDIOS ROCHA Y ABOGADOS ASOCIADOS</t>
  </si>
  <si>
    <t>ABOGADO</t>
  </si>
  <si>
    <t>AV. VILLARAN N°140</t>
  </si>
  <si>
    <t>analista</t>
  </si>
  <si>
    <t>Pj. Oviedo 172</t>
  </si>
  <si>
    <t>MINISTERIO DE EDUCACIÓN</t>
  </si>
  <si>
    <t>CALLE DEL COMERCIO 193</t>
  </si>
  <si>
    <t>MINISTERIO DE JUSTICIA Y DERECHOS HUMANOS - PRONABI</t>
  </si>
  <si>
    <t>COORDINADOR EJECUTIVO</t>
  </si>
  <si>
    <t>PJE. MONACO N° 171</t>
  </si>
  <si>
    <t>SUPERINTENDENCIA NACIONAL DE BIENES ESTATALES</t>
  </si>
  <si>
    <t>CALLE CHINCHON 890</t>
  </si>
  <si>
    <t>MINISTERIO DE EDUCACION</t>
  </si>
  <si>
    <t>DIRECTOR</t>
  </si>
  <si>
    <t>CALLE EL COMERCIO 193</t>
  </si>
  <si>
    <t>MUNICIPALIDAD DE JESUS MARÍA</t>
  </si>
  <si>
    <t>GERENTA DE DESARROLLO URBANO Y AMBIENTAL</t>
  </si>
  <si>
    <t>20131366290</t>
  </si>
  <si>
    <t>Palacio Municipal, Av. Francisco Javier Mariátegui 850</t>
  </si>
  <si>
    <t>MUNICIPALIDAD DISTRITAL DE BREÑA</t>
  </si>
  <si>
    <t>20131368586</t>
  </si>
  <si>
    <t>Av. Arica N° 500</t>
  </si>
  <si>
    <t>BRENA</t>
  </si>
  <si>
    <t>PRESTÉ SERVICIOS EN LA MUNICIPALIDAD DE BREÑA BAJO LA MODALIDAD DE LOCACIÓN DE SERVICIOS.</t>
  </si>
  <si>
    <t>REGIDORA METROPOLITANA</t>
  </si>
  <si>
    <t>JR. CAMANA NO. 556</t>
  </si>
  <si>
    <t>DEJÉ LA INSTITUCIÓN EN EL AÑO 2021 PARA POSTULAR AL CONGRESO.</t>
  </si>
  <si>
    <t>JR. HUALLAGA 358 LIMA - LIMA - LIMA</t>
  </si>
  <si>
    <t>CONCLUIRÉ EL PERIODO CONGRESAL EN JULIO DE 2026</t>
  </si>
  <si>
    <t>ICA SUR AGROFRUIT E.I.R.L</t>
  </si>
  <si>
    <t>20605598561</t>
  </si>
  <si>
    <t>JR UCAYALI 237</t>
  </si>
  <si>
    <t>PADRE ABAD</t>
  </si>
  <si>
    <t>TIENDAS DEL MEJORAMIENTO DEL HOGAR S.A</t>
  </si>
  <si>
    <t>SUPERVISOR DE CAJA</t>
  </si>
  <si>
    <t>20112273922</t>
  </si>
  <si>
    <t>AV ANGAMOS ESTE N 1805 INT. 2</t>
  </si>
  <si>
    <t>REALIZO FUNCIONES  EN LA OFICINA ICA</t>
  </si>
  <si>
    <t>GRUPO CLUNA E.I.R.L</t>
  </si>
  <si>
    <t>20613398022</t>
  </si>
  <si>
    <t>CALLE LAS FLORES MZ C3 LOTE. 9 DPTO. 101 URB. SANTA ROSA DE SURCO</t>
  </si>
  <si>
    <t>FLORIDA DEPARTMENT OF TRANSPORTATION</t>
  </si>
  <si>
    <t>LOGISTICA Y DISTRIBUCION PARA SOUTH FLORIDA</t>
  </si>
  <si>
    <t>5548 NW 9TH AVENUE FT LAUDERDALE FL  33309</t>
  </si>
  <si>
    <t>2000</t>
  </si>
  <si>
    <t>TRABAJO ALGUNA VEZ EN CONGRESO</t>
  </si>
  <si>
    <t>REGISTROS CONGRESO</t>
  </si>
  <si>
    <t>TIENE_EDUCACION_BASICA</t>
  </si>
  <si>
    <t>EDUC_PRIMARIA</t>
  </si>
  <si>
    <t>EDUC_PRIMARIA_CONCLUIDA</t>
  </si>
  <si>
    <t>EDUC_SECUNDARIA</t>
  </si>
  <si>
    <t>EDUC_SECUNDARIA_CONCLUIDA</t>
  </si>
  <si>
    <t>No</t>
  </si>
  <si>
    <t>TIENE_EDUC_TECNICO</t>
  </si>
  <si>
    <t>CENTRO_ESTUDIOS</t>
  </si>
  <si>
    <t>CARRERA</t>
  </si>
  <si>
    <t>CONCLUIDO</t>
  </si>
  <si>
    <t>BERTRAND RUSSEL</t>
  </si>
  <si>
    <t>CONTABILIDAD</t>
  </si>
  <si>
    <t>IDAT</t>
  </si>
  <si>
    <t>Título en Mercadotecnia</t>
  </si>
  <si>
    <t>Título a nombre de la Nación, 20 de junio de 2002.</t>
  </si>
  <si>
    <t>SAN IGNACIO DE LOYOLA</t>
  </si>
  <si>
    <t>PROFESIONAL TÉCNICO EN COMUNICACIÓN INTEGRAL</t>
  </si>
  <si>
    <t>ELA</t>
  </si>
  <si>
    <t>PROFESIONAL TÉCNICO EN SECRETARIADO EJECUTIVO</t>
  </si>
  <si>
    <t>IEST Valle Grande</t>
  </si>
  <si>
    <t>Técnico de Producción Agraria</t>
  </si>
  <si>
    <t>INSTITUTO SUPERIOR TECNOLOGICO PUBLICO CHOTA</t>
  </si>
  <si>
    <t>COMPUTACIÓN E INFORMATICA</t>
  </si>
  <si>
    <t>CEO DE GESTIÓN NO ESTATAL "INFORMÁTICA 2000"</t>
  </si>
  <si>
    <t>OPERADOR DE WINDOWS</t>
  </si>
  <si>
    <t>INSTITUTO SUPERIOR NSR</t>
  </si>
  <si>
    <t>EDUCACION PRIMARIA</t>
  </si>
  <si>
    <t>ISTP Antonio Lorena</t>
  </si>
  <si>
    <t>Técnico en Farmacia</t>
  </si>
  <si>
    <t>IESTP “Francisco de Paula Gonzáles Vigil”</t>
  </si>
  <si>
    <t>MECANICA AUTOMOTRIZ</t>
  </si>
  <si>
    <t>SENATI</t>
  </si>
  <si>
    <t>I.S.T PUBLICO ANDRES AVELINO CACERES</t>
  </si>
  <si>
    <t>TECNICO MECANICO AUTOMOTRIZ</t>
  </si>
  <si>
    <t>INSTITUTO EUROPEO DE ESTUDIOS EMPRESARIALES</t>
  </si>
  <si>
    <t>CURSO EN MOVILIDAD URBANA SOSTENIBLE Y TRANSPORTE INTELIGENTE</t>
  </si>
  <si>
    <t>CERTIFICADA EN CURSOS DE MOVILIDAD URBANA EN BICICLETA OTORGADO EN EL COLEGIO DE ARQUITECTOS DEL PERU-REGION LIMA.
CERTIFICADO DE PARTICIPACION EN CONNECTIVE CITIES TALLER DE PROYECTOS.</t>
  </si>
  <si>
    <t>UNIVERSIDAD NACIONAL MAYOR DE SAN MARCOS</t>
  </si>
  <si>
    <t>REALIDAD Y PERSPECTIVAS DE LA INDUSTRIA AZUCARERA EN EL PERU</t>
  </si>
  <si>
    <t>CERTIFICADO EN FRENTE NACIONAL DE DEFENSA DE LA INDUSTRIA AZUCARERA DEL PERU, 2DO CONGRESO DE AZUCAREROS DEL PERU.
DIPLOMADO EN UNIVERSIDAD NACIONAL DE TRUJILLO.</t>
  </si>
  <si>
    <t>Instituto Pedagogico La Salle</t>
  </si>
  <si>
    <t>Fisica Química</t>
  </si>
  <si>
    <t>Con licenciatura en la Universidad Mayor de San Marcos</t>
  </si>
  <si>
    <t>Escuela de Filosofía Nueva Acrópolis</t>
  </si>
  <si>
    <t>Filosofía clásica y pedagogia</t>
  </si>
  <si>
    <t>BACHILLER TÉCNICO EN CIENCIAS PUBLICITARIAS</t>
  </si>
  <si>
    <t>ZEGEL</t>
  </si>
  <si>
    <t>ADMINISTRACION DE NEGOCIOS</t>
  </si>
  <si>
    <t>CONSTANCIA DE CULMINACIÓN DE ESTUDIOS</t>
  </si>
  <si>
    <t>TIENE_EDUC_NO_UNIVERSITARIA</t>
  </si>
  <si>
    <t>EDUC_NO_UNIVERSITARIA</t>
  </si>
  <si>
    <t>UNIVERSIDAD CESAR VALLEJO</t>
  </si>
  <si>
    <t>ADMINISTRACION DE EMPRESAS</t>
  </si>
  <si>
    <t>INSTITUTO SUPERIOR PEDAGOGICO PRIVADO AKUNTA</t>
  </si>
  <si>
    <t>LENGUAJE Y LITERATURA</t>
  </si>
  <si>
    <t>GRUPO HORIZONTE EDUCA PERU</t>
  </si>
  <si>
    <t>CURSO DE ESPECIALIZACION</t>
  </si>
  <si>
    <t>ISP Puno</t>
  </si>
  <si>
    <t>Educación Primaria</t>
  </si>
  <si>
    <t>berlitz school of languages</t>
  </si>
  <si>
    <t>Curso Intensivo de Ingles</t>
  </si>
  <si>
    <t>ASOCIACION DE SERVICIOS  Y CAPACITACION ASERCAP</t>
  </si>
  <si>
    <t>OPERADOR MULTIPLE DE MAQUINARIA PESADA</t>
  </si>
  <si>
    <t>I.S.P PUBLICO JOSE ANTONIO ENCINAS</t>
  </si>
  <si>
    <t>TIENE_EDUC_UNIV</t>
  </si>
  <si>
    <t>EDUC_UNIV</t>
  </si>
  <si>
    <t>UNIVERSIDAD</t>
  </si>
  <si>
    <t>EGRESADO</t>
  </si>
  <si>
    <t>Universidad Nacional de San Agustín de Arequipa</t>
  </si>
  <si>
    <t>BACHILLER EN CONTABILIDAD</t>
  </si>
  <si>
    <t>CONTADOR PUBLICO</t>
  </si>
  <si>
    <t>Universidad Nacional de San Cristóbal de Huamanga</t>
  </si>
  <si>
    <t>LICENCIADO EN EDUCACION SECUNDARIA</t>
  </si>
  <si>
    <t>BACHILLER EN DERECHO</t>
  </si>
  <si>
    <t>BACHILLER EN CIENCIAS DE LA EDUCACION</t>
  </si>
  <si>
    <t>TITULO PROFESIONAL DE ABOGADO</t>
  </si>
  <si>
    <t>Universidad Nacional Federico Villarreal</t>
  </si>
  <si>
    <t>Universidad de Huánuco</t>
  </si>
  <si>
    <t>Escuela de Oficiales de la Policía Nacional del Perú</t>
  </si>
  <si>
    <t>LICENCIADO EN ADMINISTRACION Y CIENCIAS POLICIALES</t>
  </si>
  <si>
    <t>BACHILLER EN ADMINISTRACION Y CIENCIAS POLICIALES</t>
  </si>
  <si>
    <t>Universidad Nacional de San Antonio Abad del Cusco</t>
  </si>
  <si>
    <t>ECONOMISTA</t>
  </si>
  <si>
    <t>BACHILLER EN ECONOMIA</t>
  </si>
  <si>
    <t>BACHILLER EN CIENCIAS SOCIALES ESPECIALIDAD SOCIOLOGIA</t>
  </si>
  <si>
    <t>LICENCIADA EN SOCIOLOGIA</t>
  </si>
  <si>
    <t>Universidad Nacional de Ingeniería</t>
  </si>
  <si>
    <t>BACHILLER EN CIENCIAS CON MENCION EN INGENIERIA DE PETROLEO Y GAS NATURAL</t>
  </si>
  <si>
    <t>Universidad Nacional del Callao</t>
  </si>
  <si>
    <t>Universidad Peruana Los Andes</t>
  </si>
  <si>
    <t>Bachiller en Derecho y Ciencias Políticas</t>
  </si>
  <si>
    <t>Universidad Nacional del Altiplano-Puno</t>
  </si>
  <si>
    <t>Egresado</t>
  </si>
  <si>
    <t>Egresado E.P Ingeniería de minas</t>
  </si>
  <si>
    <t>BACHILLER EN DERECHO Y CIENCIAS POLITICAS</t>
  </si>
  <si>
    <t>NO CONCLUIDO</t>
  </si>
  <si>
    <t>estudios no concluidos en marketing</t>
  </si>
  <si>
    <t>Universidad Continental S.A.C.</t>
  </si>
  <si>
    <t>Universidad Científica del Sur S.A.C.</t>
  </si>
  <si>
    <t>INGENIERA ECONOMISTA</t>
  </si>
  <si>
    <t>BACHILLER EN INGENIERIA ECONOMICA Y DE NEGOCIOS</t>
  </si>
  <si>
    <t>BACHILLER EN DERECHO Y CIENCIA POLITICA</t>
  </si>
  <si>
    <t>UNIVERSIDAD CATOLICA LOS ANGELES DE CHIMBOTE</t>
  </si>
  <si>
    <t>DERECHO</t>
  </si>
  <si>
    <t>UNIVERSIDAD CONTINENTAL</t>
  </si>
  <si>
    <t>Universidad Particular de Chiclayo</t>
  </si>
  <si>
    <t>-</t>
  </si>
  <si>
    <t>Universidad Inca Garcilaso de la Vega Asociación Civil</t>
  </si>
  <si>
    <t>UNIVERSIDAD RICARDO PALMA</t>
  </si>
  <si>
    <t>ADMINISTRACIÓN Y GERENCIA</t>
  </si>
  <si>
    <t>TÍTULO DE ABOGADO</t>
  </si>
  <si>
    <t>Universidad Católica de Santa María</t>
  </si>
  <si>
    <t>BACHILLER EN TURISMO Y HOTELERÍA</t>
  </si>
  <si>
    <t>Universidad de Lima</t>
  </si>
  <si>
    <t>BACHILLER EN CIENCIAS DE LA COMUNICACIÓN</t>
  </si>
  <si>
    <t>Universidad Privada San Pedro</t>
  </si>
  <si>
    <t>LICENCIADA EN OBSTETRICIA</t>
  </si>
  <si>
    <t>BACHILLER EN OBSTETRICIA</t>
  </si>
  <si>
    <t>Universidad San Ignacio de Loyola S.A.</t>
  </si>
  <si>
    <t>Bachiller en Administración de Empresas</t>
  </si>
  <si>
    <t>Universidad San Ignacio de Loyola S.R.L.</t>
  </si>
  <si>
    <t>LICENCIADO EN ADMINISTRACIÓN DE EMPRESAS</t>
  </si>
  <si>
    <t>BACHILLER EN ODONTOLOGIA</t>
  </si>
  <si>
    <t>CIRUJANO DENTISTA</t>
  </si>
  <si>
    <t>Universidad Peruana Unión</t>
  </si>
  <si>
    <t>BACHILLER EN CIENCIAS CONTABLES</t>
  </si>
  <si>
    <t>BACHILLER EN CIENCIAS DERECHO</t>
  </si>
  <si>
    <t>BACHILLER EN COMUNICACIÓN Y PUBLICIDAD</t>
  </si>
  <si>
    <t>UNIVERSIDAD MAYOR</t>
  </si>
  <si>
    <t>GRADO DE LICENCIADO EN COMUNICACIÓN EN MULTIMEDIOS</t>
  </si>
  <si>
    <t>TÍTULO DE COMUNICADOR EN MULTIMEDIOS (TÍTULO PROFESIONAL)</t>
  </si>
  <si>
    <t>Universidad Científica del Perú</t>
  </si>
  <si>
    <t>BACHILLER EN ADMINISTRACION DE EMPRESAS</t>
  </si>
  <si>
    <t>LICENCIADA EN ADMINISTRACION DE EMPRESAS</t>
  </si>
  <si>
    <t>Universidad César Vallejo S.A.C.</t>
  </si>
  <si>
    <t>BACHILLER EN ESTOMATOLOGIA</t>
  </si>
  <si>
    <t>Año de obtención del bachiller: 2003.</t>
  </si>
  <si>
    <t>Año de obtención del título: 2003.</t>
  </si>
  <si>
    <t>Pontificia Universidad Católica del Perú</t>
  </si>
  <si>
    <t>INGENIERO CIVIL</t>
  </si>
  <si>
    <t>BACHILLER EN CIENCIAS CON MENCIÓN EN INGENIERÍA CIVIL</t>
  </si>
  <si>
    <t>Universidad Particular de Iquitos</t>
  </si>
  <si>
    <t>Universidad Alas Peruanas S.A.</t>
  </si>
  <si>
    <t>INGENIERO DE SISTEMAS E INFORMATICA</t>
  </si>
  <si>
    <t>BACHILLER EN INGENIERIA DE SISTEMAS E INFORMATICA</t>
  </si>
  <si>
    <t>BACHILLER EN INGENIERÍA CIVIL</t>
  </si>
  <si>
    <t>BACHILLER EN INGENIERÍA ELÉCTRICA</t>
  </si>
  <si>
    <t>Ingeniero Civil</t>
  </si>
  <si>
    <t>TITULO PROFESIONAL DE LICENCIADA EN ENFERMERIA</t>
  </si>
  <si>
    <t>BACHILLER EN ENFERMERIA</t>
  </si>
  <si>
    <t>Universidad Andina Néstor Cáceres Velásquez</t>
  </si>
  <si>
    <t>Universidad José Carlos Mariátegui</t>
  </si>
  <si>
    <t>Universidad Nacional Hermilio Valdizán de Huánuco</t>
  </si>
  <si>
    <t>LICENCIADO EN EDUCACION</t>
  </si>
  <si>
    <t>Escuela de Periodismo Jaime Bausate y Meza</t>
  </si>
  <si>
    <t>BACHILLER EN PERIODISMO</t>
  </si>
  <si>
    <t>LICENCIADO EN PERIODISMO</t>
  </si>
  <si>
    <t>Abogada</t>
  </si>
  <si>
    <t>BACHILLER EN DERECHO Y CIENCIAS POLÍTICAS</t>
  </si>
  <si>
    <t>BACHILLER EN EDUCACION</t>
  </si>
  <si>
    <t>Universidad Nacional de Cajamarca</t>
  </si>
  <si>
    <t>BACHILLER EN ADMINISTRACIÓN</t>
  </si>
  <si>
    <t>LICENCIADA EN ADMINISTRACIÓN</t>
  </si>
  <si>
    <t>LICENCIADO EN EDUCACIÓN PRIMARIA</t>
  </si>
  <si>
    <t>Universidad Nacional Pedro Ruiz Gallo</t>
  </si>
  <si>
    <t>LICENCIADO EN SOCIOLOGIA</t>
  </si>
  <si>
    <t>BACHILLER EN SOCIOLOGIA</t>
  </si>
  <si>
    <t>Universidad Nacional de Piura</t>
  </si>
  <si>
    <t>BACHILLER EN ARQUITECTURA Y URBANISMO</t>
  </si>
  <si>
    <t>ARQUITECTO</t>
  </si>
  <si>
    <t>Universidad Nacional Santiago Antúnez de Mayolo</t>
  </si>
  <si>
    <t>BACHILLER EN CIENCIAS AGRONOMIA</t>
  </si>
  <si>
    <t>INGENIERO AGRONOMO</t>
  </si>
  <si>
    <t>Universidad Nacional de Educación Enrique Guzmán y Valle</t>
  </si>
  <si>
    <t>BACHILLER EN EDUCACIÓN</t>
  </si>
  <si>
    <t>Universidad Privada Telesup S.A.C.</t>
  </si>
  <si>
    <t>BACHILLER EN DERECHO CORPORATIVO</t>
  </si>
  <si>
    <t>Universidad ESAN</t>
  </si>
  <si>
    <t>BACHILLER EN ADMINISTRACIÓN Y MARKETING</t>
  </si>
  <si>
    <t>LICENCIADA EN ADMINISTRACIÓN Y MARKETING</t>
  </si>
  <si>
    <t>universidad ALCIDES CARRIÓN</t>
  </si>
  <si>
    <t>BACHILLER</t>
  </si>
  <si>
    <t>BACHILLER EN CIENCIA POLITICA</t>
  </si>
  <si>
    <t>Grupo Educativo Universidad Privada de Ica S.A.C.</t>
  </si>
  <si>
    <t>INGENIERO EN INFORMÁTICA Y DE SISTEMAS</t>
  </si>
  <si>
    <t>Universidad Nacional San Luis Gonzaga de Ica</t>
  </si>
  <si>
    <t>LICENCIADO EN MATEMATICA E INFORMATICA</t>
  </si>
  <si>
    <t>BACHILLER EN CIENCIAS MATEMATICAS E INFORMATICA</t>
  </si>
  <si>
    <t>BACHILLER EN INGENIERÍA INFORMÁTICA Y DE SISTEMAS</t>
  </si>
  <si>
    <t>BACHILLER EN CIENCIAS SOCIALES</t>
  </si>
  <si>
    <t>Rome Business School</t>
  </si>
  <si>
    <t>Master</t>
  </si>
  <si>
    <t>TITULO DE ESPECIALISTA EN SALUD PUBLICA ESTOMATOLOGICA</t>
  </si>
  <si>
    <t>UNIVERSIDAD TECNOLOGICA DEL PERU</t>
  </si>
  <si>
    <t>TITULO</t>
  </si>
  <si>
    <t>ESTUDIOS DE DERECHO</t>
  </si>
  <si>
    <t>Universidad Femenina del Sagrado Corazón</t>
  </si>
  <si>
    <t>Estudiante</t>
  </si>
  <si>
    <t>Carrera de Contabilidad</t>
  </si>
  <si>
    <t>INCA GARCILASO DE LA VEGA</t>
  </si>
  <si>
    <t>en tramite</t>
  </si>
  <si>
    <t>ESTOY EN PROCESO DE ACCEDER AL TITULO UNIVERSITARIO</t>
  </si>
  <si>
    <t>BACHILLER EN CIENCIAS ADMINISTRATIVAS Y MARKETING ESTRATÉGICO</t>
  </si>
  <si>
    <t>Educación</t>
  </si>
  <si>
    <t>CIRUJANA DENTISTA</t>
  </si>
  <si>
    <t>Psicología</t>
  </si>
  <si>
    <t>Escuela Militar de Chorrillos “Coronel Francisco Bolognesi”</t>
  </si>
  <si>
    <t>LICENCIADO EN CIENCIAS MILITARES</t>
  </si>
  <si>
    <t>BACHILLER EN CIENCIAS MILITARES</t>
  </si>
  <si>
    <t>Universidad La Salle</t>
  </si>
  <si>
    <t>UNIVERSIDAD PRIVADA DEL NORTE</t>
  </si>
  <si>
    <t>Bachiller en Ciencias Administrativas</t>
  </si>
  <si>
    <t>LICENCIADO EN CIENCIAS ADMINISTRATIVAS</t>
  </si>
  <si>
    <t>LICENCIADO EN COMERCIO Y NEGOCIOS INTERNACIONALES</t>
  </si>
  <si>
    <t>BACHILLER EN COMERCIO Y NEGOCIOS INTERNACIONALES</t>
  </si>
  <si>
    <t>UNIFE</t>
  </si>
  <si>
    <t>ARQUITECTA</t>
  </si>
  <si>
    <t>Se obtuvo el título de Arquitecta en setiembre de 1997.</t>
  </si>
  <si>
    <t>ESTUDIANTE</t>
  </si>
  <si>
    <t>BACHILLER EN CIENCIAS CON MENCION EN INGENIERIA INDUSTRIAL</t>
  </si>
  <si>
    <t>TITULO PROFESIONAL DE INGENIERO INDUSTRIAL</t>
  </si>
  <si>
    <t>TIENE_POSGRADO</t>
  </si>
  <si>
    <t>POSGRADO</t>
  </si>
  <si>
    <t>ESPECIALIDAD_GRADO</t>
  </si>
  <si>
    <t>ES_MAESTRO</t>
  </si>
  <si>
    <t>ES_DOCTOR</t>
  </si>
  <si>
    <t>AÑO</t>
  </si>
  <si>
    <t>Universidad Nacional de San Agustín</t>
  </si>
  <si>
    <t>Maestría en Psicología Clínica Educativa Infantil y Adolescencial</t>
  </si>
  <si>
    <t>Estudios concluidos, mas no obtuve el grado.</t>
  </si>
  <si>
    <t>MAESTRO EN CIENCIAS: CONTABLES Y ADMINISTRATIVAS</t>
  </si>
  <si>
    <t>DOCTORA EN CIENCIAS EMPRESARIALES</t>
  </si>
  <si>
    <t>MAGÍSTER EN GOBIERNO Y POLÍTICAS PÚBLICAS</t>
  </si>
  <si>
    <t>MAESTRO EN ECONOMÍA MENCIÓN GESTIÓN PÚBLICA Y DESARROLLO REGIONAL</t>
  </si>
  <si>
    <t>Universidad Nacional San Antonio Abad del Cusco</t>
  </si>
  <si>
    <t>Doctorado en Economía</t>
  </si>
  <si>
    <t>Desde 2024</t>
  </si>
  <si>
    <t>Maestría en Ciencia Política y Gobierno</t>
  </si>
  <si>
    <t>Universidad Del Pacifico</t>
  </si>
  <si>
    <t>Maestría en Finanzas Corporativas</t>
  </si>
  <si>
    <t>Con fecha 30/07/2019 se emitió constancia de notas con créditos culminados, a la fecha categoría egresado.</t>
  </si>
  <si>
    <t>Universidad Peruana Los Andes UPLA</t>
  </si>
  <si>
    <t>Gestión Pública</t>
  </si>
  <si>
    <t>Se concluye la maestría el 21/12/25</t>
  </si>
  <si>
    <t>MAESTRO EN GESTIÓN PÚBLICA</t>
  </si>
  <si>
    <t>Universidad San Ignacio de Loyola</t>
  </si>
  <si>
    <t>UNIVERSIDAD REY JUAN CARLOS</t>
  </si>
  <si>
    <t>TÍTULO OFICIAL DE MÁSTER UNIVERSITARIO EN CIENCIA POLÍTICA Y GESTIÓN PÚBLICA (GRADO DE MAESTRO)</t>
  </si>
  <si>
    <t>Maestría en Derecho Civil y Comercial</t>
  </si>
  <si>
    <t>Universidad de la Rioja - España</t>
  </si>
  <si>
    <t>Maestría en Comunicación y Marketing Político</t>
  </si>
  <si>
    <t>Universidad Peruana de Ciencias Aplicadas S.A.C.</t>
  </si>
  <si>
    <t>MAESTRO EN DERECHO DE LA EMPRESA</t>
  </si>
  <si>
    <t>Universidad Particular Ricardo Palma</t>
  </si>
  <si>
    <t>Ciencias Políticas</t>
  </si>
  <si>
    <t>Maestría concluida y aprobada con situación de egresado.</t>
  </si>
  <si>
    <t>MAESTRO EN SOLUCIÓN DE CONFLICTOS</t>
  </si>
  <si>
    <t>UNIVERSIDAD INTERNACIONAL DE LA RIOJA</t>
  </si>
  <si>
    <t>TÍTULO OFICIAL DE MÁSTER UNIVERSITARIO EN COMUNICACIÓN Y MARKETING POLÍTICO (GRADO DE MAESTRO)</t>
  </si>
  <si>
    <t>UNIVERSIDAD DE SEVILLA</t>
  </si>
  <si>
    <t>TITULO DE MASTER EN IMPLANTOLOGÍA ORAL</t>
  </si>
  <si>
    <t>TITULO PROPIO (SEVILLA - ESPAÑA)</t>
  </si>
  <si>
    <t>UNIVERSITAT POMPEU FABRA</t>
  </si>
  <si>
    <t>TÍTULO UNIVERSITARIO OFICIAL DE MÁSTER EN GOBIERNO Y GESTIÓN PÚBLICA EN AMÉRICA LATINA (GRADO DE MAESTRO)</t>
  </si>
  <si>
    <t>GESTIÓN PÚBLICA</t>
  </si>
  <si>
    <t>Estudié la citada maestría en el periodo 2014-2015.</t>
  </si>
  <si>
    <t>Magíster en Gestión, mención en Finanzas Públicas</t>
  </si>
  <si>
    <t>Universidad Privada César Vallejo</t>
  </si>
  <si>
    <t>MAGISTER EN GESTION DE LOS SERVICIOS DE LA SALUD</t>
  </si>
  <si>
    <t>DOCTOR EN GESTIÓN PÚBLICA Y GOBERNABILIDAD</t>
  </si>
  <si>
    <t>Universidad de Piura</t>
  </si>
  <si>
    <t>MAGISTER EN GOBIERNO DE LAS ORGANIZACIONES</t>
  </si>
  <si>
    <t>Mi fecha de egreso es el 21/08/2020. Y, la obtención del título es el 29/01/21.</t>
  </si>
  <si>
    <t>MAGISTER EN GESTION PUBLICA</t>
  </si>
  <si>
    <t>Universidad Nacional de la Amazonía Peruana</t>
  </si>
  <si>
    <t>MAGISTER EN GESTION EMPRESARIAL</t>
  </si>
  <si>
    <t>Universidad Peruana de Ciencias e Informática S.A.C.</t>
  </si>
  <si>
    <t>MAESTRO EN INVESTIGACIÓN Y DOCENCIA UNIVERSITARIA</t>
  </si>
  <si>
    <t>DOCTOR EN EDUCACIÓN</t>
  </si>
  <si>
    <t>Universitat Pompeu Fabra</t>
  </si>
  <si>
    <t>Registro NRO.067 - SERVIR 2019</t>
  </si>
  <si>
    <t>Universidad Andina Ne`stor Càceres Velasquez</t>
  </si>
  <si>
    <t>Derecho Constitucional</t>
  </si>
  <si>
    <t>MAESTRA EN GESTIÓN PÚBLICA</t>
  </si>
  <si>
    <t>Universidad Nacional del Altiplano</t>
  </si>
  <si>
    <t>Magíster Scientiae en Contabilidad y Administración Mención en Administración y Finanzas</t>
  </si>
  <si>
    <t>Universidad Cesar Vallejo</t>
  </si>
  <si>
    <t>UNIVERSIDAD DE SAN MARTÍN DE PORRES</t>
  </si>
  <si>
    <t>EN SUSTENTACIÓN DE TESIS</t>
  </si>
  <si>
    <t>MAESTRO EN CIENCIAS DE LA EDUCACIÓN CON MENCIÓN EN GESTIÓN EDUCACIONAL</t>
  </si>
  <si>
    <t>UNIVERSIDAD INCA GARCILAZO DE LA VEGA</t>
  </si>
  <si>
    <t>MAESTRIA EN INVESTIGACIÓN Y DOCENCIA UNIVERSITARIA</t>
  </si>
  <si>
    <t>UNIVERSIDAD AUTONOMA DEL PERÚ</t>
  </si>
  <si>
    <t>MAESTRIA EN DERECHO PENAL</t>
  </si>
  <si>
    <t>Universidad Nacional San Luis Gonzaga</t>
  </si>
  <si>
    <t>MAESTRO EN INGENIERÍA DE SISTEMAS - MENCIÓN GESTIÓN DE LA TECNOLOGÍA DE LA INFORMACIÓN</t>
  </si>
  <si>
    <t>Tecnológico de Monterrey</t>
  </si>
  <si>
    <t>Diplomado en Inversión Social Privada</t>
  </si>
  <si>
    <t>Docencia e investigación universitaria</t>
  </si>
  <si>
    <t>Me encuentro como egresada de la maestría.</t>
  </si>
  <si>
    <t>Maestra en Gestión Pública</t>
  </si>
  <si>
    <t>MAESTRO EN CIENCIAS DE LA EDUCACION CON MENCION EN INVESTIGACION Y DOCENCIA</t>
  </si>
  <si>
    <t>Maestría en Ciencias Políticas</t>
  </si>
  <si>
    <t>Universidad Nacional San Agustin</t>
  </si>
  <si>
    <t>Magister en Gestión Pública</t>
  </si>
  <si>
    <t>Doctorado en Derecho</t>
  </si>
  <si>
    <t>Me encuentro en el tercer ciclo del doctorado y con miras a retornarlo</t>
  </si>
  <si>
    <t>Maestría en Nuevo Código Procesal Penal con mención en Litigación Oral</t>
  </si>
  <si>
    <t>MAESTRO EN ADMINISTRACION</t>
  </si>
  <si>
    <t>Escuela Superior de Guerra del Ejército</t>
  </si>
  <si>
    <t>MAESTRO EN CIENCIAS MILITARES</t>
  </si>
  <si>
    <t>UNIVERSIDAD CATÓLICA SAN PABLO</t>
  </si>
  <si>
    <t>GESTIÓN PÚBLICA Y POLÍTICAS PÚBLICAS</t>
  </si>
  <si>
    <t>ESTUDIOS CONCLUIDOS EN EL AÑO 2024</t>
  </si>
  <si>
    <t>UNIVERSIDAD PACIFICO</t>
  </si>
  <si>
    <t>PLANEAMIENTO ESTRATEGICO</t>
  </si>
  <si>
    <t>Escuela Superior de la Policia del Perú</t>
  </si>
  <si>
    <t>MAESTRO EN ADMINISTRACIÓN Y CIENCIAS POLICIALES</t>
  </si>
  <si>
    <t>Centro de Altos Estudios Nacionales - CAEN</t>
  </si>
  <si>
    <t>MAESTRO EN INTELIGENCIA ESTRATÉGICA</t>
  </si>
  <si>
    <t>CENTRO DE ALTOS DE ESTUDIOS NACIONALES</t>
  </si>
  <si>
    <t>DOCTORADO EN DESARROLLO Y SEGURIDAD ESTRATEGICA</t>
  </si>
  <si>
    <t>EGRESADO, TESIS EN PROCESO.</t>
  </si>
  <si>
    <t>UNIVERSIDAD DE NAVARRA</t>
  </si>
  <si>
    <t>TÍTULO OFICIAL DE MÁSTER UNIVERSITARIO EN DERECHO DE FAMILIA (GRADO DE MAESTRO)</t>
  </si>
  <si>
    <t>MAGISTRA EN CIENCIA POLÍTICA Y GOBIERNO CON MENCIÓN EN POLÍTICAS PÚBLICAS Y GESTIÓN PÚBLICA</t>
  </si>
  <si>
    <t>SOLUCION DE CONFLICTOS</t>
  </si>
  <si>
    <t>UNIVERSIDAD DE PIURA</t>
  </si>
  <si>
    <t>PROGRAMA DE REALIDAD NACIONAL</t>
  </si>
  <si>
    <t>UNIVERSIDAD INCA GARCILASO DE LA VEGA</t>
  </si>
  <si>
    <t>ADMINSTRACION DE EMPRESA</t>
  </si>
  <si>
    <t>Obtuvo en el año: 200</t>
  </si>
  <si>
    <t>PONTIFICIA UNIVERSIDAD CATOLICA DEL PERU</t>
  </si>
  <si>
    <t>MAESTRIA</t>
  </si>
  <si>
    <t>GERENCIA SOCIAL</t>
  </si>
  <si>
    <t>MAGISTER</t>
  </si>
  <si>
    <t>TIENE_OTRO_POSGRADO</t>
  </si>
  <si>
    <t>POSGRADO_OTRO</t>
  </si>
  <si>
    <t>ESPECIALIDAD</t>
  </si>
  <si>
    <t>GRADO</t>
  </si>
  <si>
    <t>Massachussetts Institute of Technology</t>
  </si>
  <si>
    <t>Digital Transformator</t>
  </si>
  <si>
    <t>No está Inscrito en SUNEDU</t>
  </si>
  <si>
    <t>European Open Business School</t>
  </si>
  <si>
    <t>Master en Innovación Digital y Excelencia Empresarial</t>
  </si>
  <si>
    <t>En proceso de estudio</t>
  </si>
  <si>
    <t>MAESTRIA EN DERECHO CIVIL Y COMERCIAL</t>
  </si>
  <si>
    <t>SOLO EGRESADO</t>
  </si>
  <si>
    <t>DOMINICAN UNIVERSITY OF CALIFORNIA</t>
  </si>
  <si>
    <t>ONLINE MBA FOR LATIN AMERICA</t>
  </si>
  <si>
    <t>EN CURSO</t>
  </si>
  <si>
    <t>Responsabilidad Social</t>
  </si>
  <si>
    <t>Diploma en Responsabilidad Social (Tercer Programa de Alta Especializacion en Responsabilidad Social) 100 sesiones de una hora y  treinta minutos cada una.</t>
  </si>
  <si>
    <t>UNIVERSIDAD DE LA AMAZONIA PERUANA</t>
  </si>
  <si>
    <t>CIENCIAS EMPRESARIALES</t>
  </si>
  <si>
    <t>CURSANDO ESTUDIOS DE DOCTORADO</t>
  </si>
  <si>
    <t>Gerencia Social</t>
  </si>
  <si>
    <t>En curso</t>
  </si>
  <si>
    <t>MBA ADMINISTRACIÓN Y DIRECCION DE NEGOCIOS</t>
  </si>
  <si>
    <t>UNIVERSIDA NACIONAL DE EDUCACION "ENRIQUE GUZMAN Y VALLE" LA CANTUTA</t>
  </si>
  <si>
    <t>MENSION. GESTION EDUCACIONAL</t>
  </si>
  <si>
    <t>UNIVERSIDAD CATOLICA DE TRUJILLO</t>
  </si>
  <si>
    <t>INFORMATICA EDUCATIVA</t>
  </si>
  <si>
    <t>MAESTRO</t>
  </si>
  <si>
    <t>DIPLOMA DE MAESTRO EN TRAMITE</t>
  </si>
  <si>
    <t>Diplomado en Alta Dirección en Salud Publica y hospitales</t>
  </si>
  <si>
    <t>Diplomado</t>
  </si>
  <si>
    <t>Cuenta con 1020 horas que corresponde a 24 créditos</t>
  </si>
  <si>
    <t>Universidad Nacional San Luis Gonzaga de ICA</t>
  </si>
  <si>
    <t>Diplomado en auditoria medica y estomatologica</t>
  </si>
  <si>
    <t>Se curso con 1275 horas con 30 créditos.</t>
  </si>
  <si>
    <t>Conciliador Extrajudicial</t>
  </si>
  <si>
    <t>Security College US</t>
  </si>
  <si>
    <t>ANALISIS DE RIESGO Y ESTUDIO DE SEGURIDAD</t>
  </si>
  <si>
    <t>DIPLOMADO</t>
  </si>
  <si>
    <t>CENTRO DE ESTUDIOS DE SEGURIDAD</t>
  </si>
  <si>
    <t>ALTA GERENCIA DE SEGURIDAD</t>
  </si>
  <si>
    <t>UNIVERSIDAD DEL PACÍFICO</t>
  </si>
  <si>
    <t>REGULACIÓN DE SERVICIOS PÚBLICOS</t>
  </si>
  <si>
    <t>TIENE_CARGO_PARTIDARIO</t>
  </si>
  <si>
    <t>ORGANIZACION_POLITICA_CARGO</t>
  </si>
  <si>
    <t>CARGO_PARTIDARIO</t>
  </si>
  <si>
    <t>DECIDE</t>
  </si>
  <si>
    <t>SECRETARIO REGIONAL DE ETICA Y DISCIPLINA</t>
  </si>
  <si>
    <t>PERSONERO LEGAL TITULAR</t>
  </si>
  <si>
    <t>AYACUCHO POR LA UNIDAD - APU</t>
  </si>
  <si>
    <t>FUNDADOR</t>
  </si>
  <si>
    <t>SUB SECRETARIO GENERAL</t>
  </si>
  <si>
    <t>SECRETARÍA NACIONAL DE INTERCULTURALIDAD E IDENTIDAD</t>
  </si>
  <si>
    <t>0000</t>
  </si>
  <si>
    <t>SECRETARÍA NACIONAL DE PROGRAMA Y PLAN DE GOBIERNO</t>
  </si>
  <si>
    <t>PARTIDO POLÍTICO AHORA NACION - AN</t>
  </si>
  <si>
    <t>Secretario Ejecutivo Regional Junín</t>
  </si>
  <si>
    <t>RES. N° 025-CEN/AN</t>
  </si>
  <si>
    <t>SECRETARÍA NACIONAL DE DESCENTRALIZACIÓN Y MOVILIZACIÓN</t>
  </si>
  <si>
    <t>SECRETARIO NACIONAL DEL GRUPO PARLAMENTARIO</t>
  </si>
  <si>
    <t>TERCER MIEMBRO SUPLENTE DEL TRIBUNAL ELECTORAL NACIONAL</t>
  </si>
  <si>
    <t>Ejerció el cargo hasta el 25 de enero de 2025, a solicitud del partido político.</t>
  </si>
  <si>
    <t>SECRETARÍA NACIONAL DE JÓVENES</t>
  </si>
  <si>
    <t>SECRETARÍA NACIONAL DE JUVENTUDES</t>
  </si>
  <si>
    <t>SECRETARÍA NACIONAL DE LA MUJER E INCLUSIÓN SOCIAL</t>
  </si>
  <si>
    <t>TESORERA TITULAR</t>
  </si>
  <si>
    <t>SECRETARÍA NACIONAL DEL GRUPO PARLAMENTARIO</t>
  </si>
  <si>
    <t>SECRETARÍA NACIONAL DE ECONOMÍA</t>
  </si>
  <si>
    <t>SECRETARÍA NACIONAL DE ETICA Y DISCIPLINA</t>
  </si>
  <si>
    <t>SECRETARÍA NACIONAL DE COMUNICACIONES</t>
  </si>
  <si>
    <t>SECRETARIA NACIONAL DE FAMILIA</t>
  </si>
  <si>
    <t>TESORERO SUPLENTE</t>
  </si>
  <si>
    <t>CAMBIO RADICAL</t>
  </si>
  <si>
    <t>PERSONERO LEGAL ALTERNO</t>
  </si>
  <si>
    <t>SECRETARÍA NACIONAL DE FORMACIÓN POLÍTICA</t>
  </si>
  <si>
    <t xml:space="preserve">HASTA LA ACTUALIDAD </t>
  </si>
  <si>
    <t>SECRETARÍA NACIONAL DE AGRICULTURA Y MEDIO AMBIENTE</t>
  </si>
  <si>
    <t>SECRETARÍA NACIONAL DE DISCIPLINA</t>
  </si>
  <si>
    <t>REPRESENTANTE ANTE EL SISTEMA FINANCIERO</t>
  </si>
  <si>
    <t>EN EL CARGO DE REPRESENTANTE DEL SISTEMA FINANCIERO HASTA LA ACTUALIDAD</t>
  </si>
  <si>
    <t>COMPROMISO CAMPESINO</t>
  </si>
  <si>
    <t>APODERADO</t>
  </si>
  <si>
    <t xml:space="preserve">Hasta la actualidad. Adicional a ello, desde el 13/02/2024, ocupo el cargo de Sub Secretario General Nacional del partido político Fuerza Popular, el cual no figura en el sistema Declara. </t>
  </si>
  <si>
    <t>SECRETARÍA NACIONAL DE EDUCACIÓN, ARTE, CULTURA, INNOVACIÓN Y TECNOLOGÍA</t>
  </si>
  <si>
    <t>CASERIOS PARA EL TRABAJO</t>
  </si>
  <si>
    <t>FRENTE REGIONAL PROGRESISTA IQUEÑO</t>
  </si>
  <si>
    <t>PERSONERO TÉCNICO TITULAR</t>
  </si>
  <si>
    <t>SECRETARÍA DE MYPES, PYMES Y EMPRENDEDORES</t>
  </si>
  <si>
    <t>SECRETARÍA NACIONAL DE PLAN DE GOBIERNO Y COMANDOS PROFESIONALES</t>
  </si>
  <si>
    <t>SECRETARÍA NACIONAL DE MOVILIZACIÓN SOCIAL</t>
  </si>
  <si>
    <t>MOVIMIENTO REGIONAL O DEPARTAMENTAL MOVIMIENTO REGIONAL AGRO</t>
  </si>
  <si>
    <t>Miembro Comité Regional</t>
  </si>
  <si>
    <t>SECRETARÍA NACIONAL DE DESARROLLO HUMANO Y SOCIAL</t>
  </si>
  <si>
    <t>SECRETARÍA GENERAL NACIONAL</t>
  </si>
  <si>
    <t>PARTIDO POLÍTICO PARTIDO CIVICO OBRAS</t>
  </si>
  <si>
    <t>SECRETARIO GENERAL PROVINCIAL DE ISLAY - AREQUIPA</t>
  </si>
  <si>
    <t>PARTIDO POLÍTICO PARTIDO DEL BUEN GOBIERNO</t>
  </si>
  <si>
    <t>SECRETARIO PROVINCIAL DE ORGANIZACION</t>
  </si>
  <si>
    <t>TRIBUNAL NACIONAL DE ÉTICA Y DISCIPLINA - SEGUNDO MIEMBRO SUPLENTE</t>
  </si>
  <si>
    <t>MOVIMIENTO AMPLIO REGIONAL CALLAO</t>
  </si>
  <si>
    <t>PUERTO CALLAO</t>
  </si>
  <si>
    <t>COMITÉ EJECUTIVO REGIONAL - PRESIDENTE</t>
  </si>
  <si>
    <t>Secretaria de economía del comité de Ica</t>
  </si>
  <si>
    <t xml:space="preserve">SECRETARÍA DE ORGANIZACIÓN </t>
  </si>
  <si>
    <t>PARTIDO POLÍTICO PARTIDO POPULAR CRISTIANO - PPC</t>
  </si>
  <si>
    <t>SECRETARIO REGIONAL DE PLAN DE GOBIERNO</t>
  </si>
  <si>
    <t>MOVIMIENTO REGIONAL O DEPARTAMENTAL MOVIMIENTO REGIONAL PARA EL DESARROLLO CON SEGURIDAD Y HONRADEZ</t>
  </si>
  <si>
    <t>MIEMBRO DEL COMITÉ DEL DEPARTAMENTO DE LA LIBERTAD, PROVINCIA DE TRUJILLO, DISTRITO DE TRUJILLO</t>
  </si>
  <si>
    <t>MOVIMIENTO DE DESARROLLO LOCAL MODELO REGION PIURA</t>
  </si>
  <si>
    <t>SECRETARIO NACIONAL DE DIFUSIÓN</t>
  </si>
  <si>
    <t>PARTIDO DEMOCRATICO SOMOS PERU</t>
  </si>
  <si>
    <t>SECRETARIO NACIONAL DE ORGANIZACIÓN</t>
  </si>
  <si>
    <t>ANTES SOLIDARIDAD NACIONAL</t>
  </si>
  <si>
    <t>TINE_CARGO_ELECCION</t>
  </si>
  <si>
    <t>CARGO_ELECCION</t>
  </si>
  <si>
    <t>INFORMACION_COMPLEMTARIA</t>
  </si>
  <si>
    <t>YO AREQUIPA</t>
  </si>
  <si>
    <t>2026</t>
  </si>
  <si>
    <t>CONSEJERO REGIONAL</t>
  </si>
  <si>
    <t>PARTIDO POLÍTICO PARTIDO DESCENTRALISTA FUERZA SOCIAL</t>
  </si>
  <si>
    <t>REGIDOR PROVINCIAL</t>
  </si>
  <si>
    <t>EL FRENTE AMPLIO POR JUSTICIA, VIDA Y LIBERTAD</t>
  </si>
  <si>
    <t>periodo 2021 - 2026</t>
  </si>
  <si>
    <t>INTEGRANTE DE LA C. PERMANENTE HASTA MARZO DE 2020, MES EN QUE DEJO EL CARGO DE CONGRESISTA DEBIDO A  LA DISOLUCIÓN DEL CONGRESO.</t>
  </si>
  <si>
    <t>Fui elegida congresista para el periodo parlamentario 2016- 2021, sin embargo, por el cierre inconstitucional del Congreso del 30 de setiembre del año 2019, estuve desde esa fecha hasta el 15 de marzo de 2020, en el cargo de parlamentaria y primera vicepresidenta del Congreso durante el interregno parlamentario.</t>
  </si>
  <si>
    <t>UNION POR EL PERU</t>
  </si>
  <si>
    <t>MI CALLAO</t>
  </si>
  <si>
    <t>REGIDOR DISTRITAL</t>
  </si>
  <si>
    <t>CHIMPUM CALLAO</t>
  </si>
  <si>
    <t>ELEGIDO CONGRESISTA POR EL PERIODO 2021-2026.</t>
  </si>
  <si>
    <t>TODOS POR LAMBAYEQUE - MANOS LIMPIAS</t>
  </si>
  <si>
    <t>ALCALDE DISTRITAL</t>
  </si>
  <si>
    <t>ADELANTE CHICLAYO</t>
  </si>
  <si>
    <t>2002</t>
  </si>
  <si>
    <t>ALIANZA ELECTORAL UNIDAD NACIONAL</t>
  </si>
  <si>
    <t>PARTIDO POPULAR CRISTIANO - PPC</t>
  </si>
  <si>
    <t>HASTA SETIEMBRE 2019 POR DISOLUCIÓN DEL CONGRESO</t>
  </si>
  <si>
    <t>ALIANZA POR EL FUTURO</t>
  </si>
  <si>
    <t>ALIANZA PARA EL PROGRESO</t>
  </si>
  <si>
    <t>TODO POR UCAYALI</t>
  </si>
  <si>
    <t>UNIDAD NACIONAL</t>
  </si>
  <si>
    <t>REPRESENTANTE ANTE EL PARLAMENTO ANDINO</t>
  </si>
  <si>
    <t>SOLIDARIDAD NACIONAL</t>
  </si>
  <si>
    <t>SE PRECISA QUE SOLO EJERCIO FUNCIONES HASTA EL 2020, POR HABERSE DISUELTO EL CONGRESO Y POR SER TERCER VICEPRESIDENTE DEL CONGRESO.</t>
  </si>
  <si>
    <t>NO CUMPLIO CON EL PERIODO, PORQUE EJERCIÓ DESDE EL 2016  EL CARGO DE CONGRESISTA DE LA REPÚBLICA</t>
  </si>
  <si>
    <t>PERIODO 2021-2026. HASTA LA ACTUALIDAD</t>
  </si>
  <si>
    <t>MOVIMIENTO INDEPENDIENTE COMPROMISO CAMPESINO</t>
  </si>
  <si>
    <t>ALCALDE PROVINCIAL</t>
  </si>
  <si>
    <t>El periodo parlamentario se dio del 2016 al 2020.</t>
  </si>
  <si>
    <t>L.I. NRO 11 FRENTE INDEPENDIENTE SOLIDARIDAD UCHICINA</t>
  </si>
  <si>
    <t>1996</t>
  </si>
  <si>
    <t>MEDIANTE RESOLUCIÓN 920-97-JNE DE FECHA 01/10/1997 SE DECLARA COMO ALCALDE DEL CONCEJO DISTRITAL DE UCHIZA, PROVINCIA DE TOCACHE PARA CULMINAR EL PERIODO 1996-1998</t>
  </si>
  <si>
    <t xml:space="preserve">FUE CONGRESISTA EN EL PERIODO DE 2016 AL 2019 Y LUEGO DEL 2020 AL 2021 </t>
  </si>
  <si>
    <t>DESDE EL 01/01/2023 HASTA EL 13/10/2025</t>
  </si>
  <si>
    <t>ALIANZA REGIONAL JUNIN SOSTENIBLE</t>
  </si>
  <si>
    <t>CHIMPUM - CALLAO</t>
  </si>
  <si>
    <t>PERU POSIBLE</t>
  </si>
  <si>
    <t>VICEGOBERNADOR REGIONAL</t>
  </si>
  <si>
    <t>AREQUIPA RENACE</t>
  </si>
  <si>
    <t>L.I. NRO 25 SOMOS MM</t>
  </si>
  <si>
    <t>MOVIMIENTO REGIONAL OBRAS + OBRAS</t>
  </si>
  <si>
    <t>PERU PATRIA SEGURA</t>
  </si>
  <si>
    <t>CONTIGO CALLAO</t>
  </si>
  <si>
    <t>TIENE_SENTENCIA_PENAL</t>
  </si>
  <si>
    <t>EXPEDIENTE</t>
  </si>
  <si>
    <t>SENTENCIA</t>
  </si>
  <si>
    <t>ORGANO_JUDICIAL</t>
  </si>
  <si>
    <t>DELITO</t>
  </si>
  <si>
    <t>FALLO</t>
  </si>
  <si>
    <t>MODALIDAD</t>
  </si>
  <si>
    <t>OTRA_MODALIDAD</t>
  </si>
  <si>
    <t>CUMPLE_FALLO</t>
  </si>
  <si>
    <t>1437-2008</t>
  </si>
  <si>
    <t>07/11/2008</t>
  </si>
  <si>
    <t>CORTE SUPERIOR DE JUSTICIA DE LAMBAYEQUE</t>
  </si>
  <si>
    <t>DIFAMACIÓN</t>
  </si>
  <si>
    <t>RESERVA DE FALLO CONDENATORIO</t>
  </si>
  <si>
    <t>RESERVA DE FALLO</t>
  </si>
  <si>
    <t>PENA CUMPLIDA</t>
  </si>
  <si>
    <t>6992-2011</t>
  </si>
  <si>
    <t>16/06/2014</t>
  </si>
  <si>
    <t>3 AÑOS PENA PRIVATIVA LIBERTAD CONDICIONAL, 300 DÍAS MULTA Y S/. 3,500.00 DE REPARACIÓN CIVIL</t>
  </si>
  <si>
    <t>SUSPENDIDA</t>
  </si>
  <si>
    <t>LA REHABILITACIÓN FUE CON FECHA 28/01/2019.</t>
  </si>
  <si>
    <t>2160-2009</t>
  </si>
  <si>
    <t>27/04/2010</t>
  </si>
  <si>
    <t>CORTE SUPERIOR DE JUSTICIA DE LAMBAYEQUE 006º Juzgado
Penal De Chiclayo</t>
  </si>
  <si>
    <t>INJURIA</t>
  </si>
  <si>
    <t>MULTA</t>
  </si>
  <si>
    <t>859-2003</t>
  </si>
  <si>
    <t>09/08/2005</t>
  </si>
  <si>
    <t>CALUMNIA</t>
  </si>
  <si>
    <t>MULTA 120 DÍAS</t>
  </si>
  <si>
    <t>OTRO</t>
  </si>
  <si>
    <t>MULTA 120 días</t>
  </si>
  <si>
    <t>El expediente 0061-2002, fue refundido en el expediente 859-2003 en donde terminó como condena 120 días multa delito calumnia, siendo el mismo proceso penal con las mismas partes procesales. La rehabilitación fue con fecha 25/06/2025.</t>
  </si>
  <si>
    <t>005-95</t>
  </si>
  <si>
    <t>28/06/1995</t>
  </si>
  <si>
    <t>CORTE SUPERIOR JUSTICIA LAMBAYEQUE</t>
  </si>
  <si>
    <t>1 AÑO PENA PRIVATIVA CONDICIONAL</t>
  </si>
  <si>
    <t>LA REHABILITACIÓN FUE CON FECHA 03/04/2025</t>
  </si>
  <si>
    <t>112-2014-98-2402-JR</t>
  </si>
  <si>
    <t>25/03/2015</t>
  </si>
  <si>
    <t>1 ER JUZGADO DE INVESTIGACION PREPARATORIA</t>
  </si>
  <si>
    <t>FALSEDAD IDEOLÓGICA</t>
  </si>
  <si>
    <t>1 AÑO DE PENA SUSPENDIDA</t>
  </si>
  <si>
    <t>REHABILITADA CON RESOLUCION N° 17 CON FECHA 27-01-2021</t>
  </si>
  <si>
    <t>05960 - 2013-1706</t>
  </si>
  <si>
    <t>15/09/2022</t>
  </si>
  <si>
    <t>7° JUZG. INV. PREPARATORIA</t>
  </si>
  <si>
    <t>HURTO AGRAVADO</t>
  </si>
  <si>
    <t>4 AÑOS</t>
  </si>
  <si>
    <t>4 AÑOS PPL SUSPENDIDA POR 2 AÑOS.</t>
  </si>
  <si>
    <t>01187-2014-2-0601-JR-PE-05</t>
  </si>
  <si>
    <t>14/06/2015</t>
  </si>
  <si>
    <t>5° JUZGADO DE IMV PREPARATORIA</t>
  </si>
  <si>
    <t>ENTORPECIMIENTO AL FUNCIONAMIENTO VIA PUBLICA</t>
  </si>
  <si>
    <t>10 MESES Y 8 DIAS</t>
  </si>
  <si>
    <t>00310-2019-41-1015-JR-PE-01</t>
  </si>
  <si>
    <t>31/05/2023</t>
  </si>
  <si>
    <t>JUZGADO PENAL UNIPERSONAL - URUBAMBA</t>
  </si>
  <si>
    <t>FALSA DECLARACION - PROCESO ADMINISTRATIVO</t>
  </si>
  <si>
    <t>1 AÑO, 8 MESES, 17 DIAS</t>
  </si>
  <si>
    <t>085-2024-59-0510-JR-PE-01</t>
  </si>
  <si>
    <t>17/01/2025</t>
  </si>
  <si>
    <t>CORTE SUPERIOR DE JUSTICIA DE AYACUCHO</t>
  </si>
  <si>
    <t>LESIONES CULPOSA</t>
  </si>
  <si>
    <t>4 AÑOS, 6 MESES, 26 DIAS</t>
  </si>
  <si>
    <t>EN CUMPLIMIENTO</t>
  </si>
  <si>
    <t>03828-2024-0-3206-JP-CI-01</t>
  </si>
  <si>
    <t>12/05/2025</t>
  </si>
  <si>
    <t>MINISTERIO PUBLICO FISCALIA DE LA NACION</t>
  </si>
  <si>
    <t>PECULADO DOLOSO</t>
  </si>
  <si>
    <t>EFECTIVA</t>
  </si>
  <si>
    <t>00254-2011-58-211-JR-PE-01</t>
  </si>
  <si>
    <t>04/09/2017</t>
  </si>
  <si>
    <t>2DO JUZGADO PENAL UNIPERSONAL - SEDE JULIACA</t>
  </si>
  <si>
    <t>CONTRABANDO</t>
  </si>
  <si>
    <t>TRES AÑOS Y SEIS MESES</t>
  </si>
  <si>
    <t>LA SENTENCIA ES DE TRES AÑOS Y SEIS MESES DE PENA PRIVATIVA DE LIBERTAD SUSPENDIDA EN SU EJECUCIÓN POR EL PLAZO DE DOS AÑOS.</t>
  </si>
  <si>
    <t>62402</t>
  </si>
  <si>
    <t>30/12/2002</t>
  </si>
  <si>
    <t>AL EP TRUJILLO, DISP</t>
  </si>
  <si>
    <t>TENENCIA ILEGALDE ARMA DE FUEGO EN AGRAVIO DEL ESTADO</t>
  </si>
  <si>
    <t>COMPARECENCIA RESTRINGIDA</t>
  </si>
  <si>
    <t>TIENE_SENTENCIA_NO_PENAL</t>
  </si>
  <si>
    <t>MATERIA</t>
  </si>
  <si>
    <t>ORGANO_JURIDICO</t>
  </si>
  <si>
    <t>FAMILIA / ALIMENTARIA</t>
  </si>
  <si>
    <t>02240</t>
  </si>
  <si>
    <t>Juzgado de Paz Letrado - Juliaca - JP Puno</t>
  </si>
  <si>
    <t>Declarada fundada en parte la demanda de cobro de alimentos.</t>
  </si>
  <si>
    <t>EXP. N° 02240-2015-0-2111-JP-FC-01 / Me encuentro totalmente al día en mis pagos.</t>
  </si>
  <si>
    <t>CONTRACTUAL</t>
  </si>
  <si>
    <t>134-2016</t>
  </si>
  <si>
    <t>TERCER JUZGADO DE PAZ LETRADO MIXTO LA VICTORIA</t>
  </si>
  <si>
    <t>FUNDADA LA DEMANDA</t>
  </si>
  <si>
    <t>EXPEDIENTE 134-2016</t>
  </si>
  <si>
    <t>306</t>
  </si>
  <si>
    <t>DISTRITO JUDICIAL DE LAMBAYEQUE</t>
  </si>
  <si>
    <t>RETENCIÓN 60% DE MI REMUNERACIÓN</t>
  </si>
  <si>
    <t>EL NÚMERO DE EXPEDIENTE ES DEL AÑO 2007</t>
  </si>
  <si>
    <t>265</t>
  </si>
  <si>
    <t>CORTE SUPERIOR JUSTICIA LAMBAYEQUE-JUZGADO MIXTO DE JOSÉ LEONARDO ORTIZ</t>
  </si>
  <si>
    <t>RETENCIÓN Y/O PAGO DE S/. 200.00 MENSUALES</t>
  </si>
  <si>
    <t>EL NÚMERO DE EXPEDIENTE ES DEL AÑO 2002</t>
  </si>
  <si>
    <t>1022</t>
  </si>
  <si>
    <t>2° JUZGADO DE PAZ LETRADO PUEBLO LIBRE - LIMA</t>
  </si>
  <si>
    <t>RETENCIÓN Y PAGO DE S/. 150.00 SOLES MENSUALES</t>
  </si>
  <si>
    <t>EL NÚMERO DE EXPEDIENTE ES DEL AÑO 2000</t>
  </si>
  <si>
    <t>2048</t>
  </si>
  <si>
    <t>OBLIGACIÓN DE DAR SUMA DE DINERO</t>
  </si>
  <si>
    <t>EL NÚMERO DE EXPEDIENTE ES DEL AÑO 2018</t>
  </si>
  <si>
    <t>07763</t>
  </si>
  <si>
    <t>5to Juzgado Civil Comercial</t>
  </si>
  <si>
    <t>Sustracción de la materia por cancelación de la obligación.</t>
  </si>
  <si>
    <t>580</t>
  </si>
  <si>
    <t>1er Juzgado de Paz Letrado La Molina</t>
  </si>
  <si>
    <t>Fundada la demanda interpuesta por el BCP contra Royser Castro Grandez</t>
  </si>
  <si>
    <t>3490</t>
  </si>
  <si>
    <t>7mo Juzgado Civil Comercial</t>
  </si>
  <si>
    <t>Nulo todo lo actuado/Incompetencia por razón de cuantía. Se concluye el proceso.</t>
  </si>
  <si>
    <t>327</t>
  </si>
  <si>
    <t>1er Juzgado Civil La Molina y Cieneguilla</t>
  </si>
  <si>
    <t>Declara improcedente la demanda de obligación de dar suma de dinero (ODSD) interpuesta por el BCP contra Royser Castro Grandez.</t>
  </si>
  <si>
    <t>00045</t>
  </si>
  <si>
    <t>JUZGADO DE PAZ LETRADO MONSEFU</t>
  </si>
  <si>
    <t>FUNDADA</t>
  </si>
  <si>
    <t xml:space="preserve">EL NUMERO DE EXP 00045-2025-0-1713-JP-LA-01.
EL PROCESO ES POR OBLIGACION DE DAR SUMA DE DINERO
</t>
  </si>
  <si>
    <t>0265-2008 - 610</t>
  </si>
  <si>
    <t>JUZGADO DE PAZ LETRADO DE CHOTA</t>
  </si>
  <si>
    <t>CONCILIATORIO - ARCHIVO GENERAL</t>
  </si>
  <si>
    <t>375</t>
  </si>
  <si>
    <t>PRIMER JUZGADO DE PAZ LETRADO - CORTE SUPERIOR DE JUSTICIA</t>
  </si>
  <si>
    <t>PRIMERA INSTANCIA: RESOLUCIÓ N° 04 DE FECHA 10-04-2024 FUNDADA EN PARTE LA DEMANDA SOBRE AUMENTO DE LA PENSIÓN DE ALIMENTOS. SEGUNDA INSTANCIA: RESOLUCIÓN N° 12 DE FECHA 18-11-2024 REVOCA EL INCREMENTO POR CONCEPTO DE ESCOLARIDAD, GRATIFICACIÓNES POR FIESTAS PATRIAS Y NAVIDAD</t>
  </si>
  <si>
    <t xml:space="preserve">EXP N° 375-2024-0-1903-JP-FC-01
PRIMERA INSTANCIA: RESOLUCION N° 04 DEL 10.04.2024. FUNDADA EN PARTE LA DEMANDA SOBRE AUMENTO DE LA PENSION DE ALIMENTOS.
SEGUNDA INSTANCIA: RESOLUCION N° 12 DEL 18.11.2024 . CONFIRMAR la resolución número CUATRO – SENTENCIA y dispone fijar la nueva pensión de alimentos en la suma de UN MIL TRESCIENTOS CINCUENTA CON 00/100 SOLES (S/1350.00) y REVOCA EL INCREMENTO POR CONCEPTO DE ESCOLARIDAD, GRATIFICACIONES POR FIESTAS PATRIAS Y NAVIDAD DE UN MIL CON 00/100 SOLES </t>
  </si>
  <si>
    <t>616</t>
  </si>
  <si>
    <t>JUZGADO DE PAZ LETRADO DE SAN JUAN</t>
  </si>
  <si>
    <t>Resolución Número Tres del 14. 05.2009, resolvió ordenar  el ARCHIVO DEFINITIVO, por transacción extraproceso.</t>
  </si>
  <si>
    <t>EXP N° 616-2009-0-1903-JR-CI-02 - ARCHIVO DEFINITIVO</t>
  </si>
  <si>
    <t>02118-2008-0-1401-JP-FC-02</t>
  </si>
  <si>
    <t>SEGUNDO JUZGADO DE PAZ LETRADO-SEDE CENTRAL - ICA</t>
  </si>
  <si>
    <t>DECLARA FUNDADA EN PARTE LA DEMANDA INTERPUESTA POR FLOR DE MARÍA CAROL VARGAS PEÑA SOBRE ALIMENTOS EN CONTRA DE CARLOS ALBERTO ZEGARRA SANCHEZ, EN LA VÌA DE PROCESO ÚNICO, ORDENA: QUE EL DEMANDADO ACUDA EN FORMA MENSUAL Y ADELATADA A FAVOR DE SUS MENOR HIJA CARLA FERNANDA ZEGARRA VARGAS , CON UNA PENSIÓN ALIMENTICIA MENSUAL Y ADELANTADA DE TRESCIENTOS NUEVOS SOLES.</t>
  </si>
  <si>
    <t>VIOLENCIA FAMILIAR</t>
  </si>
  <si>
    <t>53-2021-1-0601-JR-PE-02</t>
  </si>
  <si>
    <t>1° JUZGADO PENAL UNIPERSONAL</t>
  </si>
  <si>
    <t>SE LLEGO A UNA CONCLUSIÓN ANTICIPADA, PENA DE 10 MESES Y 8 DIAS CON CARACTER DE SUSPENDIDAD</t>
  </si>
  <si>
    <t>0140-2016-1-0501-jo-pe-01</t>
  </si>
  <si>
    <t>Juzgado Penal Unipersonal-Kimbiri</t>
  </si>
  <si>
    <t>02 años con 06 meses</t>
  </si>
  <si>
    <t>TIENE_RENUNCIA</t>
  </si>
  <si>
    <t>ORGANIZACION_POLIICA_RENUNCIA</t>
  </si>
  <si>
    <t>RENACIMIENTO UNIDO NACIONAL</t>
  </si>
  <si>
    <t>AUTOGOBIERNO AYLLU</t>
  </si>
  <si>
    <t>NUEVO PERU, POR DEMOCRACIA, SOBERANIA Y JUSTICIA</t>
  </si>
  <si>
    <t>RENOVACION NACIONAL</t>
  </si>
  <si>
    <t>ACCION POPULAR</t>
  </si>
  <si>
    <t>MOVIMIENTO REGIONAL OBRAS POR LA MODERNIDAD</t>
  </si>
  <si>
    <t>ALIANZA CAJAMARCA SIEMPRE VERDE - FUERZA 2011</t>
  </si>
  <si>
    <t xml:space="preserve">ORGANIZACIÓN POLITICA FUE CANCELADA
</t>
  </si>
  <si>
    <t>MOVIMIENTO INDEPENDIENTE REGIONAL CAMBIO UCAYALINO</t>
  </si>
  <si>
    <t>VICTORIA NACIONAL</t>
  </si>
  <si>
    <t>Organización política Cambio Radical CANCELADA desde el 02 de julio del 2012. Afiliación cancelada.</t>
  </si>
  <si>
    <t>MOVIMIENTO REGIONAL SEGURIDAD Y PROSPERIDAD</t>
  </si>
  <si>
    <t>CAJAMARCA SIEMPRE VERDE</t>
  </si>
  <si>
    <t>MOVIMIENTO ESPERANZA REGION AMAZONICA</t>
  </si>
  <si>
    <t>UNO POR ICA</t>
  </si>
  <si>
    <t>ALIANZA NACIONAL DE TRABAJADORES AGRICULTORES UNIVERSITARIOS RESERVISTAS Y OBREROS</t>
  </si>
  <si>
    <t>PARTIDO POLITICO PRIN</t>
  </si>
  <si>
    <t>PARTIDO MOVIMIENTO HUMANISTA PERUANO</t>
  </si>
  <si>
    <t>PARTIDO NACIONALISTA PERUANO</t>
  </si>
  <si>
    <t>PARTIDO APRISTA PERUANO</t>
  </si>
  <si>
    <t>MOVIMIENTO REGIONAL AREQUIPA AVANCEMOS</t>
  </si>
  <si>
    <t>FRENTE REGIONAL DE CAJAMARCA</t>
  </si>
  <si>
    <t>FUERZA INKA AMAZONICA</t>
  </si>
  <si>
    <t>PARTIDO POLITICO NACIONAL PERU LIBRE</t>
  </si>
  <si>
    <t>PERU MODERNO</t>
  </si>
  <si>
    <t>PARTIDO POLÍTICO PARTIDO DEMOCRATICO SOMOS PERU</t>
  </si>
  <si>
    <t>MOVIMIENTO REGIONAL O DEPARTAMENTAL MOVIMIENTO REGIONAL TRABAJO MAS TRABAJO</t>
  </si>
  <si>
    <t>PARTIDO POLITICO CONTIGO</t>
  </si>
  <si>
    <t>MOVIMIENTO VERDE UNIDO</t>
  </si>
  <si>
    <t>PARTIDO MORADO</t>
  </si>
  <si>
    <t>AVANZA PAIS - PARTIDO DE INTEGRACION SOCIAL</t>
  </si>
  <si>
    <t>AREQUIPA TRANSFORMACION</t>
  </si>
  <si>
    <t>MOVIMIENTO REGIONAL PARA EL DESARROLLO CON SEGURIDAD Y HONRADEZ</t>
  </si>
  <si>
    <t>PARTIDO POLÍTICO RENOVACION POPULAR</t>
  </si>
  <si>
    <t>EL SUSCRITO SE VOLVIÓ A AFILIAR AL PARTIDO POLÍTICO RENOVACIÓN POPULAR EL 04 DE JUNIO DEL 2024.</t>
  </si>
  <si>
    <t>ORGANIZACION POLITICA UNIDAD REGIONAL</t>
  </si>
  <si>
    <t>PARTIDO SOLIDARIDAD NACIONAL</t>
  </si>
  <si>
    <t>Ahora Renovación Popular</t>
  </si>
  <si>
    <t>TIENE_INGRESOS</t>
  </si>
  <si>
    <t>REMUNERACION_BRUTA_PUBLICA</t>
  </si>
  <si>
    <t>REMUNERACION_BRUTA_PRIVADA</t>
  </si>
  <si>
    <t>RENTA_INDIVIDUAL_PUBLICA</t>
  </si>
  <si>
    <t>RENTA_INDIVIDUAL_PRIVADA</t>
  </si>
  <si>
    <t>OTRO_INGRESO_PUBLICO</t>
  </si>
  <si>
    <t>OTRO_INGRESO_PRIVADO</t>
  </si>
  <si>
    <t>INGRESO TOTAL</t>
  </si>
  <si>
    <t xml:space="preserve"> </t>
  </si>
  <si>
    <t>SUM of INGRESO TOTAL</t>
  </si>
  <si>
    <t>SUM of REMUNERACION_BRUTA_PUBLICA</t>
  </si>
  <si>
    <t>SUM of REMUNERACION_BRUTA_PRIVADA</t>
  </si>
  <si>
    <t>SUM of RENTA_INDIVIDUAL_PUBLICA</t>
  </si>
  <si>
    <t>SUM of RENTA_INDIVIDUAL_PRIVADA</t>
  </si>
  <si>
    <t>SUM of OTRO_INGRESO_PUBLICO</t>
  </si>
  <si>
    <t>SUM of OTRO_INGRESO_PRIVADO</t>
  </si>
  <si>
    <t>TIENE_INMUEBLE</t>
  </si>
  <si>
    <t>TIPO_BIEN</t>
  </si>
  <si>
    <t>INSCRITO_SUNARP</t>
  </si>
  <si>
    <t>PARTIDA</t>
  </si>
  <si>
    <t>AUTOVALUO</t>
  </si>
  <si>
    <t>VALOR</t>
  </si>
  <si>
    <t>REGISTRO DE PREDIOS</t>
  </si>
  <si>
    <t>CALLE LOMA UMBROSA       SANTIAGO DE SURCO - LIMA - LIMA</t>
  </si>
  <si>
    <t>49051737</t>
  </si>
  <si>
    <t>Aparece en búsqueda predial de SUNARP, mas corresponde a la matriz del inmueble del cual se han independizado los departamentos edificados.</t>
  </si>
  <si>
    <t xml:space="preserve">  MZ B LOTE 12 URB SANTO DOMINGO I ETAPA PAUCARPATA - AREQUIPA - AREQUIPA</t>
  </si>
  <si>
    <t>01157122</t>
  </si>
  <si>
    <t>Sociedad de gananciales.</t>
  </si>
  <si>
    <t>SECCION ESPECIAL DE PREDIOS RURALES</t>
  </si>
  <si>
    <t xml:space="preserve">      SECTOR LA PUNTA SAMUEL PASTOR - CAMANA - AREQUIPA</t>
  </si>
  <si>
    <t>04001321</t>
  </si>
  <si>
    <t>CALLE LAS ACACIAS NUM 221 DPTO N° 502 - QUINTO PISO   MIRAFLORES - LIMA - LIMA</t>
  </si>
  <si>
    <t>15280681</t>
  </si>
  <si>
    <t>Crédito hipotecario.</t>
  </si>
  <si>
    <t>CALLE LAS ACACIAS NUM 233 ESTAC N° 29 - TERCER SÓTANO   MIRAFLORES - LIMA - LIMA</t>
  </si>
  <si>
    <t>15280245</t>
  </si>
  <si>
    <t>Préstamo Hipotecario Banco BBVA</t>
  </si>
  <si>
    <t>CALLE LAS ACACIAS NUM 233 ESTAC N° 28 - TERCER SÓTANO   MIRAFLORES - LIMA - LIMA</t>
  </si>
  <si>
    <t>15280244</t>
  </si>
  <si>
    <t>Préstamo Hipotecario Banco BBVA.</t>
  </si>
  <si>
    <t xml:space="preserve">  MZ F LOTE 13 - SECCION 4 URB LA ESPERANZA JOSE LUIS BUSTAMANTE Y RIVERO - AREQUIPA - AREQUIPA</t>
  </si>
  <si>
    <t>11233478</t>
  </si>
  <si>
    <t>Sociedad de Gananciales.</t>
  </si>
  <si>
    <t>VILCAS HUAMAN-VILCAS HUAMAN- MZ T2 LOTE 10 - CENTRO POBLADO VILCAS HUAMAN</t>
  </si>
  <si>
    <t>P11179503</t>
  </si>
  <si>
    <t>Terreno por herencia</t>
  </si>
  <si>
    <t>VILCAS HUAMAN-VILCAS HUAMAN- MZ Ñ3 LOTE 3 - CENTRO POBLADO VILCAS HUAMAN</t>
  </si>
  <si>
    <t>P11180043</t>
  </si>
  <si>
    <t>Compraventa</t>
  </si>
  <si>
    <t>VILCAS HUAMAN-VILCAS HUAMAN- MZ Ñ3 LOTE 4 - CENTRO POBLADO VILCAS HUAMAN</t>
  </si>
  <si>
    <t>P11180044</t>
  </si>
  <si>
    <t>Terreno por herencia.</t>
  </si>
  <si>
    <t>Estacionamiento N° 3 y Depósito N° 2</t>
  </si>
  <si>
    <t>Av. General Alvarez de Arenales 680</t>
  </si>
  <si>
    <t>15929191</t>
  </si>
  <si>
    <t>Casa (8.3%)</t>
  </si>
  <si>
    <t>Av. Guillermo de la fuente N° 1058</t>
  </si>
  <si>
    <t>49015147</t>
  </si>
  <si>
    <t>Bien propio con terceros.</t>
  </si>
  <si>
    <t>AVENIDA GENERAL ALVAREZ DE ARENALES NUM 680 DPTO 1004 - DÉCIMO PISO   JESUS MARIA - LIMA - LIMA</t>
  </si>
  <si>
    <t>15929260</t>
  </si>
  <si>
    <t>Obtenido mediante crédito hipotecario</t>
  </si>
  <si>
    <t>UBICACION RURAL PREDIO CCAYTO       CALCA - CALCA - CUSCO</t>
  </si>
  <si>
    <t>11049914</t>
  </si>
  <si>
    <t>MZ C4 LOTE 11    SECTOR IV - CONJUNTO HABITACIONAL CARLOS CUETO FERNANDINI - DPTO: LIMA PROV: LIMA DIST: LOS OLIVOS</t>
  </si>
  <si>
    <t>P01190782</t>
  </si>
  <si>
    <t>Titular junto a José Carlos Huilca</t>
  </si>
  <si>
    <t>Inmueble</t>
  </si>
  <si>
    <t>Jiron Parihuanca Mz A Lt 28 Urb. Parque Industrial, Los Olivos</t>
  </si>
  <si>
    <t>44152517</t>
  </si>
  <si>
    <t>El valor no se consigna por no contar con el documento físico al momento de la declaración. Me comprometo a presentarlo cuando corresponda.</t>
  </si>
  <si>
    <t xml:space="preserve">  MZ B LOTE 1   EL TAMBO - HUANCAYO - JUNIN</t>
  </si>
  <si>
    <t>11320203</t>
  </si>
  <si>
    <t>Valor actual. S/. 200,000.00 aprox.</t>
  </si>
  <si>
    <t>Casa</t>
  </si>
  <si>
    <t>Plaza Principal Lya. Chongos Bajo</t>
  </si>
  <si>
    <t>Valores aproximados.</t>
  </si>
  <si>
    <t>Terreno</t>
  </si>
  <si>
    <t>Retama Cerco Pya. Chongos Bajo</t>
  </si>
  <si>
    <t>MZ U1 LOTE 20 - URBANIZACION LOS PROCERES PRIMERA ETAPA SECTOR 2-C - DPTO: LIMA PROV: LIMA DIST: SANTIAGO DE SURCO</t>
  </si>
  <si>
    <t>P03202078</t>
  </si>
  <si>
    <t>COPROPIEDAD CON PARTICIPACION DE 8.33%,  EL VALOR CONSIGNADO CORRESPONDE A ESTE PORCENTAJE.</t>
  </si>
  <si>
    <t>JIRON FRANCISCO DE CUELLAR NUM 500 DPTO Nº404 - CUARTO PISO FUNDO MONTERRICO CHICO SANTIAGO DE SURCO - LIMA - LIMA</t>
  </si>
  <si>
    <t>12795300</t>
  </si>
  <si>
    <t>SOCIEDAD CONYUGAL - BIEN INMUEBLE ADQUIRIDO CON GARANTIA  HIPOTECARIA.</t>
  </si>
  <si>
    <t>JIRON FRANCISCO DE CUELLAR NUM 510 ESTAC Nº60 - SOTANO 2 FUNDO MONTERRICO CHICO SANTIAGO DE SURCO - LIMA - LIMA</t>
  </si>
  <si>
    <t>12795201</t>
  </si>
  <si>
    <t>Av. Panamericana Norte Sector Paraiso - Distrito de Santa Maria</t>
  </si>
  <si>
    <t>1 lote de terreno eriazo con contrato de compra venta y escritura pública sin inscripción en SUNARP</t>
  </si>
  <si>
    <t>Calle Luis Felipe del Solar 387. Chancay - Huaral</t>
  </si>
  <si>
    <t>Sin inscripción registral en SUNARP</t>
  </si>
  <si>
    <t>Calle Junín S/N Distrito de Chancay - Huaral</t>
  </si>
  <si>
    <t>3 lotes de terrenos, con contrato privado de acciones y derechos  Sin inscripción en SUNARP, a 150000.00 cada lote.</t>
  </si>
  <si>
    <t>Lotizadora Santa Rosa, Chancay-Huaral.</t>
  </si>
  <si>
    <t>PO1277346</t>
  </si>
  <si>
    <t>3 lotes de terreno "Asociación de Vivienda El Rosal de Chancay" la partida registral está a nombre de la asociación, como socia, aún no se ha realizado la independización. El precio de cada lote es de 150000.00</t>
  </si>
  <si>
    <t>TERRENO</t>
  </si>
  <si>
    <t>CARRETERA SANTA DE CHIRI KM 11</t>
  </si>
  <si>
    <t>INMUEBLE</t>
  </si>
  <si>
    <t>BIENES INMUEBLES 1.- AVENIDA DE LAS ARTES NORTE 1240 DISTRITO DE SAN BORJA</t>
  </si>
  <si>
    <t>PARTIDA EN TRÁMITE. El valor comercial consignado es el brindado por la candidata.</t>
  </si>
  <si>
    <t>JIRON DAMASO 1044-1046-1050 DISTRITO HUANUCO</t>
  </si>
  <si>
    <t>02006216</t>
  </si>
  <si>
    <t>El valor comercial consignado es el brindado por la candidata.</t>
  </si>
  <si>
    <t>PREDIO RURAL S/N DISTRITO SAN FRANCISCO CAYRAN</t>
  </si>
  <si>
    <t>ZONA: ZONA REGISTRAL VI - SEDE PUCALLPA; OFICINA: PUCALLPA</t>
  </si>
  <si>
    <t>P19009914</t>
  </si>
  <si>
    <t>DIRECCIÓN JIRON TUPAC AMARU S/N, DISTRITO DE YARINACOCHA. El valor comercial consignado es el brindado por la candidata.</t>
  </si>
  <si>
    <t>P19009915</t>
  </si>
  <si>
    <t>DIRECCIÓN JIRON TUPAC AMARU S/N DISTRITO DE YARINACOCHA. El valor comercial consignado es el brindado por la candidata.</t>
  </si>
  <si>
    <t>JIRON AGUILAR CUADRA 07 MZ 01 LOTE 01   HUANUCO - HUANUCO - HUANUCO</t>
  </si>
  <si>
    <t>11000969</t>
  </si>
  <si>
    <t>AVENIDA DE LAS ARTES MZ G-6 LOTE 19 URB SAN BORJA - SEXTA ETAPA SAN BORJA - LIMA - LIMA</t>
  </si>
  <si>
    <t>41910542</t>
  </si>
  <si>
    <t>El valor del autoevaluó es el 33% de la propiedad. Faltando regularizar el demás porcentaje total ante la Municipalidad. El valor comercial consignado es el brindado por la candidata.</t>
  </si>
  <si>
    <t>JIRON ELMER FAUCETT MZ 217 LOTE 2 URB PLANO REGULADOR DE PUCALLPA CALLERIA - CORONEL PORTILLO - UCAYALI</t>
  </si>
  <si>
    <t>00004038</t>
  </si>
  <si>
    <t>Deposito</t>
  </si>
  <si>
    <t>Calle Los Húsares de Junín 150 Urb. Santa Constanza - Primera etapa - Santiago de Surco - Lima</t>
  </si>
  <si>
    <t>12438474</t>
  </si>
  <si>
    <t>Se consinga en ambos casos el valor autovaluo</t>
  </si>
  <si>
    <t>Cochera</t>
  </si>
  <si>
    <t>Los Húsares de Junín - Urb. Santa Constanza - Primera etapa - Santiago de Surco - Lima</t>
  </si>
  <si>
    <t>12438466</t>
  </si>
  <si>
    <t>Calle Los Húsares de Junín 146 - Dpto 402 Urb. Santa Constanza - Primera etapa - Santiago de Surco - Lima</t>
  </si>
  <si>
    <t>12438492</t>
  </si>
  <si>
    <t>CASA</t>
  </si>
  <si>
    <t>MZ. C LT.32 URB. LATINA</t>
  </si>
  <si>
    <t>02191933</t>
  </si>
  <si>
    <t>SE DECLARA QUE EL BIEN FORMA PARTE DE UNA SUCESIÓN INTESTADA Y AL SUSCRITO LE CORRESPONDE EL 25%</t>
  </si>
  <si>
    <t>CALLE TEODOCIO PARREÑO Y FELIPE SASSONE NUM 341 Y 111     BARRANCO - LIMA - LIMA</t>
  </si>
  <si>
    <t>42339822</t>
  </si>
  <si>
    <t>El bien corresponde a la sociedad conyugal. Se consigna en el Item valor el valor comercial estimado por el suscrito.</t>
  </si>
  <si>
    <t>CALLE DARIO TORRES NUM 164-178  08 - QUINTO Y SEXTO PISO   CHORRILLOS - LIMA - LIMA</t>
  </si>
  <si>
    <t>15978847</t>
  </si>
  <si>
    <t>Solo me corresponde el 10% del total del bien. En el item valor se consigna el valor comercial estimado por el suscrito,  y solo del porcentaje que le corresponde, al igual que el consignado en el valor de autovalúo.</t>
  </si>
  <si>
    <t>CALLE DARIO TORRES NUM 164-178  07 - CUARTO Y QUINTO PISO   CHORRILLOS - LIMA - LIMA</t>
  </si>
  <si>
    <t>15978846</t>
  </si>
  <si>
    <t>CALLE DARIO TORRES NUM 164-178  06 - TERCER PISO   CHORRILLOS - LIMA - LIMA</t>
  </si>
  <si>
    <t>15978845</t>
  </si>
  <si>
    <t>CALLE DARIO TORRES NUM 164-178  05 - SEGUNDO PISO   CHORRILLOS - LIMA - LIMA</t>
  </si>
  <si>
    <t>15978844</t>
  </si>
  <si>
    <t>CALLE DARIO TORRES NUM 164-178  04 - PRIMER PISO   CHORRILLOS - LIMA - LIMA</t>
  </si>
  <si>
    <t>15978843</t>
  </si>
  <si>
    <t>CALLE DARIO TORRES NUM 164-178  03 - PRIMER PISO   CHORRILLOS - LIMA - LIMA</t>
  </si>
  <si>
    <t>15978842</t>
  </si>
  <si>
    <t>CALLE DARIO TORRES NUM 164-178  02 - PRIMER PISO   CHORRILLOS - LIMA - LIMA</t>
  </si>
  <si>
    <t>15978841</t>
  </si>
  <si>
    <t>CALLE DARIO TORRES NUM 164-178  01 - PRIMER PISO   CHORRILLOS - LIMA - LIMA</t>
  </si>
  <si>
    <t>15978840</t>
  </si>
  <si>
    <t>11764253</t>
  </si>
  <si>
    <t>CHINCHA</t>
  </si>
  <si>
    <t>11064782</t>
  </si>
  <si>
    <t>ESTACIONAMIENTO</t>
  </si>
  <si>
    <t>11764268</t>
  </si>
  <si>
    <t>CALLE LOS NEGOCIOS NUM 280 E3 DPTO A-504 (QUINTO PISO) EDIF CONDOMINIO JARDINES DE ARAMBURU - PRIMERA ETAPA SURQUILLO - LIMA - LIMA</t>
  </si>
  <si>
    <t>11592374</t>
  </si>
  <si>
    <t>SE CONSIGNA EL VALOR AUTOVALUO</t>
  </si>
  <si>
    <t>ESTACIONAMIENTO Y DEPOSITO</t>
  </si>
  <si>
    <t>AV. VELASCO ASTETE 1162 ESTACIONAMIENTO DOBLE 21 Y DEPÓSITO 13</t>
  </si>
  <si>
    <t>13272730</t>
  </si>
  <si>
    <t>AV. VELASCO ASTETE 1160 DEPARTAMENTO 404</t>
  </si>
  <si>
    <t>13272814</t>
  </si>
  <si>
    <t>PROPIETARIO DEL 50%</t>
  </si>
  <si>
    <t>7093 CRISPIN COVE DR.JACKSONVILLE. FLORIDA</t>
  </si>
  <si>
    <t>Propiedad en el extranjero (Estados Unidos de America) en el estado de Florida. con partida 8631. Los montos han sido consignado en soles, considerando el TC del día (3.363). Compra hipotecaria #8043522625 por 30 años, Año 2019. En el item valor se consigna el valor del mercado.</t>
  </si>
  <si>
    <t>Local</t>
  </si>
  <si>
    <t>Av. Chachapoyas N.° 2212, Mz V1, Lote 9A, Bagua Grande - Utcubamba - Amazonas.</t>
  </si>
  <si>
    <t>P34014831</t>
  </si>
  <si>
    <t>Jr. Leoncio Prado N.° 111, Mz. PN26A, Lote 10, Bagua Grande - Utcubamba - Amazonas.</t>
  </si>
  <si>
    <t>P34000367</t>
  </si>
  <si>
    <t>Av. Chachapoyas 2251, Mz. PN 26, Lote 6, Bagua Grande - Utcubamba - Amazonas.</t>
  </si>
  <si>
    <t>P34000671</t>
  </si>
  <si>
    <t>Estacionamiento</t>
  </si>
  <si>
    <t>Av. Elvira García y García N.° 920, estac. 26 Edif/Faler/c.c "C" Cedros.</t>
  </si>
  <si>
    <t>11330869</t>
  </si>
  <si>
    <t>Jr. Higos Urco 180, Mz V1, Lote 9, Bagua Grande - Utcubamba - Amazonas.</t>
  </si>
  <si>
    <t>P34023115</t>
  </si>
  <si>
    <t>Departamento</t>
  </si>
  <si>
    <t>Elvira García y García 920 dpto. 104, Chiclayo - Lambayeque - Perú.</t>
  </si>
  <si>
    <t>11234140</t>
  </si>
  <si>
    <t>LOCAL</t>
  </si>
  <si>
    <t>AVENIDA REINA SOFIA 14, LEGANÉS - MADRID</t>
  </si>
  <si>
    <t>AV. LA PAZ 35, GETAFE - MADRID</t>
  </si>
  <si>
    <t>LEASING - VIGENTE</t>
  </si>
  <si>
    <t>MZ D LOTE 19 - ASENTAMIENTO HUMANO LAS ESTERAS DE ANCON - DPTO: LIMA PROV: LIMA DIST: ANCON</t>
  </si>
  <si>
    <t>P01092955</t>
  </si>
  <si>
    <t>PISO</t>
  </si>
  <si>
    <t>CALLE ALPUJARRAS 19 PISO 1 PUERTA C - LEGANÉS - MADRID</t>
  </si>
  <si>
    <t>VALOR 158000.00 CORRESPONDE AL 50% DE LA PROPIEDAD, PORCENTAJE QUE ME CORRESPONDE.</t>
  </si>
  <si>
    <t>CALLE FLORA TRISTAN 8, PISO 2 PUERTA B, LEGANÉS- MADRID</t>
  </si>
  <si>
    <t>HIPOTECA- VIGENTE</t>
  </si>
  <si>
    <t>CASA ARICA N° 190 CU MZ 25 LT. 11A 11B</t>
  </si>
  <si>
    <t>11125592</t>
  </si>
  <si>
    <t>HIPOTECADO CON CAJA HUANCAYO Y EN PROCESO D LEVANTAMIENTO DE HIPOTECA</t>
  </si>
  <si>
    <t>#########</t>
  </si>
  <si>
    <t>P19028669</t>
  </si>
  <si>
    <t>CO PROPIETARIA DEL 42.857143%, Con dirección San Pablo De Tushmo S/N Mz 69 Lt 3 Unidad Vecinal Barrio Nuevo Sector Yarinacocha</t>
  </si>
  <si>
    <t>JIRON TUPAC AMARU MZ A LOTE 01 URB HABILITACION URBANA DE OFICIO SANTA INES CALLERIA - CORONEL PORTILLO - UCAYALI</t>
  </si>
  <si>
    <t>11172427</t>
  </si>
  <si>
    <t>CALLE 5 MZ O LOTE 10 AA.HH ASOCIACION DE MORADORES LOS TULIPANES CALLERIA - CORONEL PORTILLO - UCAYALI</t>
  </si>
  <si>
    <t>11096407</t>
  </si>
  <si>
    <t>Av. Ricardo Palma 1111 - Miraflores</t>
  </si>
  <si>
    <t>49028599</t>
  </si>
  <si>
    <t>SE HA CONSIGNADO EL VALOR DE AUTOVALUO DEL AÑO 2025</t>
  </si>
  <si>
    <t>Calle Madrid 347 - Dpto. 503, Miraflores</t>
  </si>
  <si>
    <t>11927812</t>
  </si>
  <si>
    <t>SE HA CONSIGNADO EL VALOR DEL AUTOVALUO 2025</t>
  </si>
  <si>
    <t>Jr. Cornelio Borda N° 163 - Dpto. 4, Lima</t>
  </si>
  <si>
    <t>40548998</t>
  </si>
  <si>
    <t>EL BIEN FUE ADQUIRIDO POR 11000 USD MEDIANTE ESCRITURA PUBLICA DE FECHA 15 DE SETIEMBRE DE 1994. EL VALOR CONSIGNADO ES AL CAMBIO ACTUAL.
NO  SE TIENE VALOR DE AUTOVALUO POR NO HABER SIDO DECLARADO ANTE LA MUNICIPALIDAD.</t>
  </si>
  <si>
    <t>Calle Madrid 357 - Estacionamiento 04 - Miraflores</t>
  </si>
  <si>
    <t>11927730</t>
  </si>
  <si>
    <t>Jr. Monteagudo 372 CDO del Callao</t>
  </si>
  <si>
    <t>SE HA CONSIGNADO  EL VALOR DEL AUTOVALUO 2025.
PRECISAR QUE EL INMUEBLE NO SE ENCUENTRA INSCRITO EN RRPP.</t>
  </si>
  <si>
    <t>Calle Madrid 357 - Deposito 28 - Miraflores</t>
  </si>
  <si>
    <t>11927753</t>
  </si>
  <si>
    <t>SE HA CONSIGNADO EL VALOR DEL AUTOVALUO DEL AÑO 2025</t>
  </si>
  <si>
    <t>GRIMALDO 219</t>
  </si>
  <si>
    <t>12827391</t>
  </si>
  <si>
    <t>UBICADO EN EL DISTRITO DE MIRAFLORES</t>
  </si>
  <si>
    <t>12827281</t>
  </si>
  <si>
    <t>DEPÓSITO</t>
  </si>
  <si>
    <t>12827304</t>
  </si>
  <si>
    <t>ESTACIONAMIENTO 10</t>
  </si>
  <si>
    <t>13986930</t>
  </si>
  <si>
    <t>EL MONTO CONSIGNADO EN EL ITEM VALOR ES REFERENCIAL, ASIMISMO EL VALOR DEL AUTOVALUO CORRESPONDE AL AÑO 2025.</t>
  </si>
  <si>
    <t>10048246</t>
  </si>
  <si>
    <t>NO SE TIENE VALOR DEL AUTOVALUO, AL NO ENCONTRARSE INSCRITO EN LA MUNICIPALIDAD (EN TRÁMITE). EL MONTO CONSIGNADO EN VALOR CORRESPONDE A UN VALOR COMERCIAL APROXIMADO.</t>
  </si>
  <si>
    <t>13986946</t>
  </si>
  <si>
    <t>10048156</t>
  </si>
  <si>
    <t>P09101842</t>
  </si>
  <si>
    <t>10135102</t>
  </si>
  <si>
    <t>10047994</t>
  </si>
  <si>
    <t>DEPOSITO 14</t>
  </si>
  <si>
    <t>13986944</t>
  </si>
  <si>
    <t>ESTACIONAMIENTO 9</t>
  </si>
  <si>
    <t>13986929</t>
  </si>
  <si>
    <t>AVENIDA AREQUIPA NUM 1441 DPTO 402 - 4° PISO URB SANTA BEATRIZ CERCADO - LIMA - LIMA</t>
  </si>
  <si>
    <t>15942218</t>
  </si>
  <si>
    <t>SE COLOCO S/. 0.00 EN AUTOVALUO PORQUE AÚN NO ESTÁ INSCRITO EN EL MUNICIPIO DE LIMA</t>
  </si>
  <si>
    <t>AVENIDA AREQUIPA NUM 1447 ESTAC 55 - SOTANO 3 URB SANTA BEATRIZ CERCADO - LIMA - LIMA</t>
  </si>
  <si>
    <t>15942148</t>
  </si>
  <si>
    <t>MAYNAS-IQUITOS- MZ P1 LOTE 11A1 - PUEBLO JOVEN AGRUPAMIENTO DE VIVIENDAS TENIENTE MANUEL CLAVERO</t>
  </si>
  <si>
    <t>P12088713</t>
  </si>
  <si>
    <t>MAYNAS-SAN JUAN BAUTISTA- MZ B LOTE 6 - ASENTAMIENTO HUMANO AMERICA</t>
  </si>
  <si>
    <t>P12003033</t>
  </si>
  <si>
    <t>SE COLOCO S/. 0.00 EN AUTOVALUO PORQUE AÚN NO ESTÁ INSCRITO EN EL MUNICIPIO DE SAN JUAN BAUTISTA DE LA PROVINCIA DE MAYNAS, DEPARTAMENTO DE LORETO</t>
  </si>
  <si>
    <t>CHOTA-CHOTA- JR ADRIANO NOVOA     NUMERO 629 - PUEBLO TRADICIONAL CERCADO DE CHOTA</t>
  </si>
  <si>
    <t>P36000761</t>
  </si>
  <si>
    <t>INMUEBLE COMERCIAL. EN EL ITEM VALOR SE CONSIGNA UN VALOR COMERCIAL ESTIMADO POR EL SUSCRITO.</t>
  </si>
  <si>
    <t>UBICACION RURAL VALLE /CASERIO PINGOBAMBA TORIL/JAQUITA PARCELA 7_7559275_30843/ AREA Ha. 0.5087 U.C. 30843/HH.CC. 7_7559275_2_3 CHOTA - CHOTA - CAJAMARCA</t>
  </si>
  <si>
    <t>11036934</t>
  </si>
  <si>
    <t>TERRENO. EN EL ITEM VALOR SE CONSIGNA UN VALOR COMERCIAL ESTIMADO POR EL SUSCRITO.</t>
  </si>
  <si>
    <t>UBICACION RURAL CASERIO ORURO/LOS VILCHEZ PARCELA 7_7259265_502109/ AREA Ha. 0.6895 U.C. 502109/HH.CC. 7_7259265_4_2 SANTA CRUZ - SANTA CRUZ - CAJAMARCA</t>
  </si>
  <si>
    <t>11018669</t>
  </si>
  <si>
    <t>UBICACION RURAL VALLE CHANCAY - LAMBAYEQUE/SECTOR FALA  LATERAL/RACHUMI  PLAZ A COD.PRED. 7_6359260_100360 AREA Ha. 18.9715 U.C. 100360 FERREÑAFE - FERREÑAFE - LAMBAYEQUE</t>
  </si>
  <si>
    <t>02199118</t>
  </si>
  <si>
    <t xml:space="preserve">      ZONA PATAZCA CHICLAYO - CHICLAYO - LAMBAYEQUE</t>
  </si>
  <si>
    <t>02188786</t>
  </si>
  <si>
    <t>VIVIENDA. EN EL ITEM VALOR SE CONSIGNA UN VALOR COMERCIAL ESTIMADO POR EL SUSCRITO.</t>
  </si>
  <si>
    <t>AVENIDA AGRICULTURA NUM 142, 144 Y 146 AREA Ha. 390.00M2   CHOTA - CHOTA - CAJAMARCA</t>
  </si>
  <si>
    <t>11000803</t>
  </si>
  <si>
    <t>CALLE WILDER RODRIGUEZ REYES NUM 173   URB LA PRIMAVERA II ETAPA CHICLAYO - CHICLAYO - LAMBAYEQUE</t>
  </si>
  <si>
    <t>02022893</t>
  </si>
  <si>
    <t>CALLE JOSE SEBASTIAN BARRANCA NUM 178-180-190 LOTE Nº 1 DE LA MANZANA C URB HUERTOS DE SAN ANTONIO SANTIAGO DE SURCO - LIMA - LIMA</t>
  </si>
  <si>
    <t>44383632</t>
  </si>
  <si>
    <t>El bien inmueble no es de mi propiedad, fue transferido en el año 2015 conforme a la Partida 12502751 de los Registros Públicos de Lima.</t>
  </si>
  <si>
    <t>CALLE MALECON MZ M LOTE 22  , MIRAMAR PUNTA HERMOSA - LIMA - LIMA</t>
  </si>
  <si>
    <t>42237981</t>
  </si>
  <si>
    <t>Esta partida fue trasladada a la Partida P03237833.</t>
  </si>
  <si>
    <t>MZ M LOTE 22 - URBANIZACION MIRAMAR - DPTO: LIMA PROV: LIMA DIST: PUNTA HERMOSA</t>
  </si>
  <si>
    <t>P03237833</t>
  </si>
  <si>
    <t>El valor considerado  es del autovalúo del 2025   y corresponde  al  100% del inmueble. Tengo la titularidad del 8.33% del inmueble por Sucesión Intestada. La Partida de este inmueble tuvo como origen la Partida 42237981.</t>
  </si>
  <si>
    <t>CALLE CHAVIN NUM 133- 131   URB CENTRO COMERCIAL DE MONTERRICO SANTIAGO DE SURCO - LIMA - LIMA</t>
  </si>
  <si>
    <t>44490781</t>
  </si>
  <si>
    <t>La dirección debería indicar "Calle Chavín 133, Mz. C2 y Lote 8, Urb. Centro Comercial Monterrico, Surco". Tiene un crédito hipotecario vigente.  El valor declarado es del autovalúo del año 2025.</t>
  </si>
  <si>
    <t>CALLE COYA RAYMI NUM 171-161 LOTE 26 Y 28   SANTIAGO DE SURCO - LIMA - LIMA</t>
  </si>
  <si>
    <t>44553864</t>
  </si>
  <si>
    <t>El inmueble ya no es de mi propiedad. La presente partida fue cerrada por haberse independizado en Lote 26 (P N° 11896814) y Lote 28 (P N° 11896813). En las dos nuevas partidas se registra la venta entre los años 2006 y 2007.</t>
  </si>
  <si>
    <t xml:space="preserve">  MZ K LOTE 19  , MIRAMAR PUNTA HERMOSA - LIMA - LIMA</t>
  </si>
  <si>
    <t>42230596</t>
  </si>
  <si>
    <t>El valor considerado es del autovalúo del 2025  y corresponde  al 100% del inmueble. Tengo la titularidad del 8.33% del inmueble por Sucesión Intestada.</t>
  </si>
  <si>
    <t>CALLE 2 MZ J LOTE 9  , MIRAMAR PUNTA HERMOSA - LIMA - LIMA</t>
  </si>
  <si>
    <t>42146986</t>
  </si>
  <si>
    <t>El inmueble ya no es de mi propiedad, se transfirió en octubre de 2017.</t>
  </si>
  <si>
    <t>UBICACION RURAL VALLE MOCHE PREDIO UÑA DE GATO PARCELA 10204 PARCELA 10204   U.C. 10204 POROTO - TRUJILLO - LA LIBERTAD</t>
  </si>
  <si>
    <t>04005172</t>
  </si>
  <si>
    <t>EN AMBOS CASOS EL VALOR CONSIGNADO ES EL VALOR DEL AUTOVALUO</t>
  </si>
  <si>
    <t>JIRON 8 DE OCTUBRE NUM 454     PUEBLO LIBRE - LIMA - LIMA</t>
  </si>
  <si>
    <t>41094583</t>
  </si>
  <si>
    <t>EL VALOR CONSIGNADO ES AL TIPO DE CAMBIO DE LA FECHA DE LA COMPRA VENTA EN EL MES DE ABRIL DE 2019</t>
  </si>
  <si>
    <t>URBANO</t>
  </si>
  <si>
    <t>CALLE JORGE CHAVEZ, IQUITOS LORETO</t>
  </si>
  <si>
    <t>00014760</t>
  </si>
  <si>
    <t>BIEN EN COPROPIEDAD - HERENCIA</t>
  </si>
  <si>
    <t>CALLE LIBERTADOR SAN MARTÍN N° 161, IQUITOS, MAYNAS, LORETO</t>
  </si>
  <si>
    <t>0011675</t>
  </si>
  <si>
    <t>AV. DEFENSORES DEL MOROO N° 1515, DPTO N° 702- SÉTIMO PISO-BLOQUE 1, CHORRILLOS, LIMA, LIMA.</t>
  </si>
  <si>
    <t>14417079</t>
  </si>
  <si>
    <t>HIPOTECA BBVA</t>
  </si>
  <si>
    <t>CALLE MARISCAL CÁCERES, IQUITOS, LORETO</t>
  </si>
  <si>
    <t>00015039</t>
  </si>
  <si>
    <t>CALLE ARICA N° 1240-1242-1246 IQUITOS, MAYNAS, LORETO</t>
  </si>
  <si>
    <t>11004008</t>
  </si>
  <si>
    <t>ADQUIRIDO MEDIANTE ANTICIPO DE LEGÍTIMA, DONACION Y COMPRA DE ACCIONES Y DERECHOS</t>
  </si>
  <si>
    <t>RURAL</t>
  </si>
  <si>
    <t>CARRETERA IQUITOS NAUTA KM 64, IQUITOS, LORETO</t>
  </si>
  <si>
    <t>04018512</t>
  </si>
  <si>
    <t>CALLE LIBERTADOR SAN MARTIN N° 161, IQUITOS MAYNAS, LORETO</t>
  </si>
  <si>
    <t>00010490</t>
  </si>
  <si>
    <t>CENTRO POBLADO ZUNGAROCOCHA MZ. Z LOTE 4, SAN JUAN BAUTISTA, MAYNAS, LORETO</t>
  </si>
  <si>
    <t>55047472</t>
  </si>
  <si>
    <t>LIMA-VILLA MARIA DEL TRIUNFO- MZ 4B SUB LOTE 18F    SECTOR PRIMERO - PUEBLO JOVEN SAN FRANCISCO DE L</t>
  </si>
  <si>
    <t>P03302557</t>
  </si>
  <si>
    <t>NO SOY NI HE SIDO PROPIETARIO DE ESTE BIEN INMUEBLE.  DE ACUERDO CON LA INFORMACIÓN DE REGISTROS PÚBLICOS SE CONSTATA QUE PERTENECE A UN HOMÓNIMO CARLO ALBERTO ZEGARRA SANCHEZ, IDENTIFICADO CON DNI. 10037588, PARTIDA REGISTRAL P03302557.</t>
  </si>
  <si>
    <t>AVENIDA DEL RIO NUM 103 DPTO Nº1407 - DÉCIMO CUARTO PISO URB AZCONA PUEBLO LIBRE - LIMA - LIMA</t>
  </si>
  <si>
    <t>14961640</t>
  </si>
  <si>
    <t>Es un departamento. EL VALOR COMERCIAL CONSIGNADO ES EL BRINDADO POR EL CANDIDATO.</t>
  </si>
  <si>
    <t xml:space="preserve">      U.C. 104856 FUNDO IRRIGACIÓN A ESPERANZA SECCIÓN LA VIRGEN HUARAL - HUARAL - LIMA</t>
  </si>
  <si>
    <t>60160496</t>
  </si>
  <si>
    <t>ZONA: ZONA REGISTRAL IX - SEDE LIMA; OFICINA: HUARAL</t>
  </si>
  <si>
    <t>P01223363</t>
  </si>
  <si>
    <t>Rural</t>
  </si>
  <si>
    <t>Salahuayco Parqui Parcialidad Manto</t>
  </si>
  <si>
    <t>Occopata Manto Cancharani</t>
  </si>
  <si>
    <t>Tinta Parqui Los Andes Cancharani</t>
  </si>
  <si>
    <t>Otro Salahuayco Parqui Parcialidad Manto</t>
  </si>
  <si>
    <t>Nuñumiani Cancharani Parcialidad Manto</t>
  </si>
  <si>
    <t>Urbano</t>
  </si>
  <si>
    <t>Jiròn Ciudad de La Paz</t>
  </si>
  <si>
    <t>Huayllapujo Chaqri Parcialidad Manto</t>
  </si>
  <si>
    <t>Parcialidad Mantohuaylla Pujjo</t>
  </si>
  <si>
    <t>Uma Jalso Parcialidad Manto</t>
  </si>
  <si>
    <t>Calle Bartolina Cisa</t>
  </si>
  <si>
    <t>Arimisa Parcialidad Manto</t>
  </si>
  <si>
    <t>Avenida Circunvalaciòn Sur 1958</t>
  </si>
  <si>
    <t xml:space="preserve">    SUB LOTE 01-B   PILLCO MARCA - HUANUCO - HUANUCO</t>
  </si>
  <si>
    <t>11176798</t>
  </si>
  <si>
    <t>UBICACION RURAL SECTOR PACCHA CHICA BAJA/ COD.PRED. 7_7759200_90853 AREA Ha. 0.0500 U.C. 90853 CAJAMARCA - CAJAMARCA - CAJAMARCA</t>
  </si>
  <si>
    <t>02158395</t>
  </si>
  <si>
    <t>DTO PROVINCIA DE CAJAMARCA</t>
  </si>
  <si>
    <t>UBICACION RURAL CACHUELA OVIEDO   AREA Ha. 32.75   TAMBOPATA - TAMBOPATA - MADRE DE DIOS</t>
  </si>
  <si>
    <t>05001552</t>
  </si>
  <si>
    <t>CALLE PORTUGAL MZ A  LOTE 21     TENDAL Nº5 - AZOTEA   URB SAN ELIAS LOS OLIVOS - LIMA - LIMA</t>
  </si>
  <si>
    <t>12408108</t>
  </si>
  <si>
    <t>CALLE PORTUGAL MZ A, LOTE Nº21  Nº4 - CUARTO PISO URB SAN ELIAS LOS OLIVOS - LIMA - LIMA</t>
  </si>
  <si>
    <t>12172481</t>
  </si>
  <si>
    <t>CALLE LAS CUCARDAS MZ E LOTE 11 SECTOR ISLA PERU LAS PIEDRAS - TAMBOPATA - MADRE DE DIOS</t>
  </si>
  <si>
    <t>11139110</t>
  </si>
  <si>
    <t>11129492</t>
  </si>
  <si>
    <t>GENERAL SANCHEZ CERRO-QUINISTAQUILLAS- MZ B LOTE 8 - CENTRO POBLADO QUINISTAQUILLAS</t>
  </si>
  <si>
    <t>P08028970</t>
  </si>
  <si>
    <t>adjudicación</t>
  </si>
  <si>
    <t xml:space="preserve">AREQUIPA-CERRO COLORADO- MZ O LOTE 13 - ASENTAMIENTO POBLACIONAL ASOCIACION PRO-VIVIENDA DE INTERES </t>
  </si>
  <si>
    <t>P06066628</t>
  </si>
  <si>
    <t>Compra Venta</t>
  </si>
  <si>
    <t>PASAJE 2 MZ H LOTE 7 SECTOR JUAN ANTONIO BARRIO LLUYLLUCUCHA MOYOBAMBA - MOYOBAMBA - SAN MARTIN</t>
  </si>
  <si>
    <t>11101653</t>
  </si>
  <si>
    <t>CASA FAMILIAR</t>
  </si>
  <si>
    <t>91015997</t>
  </si>
  <si>
    <t>Terreno agrícola - Chacra, en el sector omalla, distrito de Pichari - La convención - Cusco</t>
  </si>
  <si>
    <t>UBICACION RURAL VALLE RIO APURIMAC Y ENE/SECTOR OMAYA/ANGELITO PARCELA 8_6308610_217743 AREA Ha. 0.1174 U.C. 217743/HH.CC. 8_6308610_3_4 PICHARI - LA CONVENCION - CUSCO</t>
  </si>
  <si>
    <t>11016180</t>
  </si>
  <si>
    <t>91016180</t>
  </si>
  <si>
    <t>UBICACION RURAL VALLE RIO APURIMAC Y ENE/SECTOR OMAYA/EL ANGELITO PARCELA 8_6308610_217537 AREA Ha. 0.7435 U.C. 217537/HH.CC. 8_6308610_3_4 PICHARI - LA CONVENCION - CUSCO</t>
  </si>
  <si>
    <t>11015997</t>
  </si>
  <si>
    <t>JIRON VILLA DEL LAGO NUM 280   ZONA BARRIO TUPAC AMARU PUNO - PUNO - PUNO</t>
  </si>
  <si>
    <t>11111873</t>
  </si>
  <si>
    <t>ESTE BIEN FUE DIVIDIDO Y TRANSFERIDA EN SU TOTALIDAD GENERANDO LAS PARTIDAS N° 11168553, N°11168554, SIENDO QUE LA PARTIDA FIGURA ACTIVA EN SUNARP, NO MANTENGO DERECHOS DE PROPIEDAD SOBRE EL INMUEBLE</t>
  </si>
  <si>
    <t>Jr. Palomani 201</t>
  </si>
  <si>
    <t>PREDIO URBANO</t>
  </si>
  <si>
    <t>URB. ALAMEDA LOS PORTALES</t>
  </si>
  <si>
    <t>C.P SHANSHA</t>
  </si>
  <si>
    <t>02178450</t>
  </si>
  <si>
    <t>TACNA-TACNA- MZ E LOTE 19 - ASOCIACION RURAL DE VIVIENDA FRONTERA LOS PALOS</t>
  </si>
  <si>
    <t>P20051179</t>
  </si>
  <si>
    <t>MZ S LOTE 13 - ASENTAMIENTO HUMANO MOYOPAMPA - PARCELA 5 - DPTO: LIMA PROV: LIMA DIST: LURIGANCHO</t>
  </si>
  <si>
    <t>P02185036</t>
  </si>
  <si>
    <t>UBICACION RURAL PREDIO DENOMINADO APU ANCASANO POLLAPOLLAYOC VIRGEN ROSARIO C     SECTOR CHINGORA JULIACA - SAN ROMAN - PUNO</t>
  </si>
  <si>
    <t>11251572</t>
  </si>
  <si>
    <t>VENDIDO MARCIAL SUCARI</t>
  </si>
  <si>
    <t>PREDIO RURAL</t>
  </si>
  <si>
    <t>COM. CHINGORA</t>
  </si>
  <si>
    <t>SAN MIGUEL.</t>
  </si>
  <si>
    <t>PASAJE OROYO N° 420</t>
  </si>
  <si>
    <t>AV CIRCUNVALACIÓN N° 1019</t>
  </si>
  <si>
    <t>UBICACION RURAL PREDIO DENOMINADO APU ANCASANO POLLAPOLLAYOC VIRGEN ROSARIO A     SECTOR CHINGORA JULIACA - SAN ROMAN - PUNO</t>
  </si>
  <si>
    <t>11251571</t>
  </si>
  <si>
    <t>VENDIDO MARCIAL SUCARI.</t>
  </si>
  <si>
    <t>AV. CIRCUNVALACIÓN N° 973</t>
  </si>
  <si>
    <t>UBICACION RURAL PAMPAS DE LA JOYA FINCA N° 2 ASENTAMIENTO N° 3 IRRIGACION LA JOYA PARCELA Nº 21-A AREA Ha. 5.00   LA JOYA - AREQUIPA - AREQUIPA</t>
  </si>
  <si>
    <t>11320811</t>
  </si>
  <si>
    <t>ES PARTE DE UN DONACION.</t>
  </si>
  <si>
    <t>UBICACION RURAL PAMPAS DE LA JOYA FINCA N° 2 ASENTAMIENTO N° 3 IRRIGACION LA JOYA PARCELA N° 21-C AREA Ha. 5.00   LA JOYA - AREQUIPA - AREQUIPA</t>
  </si>
  <si>
    <t>11320813</t>
  </si>
  <si>
    <t>RECIBIDO EL DINERO COMO GARANTIA DEL RICO POLLO LOS 35000 SOLES.</t>
  </si>
  <si>
    <t>SOCIEDADES LEGALES</t>
  </si>
  <si>
    <t>ZONA: ZONA REGISTRAL XII - SEDE AREQUIPA; OFICINA: AREQUIPA</t>
  </si>
  <si>
    <t>11598927</t>
  </si>
  <si>
    <t>AL AÑO PAGO S/ 1500 CONSECION MINERO</t>
  </si>
  <si>
    <t xml:space="preserve">  MZ B LOTE 9   TRUJILLO - TRUJILLO - LA LIBERTAD</t>
  </si>
  <si>
    <t>11141841</t>
  </si>
  <si>
    <t>ICA-ICA- MZ J LOTE 2 - ASENTAMIENTO HUMANO SEÑOR DE LUREN II ETAPA</t>
  </si>
  <si>
    <t>P07073076</t>
  </si>
  <si>
    <t>CALLE 01 MZ J LOTE 002 AA.HH SEÑOR DE LUREN ICA - ICA - ICA</t>
  </si>
  <si>
    <t>02008998</t>
  </si>
  <si>
    <t>Para efectos de cumplir con los requisitos del sistema se realiza el registro del predio pero se especifica que el titular no lo reconoce y aduce que es un error del sistema</t>
  </si>
  <si>
    <t>ICA-ICA- MZ J LOTE 17 - ASENTAMIENTO HUMANO SEÑOR DE LUREN II ETAPA</t>
  </si>
  <si>
    <t>P07073091</t>
  </si>
  <si>
    <t>Fulgencio Valdez 514 Breña</t>
  </si>
  <si>
    <t>49078003</t>
  </si>
  <si>
    <t>Jr. Julián Arias Aragüéz 620, Dpto. 301, Miraflores</t>
  </si>
  <si>
    <t>En proceso de inscripción en los Registros Públicos de Lima.</t>
  </si>
  <si>
    <t>calle Julián Arias Aragüéz 620, Dpto. 204. Miraflores</t>
  </si>
  <si>
    <t>En proceso de inscripción en los RR.PP. de Lima</t>
  </si>
  <si>
    <t>Terreno sin construir</t>
  </si>
  <si>
    <t>Manzana A-1, Lote 8A, Sector Rosario de Asia, distrito Asia, provincia Cañete, Departamento Lima</t>
  </si>
  <si>
    <t>Estado actual: Posesionaria.</t>
  </si>
  <si>
    <t>JIRON LOS MONTONEROS NUM 260-240 LOTE 02 - MZ E URB SANTA CONSTANZA - PRIMERA ETAPA SANTIAGO DE SURCO - LIMA - LIMA</t>
  </si>
  <si>
    <t>44533251</t>
  </si>
  <si>
    <t>Valor del inmueble es de $760000 y se esta colocando a soles considerando el tipo de cambio actual. Además de tener una proyección a edificar en el próximo año, aumentando su valor</t>
  </si>
  <si>
    <t>Departamneto</t>
  </si>
  <si>
    <t>Condominio sol de collique Av. Micaela Bastidas cuadra 10 Mz. E Lt. 10 Dpto. 1105 torre 16</t>
  </si>
  <si>
    <t>15122532</t>
  </si>
  <si>
    <t>Pueblo Lara tradicional Psje. Encima del Molle bajo el Molle</t>
  </si>
  <si>
    <t>11089359</t>
  </si>
  <si>
    <t>AREQUIPA-JOSE LUIS BUSTAMANTE Y RIVERO- MZ A LOTE 12 SECCION 1 - URBANIZACION GENERAL PEDRO DIEZ CAN</t>
  </si>
  <si>
    <t>P06256938</t>
  </si>
  <si>
    <t>AREQUIPA-JOSE LUIS BUSTAMANTE Y RIVERO- MZ A LOTE 12 - URBANIZACION GENERAL PEDRO DIEZ CANSECO-PROGR</t>
  </si>
  <si>
    <t>P06119214</t>
  </si>
  <si>
    <t>AREQUIPA-SOCABAYA- MZ D LOTE 1 - PUEBLO TRADICIONAL EL PUEBLO DE SOCABAYA</t>
  </si>
  <si>
    <t>P06093813</t>
  </si>
  <si>
    <t>UBICACION RURAL PARCELA 45 ASENTAMIENTO 1 SECCION D       LLUTA - CAYLLOMA - AREQUIPA</t>
  </si>
  <si>
    <t>04003721</t>
  </si>
  <si>
    <t>UBICACION RURAL SECTOR YACHANGUILLO/VALLE: CHICHAS/PREDIO LA HUERTA PARCELA SECTOR YACHANGUILLO/VALLE: CHICHAS/PREDIO L8_7158275_000117 AREA Ha. 0.0626 U.C. 000117 CHICHAS - CONDESUYOS - AREQUIPA</t>
  </si>
  <si>
    <t>12023045</t>
  </si>
  <si>
    <t>UBICACION RURAL FUNDO FUSIA     SECTOR FUSIA VALLE DE CHICHAS COD. REF. 8_7158275_000382 CHICHAS - CONDESUYOS - AREQUIPA</t>
  </si>
  <si>
    <t>12032790</t>
  </si>
  <si>
    <t>UBICACION RURAL SECTOR YACHANGUILLO/VALLE: CHICHAS/PREDIO EL LAGAR PARCELA 8_7158275_000098 AREA Ha. 0.3937 U.C. 000098 CHICHAS - CONDESUYOS - AREQUIPA</t>
  </si>
  <si>
    <t>12023037</t>
  </si>
  <si>
    <t>AVENIDA EL PEDREGAL MZ W LOTE 24 URB AREA NORTE CENTRO POBLADO EL PEDREGAL SECCION A LLUTA - CAYLLOMA - AREQUIPA</t>
  </si>
  <si>
    <t>01105935</t>
  </si>
  <si>
    <t>VENDIDO</t>
  </si>
  <si>
    <t>AREQUIPA-ALTO SELVA ALEGRE- AV AREQUIPA NUM 809      ZONA A - ASENTAMIENTO HUMANO ALTO DE SELVA ALEG</t>
  </si>
  <si>
    <t>P06013739</t>
  </si>
  <si>
    <t>TERRENO COPROPIEDAD A VALOR DE MERCADO</t>
  </si>
  <si>
    <t>UBICACION RURAL SECCION A PARCELA 277       LLUTA - CAYLLOMA - AREQUIPA</t>
  </si>
  <si>
    <t>04004276</t>
  </si>
  <si>
    <t>UBICACION RURAL SECTOR YACHANGUILLO/VALLE: CHICHAS/PREDIO LA VIÑA PARCELA 8_7158275_000079 AREA Ha. 0.0201 U.C. 000079 CHICHAS - CONDESUYOS - AREQUIPA</t>
  </si>
  <si>
    <t>12023030</t>
  </si>
  <si>
    <t xml:space="preserve">  MZ CD LOTE 19 URB SANTA MARGARITA QUINTA ETAPA VEINTISEIS DE OCTUBRE - PIURA - PIURA</t>
  </si>
  <si>
    <t>11087221</t>
  </si>
  <si>
    <t>SEGUN TASACION</t>
  </si>
  <si>
    <t>UBICACION RURAL VALLE CHICAMA PREDIO MOCAN PARCELA 537     U.C. 537-32 PAIJAN - ASCOPE - LA LIBERTAD</t>
  </si>
  <si>
    <t>11533880</t>
  </si>
  <si>
    <t>UBICACION RURAL VALLE CHICAMA PREDIO MOCAN PARCELA 537     U.C. 537-33 PAIJAN - ASCOPE - LA LIBERTAD</t>
  </si>
  <si>
    <t>11533881</t>
  </si>
  <si>
    <t>UBICACION RURAL VALLE CHICAMA PREDIO MOCAN PARCELA 537     U.C. 537-34 PAIJAN - ASCOPE - LA LIBERTAD</t>
  </si>
  <si>
    <t>11533882</t>
  </si>
  <si>
    <t>UBICACION RURAL VALLE CHICAMA PREDIO MOCAN PARCELA 537     U.C. 537-35 PAIJAN - ASCOPE - LA LIBERTAD</t>
  </si>
  <si>
    <t>11533883</t>
  </si>
  <si>
    <t>UBICACION RURAL VALLE CHICAMA PREDIO MOCAN PARCELA 537     U.C. 537-36 PAIJAN - ASCOPE - LA LIBERTAD</t>
  </si>
  <si>
    <t>11533884</t>
  </si>
  <si>
    <t>UBICACION RURAL VALLE CHICAMA PREDIO MOCAN PARCELA 537     U.C. 537-37 PAIJAN - ASCOPE - LA LIBERTAD</t>
  </si>
  <si>
    <t>11533885</t>
  </si>
  <si>
    <t>UBICACION RURAL VALLE CHICAMA PREDIO MOCAN PARCELA 537     U.C. 537-38 PAIJAN - ASCOPE - LA LIBERTAD</t>
  </si>
  <si>
    <t>11533886</t>
  </si>
  <si>
    <t>UBICACION RURAL VALLE CHICAMA PREDIO MOCAN PARCELA 537     U.C. 537-39 PAIJAN - ASCOPE - LA LIBERTAD</t>
  </si>
  <si>
    <t>11533887</t>
  </si>
  <si>
    <t>UBICACION RURAL VALLE CHICAMA PREDIO MOCAN PARCELA 537     U.C. 537-40 PAIJAN - ASCOPE - LA LIBERTAD</t>
  </si>
  <si>
    <t>11533888</t>
  </si>
  <si>
    <t>UBICACION RURAL VALLE CHICAMA PREDIO MOCAN PARCELA 537     U.C. 537-41 PAIJAN - ASCOPE - LA LIBERTAD</t>
  </si>
  <si>
    <t>11533889</t>
  </si>
  <si>
    <t>UBICACION RURAL VALLE CHICAMA PREDIO MOCAN PARCELA 537     U.C. 537-42 PAIJAN - ASCOPE - LA LIBERTAD</t>
  </si>
  <si>
    <t>11533890</t>
  </si>
  <si>
    <t>UBICACION RURAL VALLE CHICAMA PREDIO MOCAN PARCELA 537     U.C. 537-43 PAIJAN - ASCOPE - LA LIBERTAD</t>
  </si>
  <si>
    <t>11533891</t>
  </si>
  <si>
    <t>UBICACION RURAL VALLE CHICAMA PREDIO MOCAN PARCELA 537     U.C. 537-44 PAIJAN - ASCOPE - LA LIBERTAD</t>
  </si>
  <si>
    <t>11533892</t>
  </si>
  <si>
    <t>UBICACION RURAL VALLE CHICAMA PREDIO MOCAN PARCELA 537     U.C. 537-45 PAIJAN - ASCOPE - LA LIBERTAD</t>
  </si>
  <si>
    <t>11533893</t>
  </si>
  <si>
    <t>UBICACION RURAL VALLE CHICAMA PREDIO MOCAN PARCELA 537     U.C. 537-46 PAIJAN - ASCOPE - LA LIBERTAD</t>
  </si>
  <si>
    <t>11533894</t>
  </si>
  <si>
    <t>UBICACION RURAL VALLE CHICAMA PREDIO MOCAN PARCELA 537     U.C. 537-47 PAIJAN - ASCOPE - LA LIBERTAD</t>
  </si>
  <si>
    <t>11533895</t>
  </si>
  <si>
    <t>UBICACION RURAL VALLE CHICAMA PREDIO MOCAN PARCELA 537     U.C. 537-48 PAIJAN - ASCOPE - LA LIBERTAD</t>
  </si>
  <si>
    <t>11533896</t>
  </si>
  <si>
    <t>UBICACION RURAL VALLE CHICAMA PREDIO MOCAN PARCELA 537     U.C. 537-01 PAIJAN - ASCOPE - LA LIBERTAD</t>
  </si>
  <si>
    <t>11533848</t>
  </si>
  <si>
    <t>UBICACION RURAL VALLE CHICAMA PREDIO MOCAN PARCELA 537     U.C. 537-02 PAIJAN - ASCOPE - LA LIBERTAD</t>
  </si>
  <si>
    <t>11533849</t>
  </si>
  <si>
    <t>UBICACION RURAL VALLE CHICAMA PREDIO MOCAN PARCELA 537     U.C. 537-03 PAIJAN - ASCOPE - LA LIBERTAD</t>
  </si>
  <si>
    <t>11533850</t>
  </si>
  <si>
    <t>UBICACION RURAL VALLE CHICAMA PREDIO MOCAN PARCELA 537     U.C. 537-04 PAIJAN - ASCOPE - LA LIBERTAD</t>
  </si>
  <si>
    <t>11533851</t>
  </si>
  <si>
    <t>UBICACION RURAL VALLE CHICAMA PREDIO MOCAN PARCELA 537     U.C. 537-05 PAIJAN - ASCOPE - LA LIBERTAD</t>
  </si>
  <si>
    <t>11533852</t>
  </si>
  <si>
    <t>UBICACION RURAL VALLE CHICAMA PREDIO MOCAN PARCELA 537     U.C. 537-06 PAIJAN - ASCOPE - LA LIBERTAD</t>
  </si>
  <si>
    <t>11533853</t>
  </si>
  <si>
    <t>UBICACION RURAL VALLE CHICAMA PREDIO MOCAN PARCELA 537     U.C. 537-07 PAIJAN - ASCOPE - LA LIBERTAD</t>
  </si>
  <si>
    <t>11533854</t>
  </si>
  <si>
    <t>UBICACION RURAL VALLE CHICAMA PREDIO MOCAN PARCELA 537     U.C. 537-08 PAIJAN - ASCOPE - LA LIBERTAD</t>
  </si>
  <si>
    <t>11533855</t>
  </si>
  <si>
    <t>UBICACION RURAL VALLE CHICAMA PREDIO MOCAN PARCELA 537     U.C. 537-09 PAIJAN - ASCOPE - LA LIBERTAD</t>
  </si>
  <si>
    <t>11533856</t>
  </si>
  <si>
    <t>UBICACION RURAL VALLE CHICAMA PREDIO MOCAN PARCELA 537     U.C. 537-10 PAIJAN - ASCOPE - LA LIBERTAD</t>
  </si>
  <si>
    <t>11533857</t>
  </si>
  <si>
    <t>UBICACION RURAL VALLE CHICAMA PREDIO MOCAN PARCELA 537     U.C. 537-11 PAIJAN - ASCOPE - LA LIBERTAD</t>
  </si>
  <si>
    <t>11533858</t>
  </si>
  <si>
    <t>UBICACION RURAL VALLE CHICAMA PREDIO MOCAN PARCELA 537     U.C. 537-12 PAIJAN - ASCOPE - LA LIBERTAD</t>
  </si>
  <si>
    <t>11533859</t>
  </si>
  <si>
    <t>UBICACION RURAL VALLE CHICAMA PREDIO MOCAN PARCELA 537     U.C. 537-13 PAIJAN - ASCOPE - LA LIBERTAD</t>
  </si>
  <si>
    <t>11533860</t>
  </si>
  <si>
    <t>UBICACION RURAL VALLE CHICAMA PREDIO MOCAN PARCELA 537     U.C. 537-14 PAIJAN - ASCOPE - LA LIBERTAD</t>
  </si>
  <si>
    <t>11533861</t>
  </si>
  <si>
    <t>UBICACION RURAL VALLE CHICAMA PREDIO MOCAN PARCELA 537     U.C. 537-15 PAIJAN - ASCOPE - LA LIBERTAD</t>
  </si>
  <si>
    <t>11533862</t>
  </si>
  <si>
    <t>UBICACION RURAL VALLE CHICAMA PREDIO MOCAN PARCELA 537     U.C. 537-16 PAIJAN - ASCOPE - LA LIBERTAD</t>
  </si>
  <si>
    <t>11533863</t>
  </si>
  <si>
    <t>UBICACION RURAL VALLE CHICAMA PREDIO MOCAN PARCELA 537     U.C. 537-17 PAIJAN - ASCOPE - LA LIBERTAD</t>
  </si>
  <si>
    <t>11533864</t>
  </si>
  <si>
    <t>UBICACION RURAL VALLE CHICAMA PREDIO MOCAN PARCELA 537     U.C. 537-18 PAIJAN - ASCOPE - LA LIBERTAD</t>
  </si>
  <si>
    <t>11533865</t>
  </si>
  <si>
    <t>UBICACION RURAL VALLE CHICAMA PREDIO MOCAN PARCELA 537     U.C. 537-19 PAIJAN - ASCOPE - LA LIBERTAD</t>
  </si>
  <si>
    <t>11533866</t>
  </si>
  <si>
    <t>UBICACION RURAL VALLE CHICAMA PREDIO MOCAN PARCELA 537     U.C. 537-21 PAIJAN - ASCOPE - LA LIBERTAD</t>
  </si>
  <si>
    <t>11533868</t>
  </si>
  <si>
    <t>UBICACION RURAL VALLE CHICAMA PREDIO MOCAN PARCELA 537     U.C. 537-24 PAIJAN - ASCOPE - LA LIBERTAD</t>
  </si>
  <si>
    <t>11533872</t>
  </si>
  <si>
    <t>UBICACION RURAL VALLE CHICAMA PREDIO MOCAN PARCELA 537     U.C. 537-25 PAIJAN - ASCOPE - LA LIBERTAD</t>
  </si>
  <si>
    <t>11533873</t>
  </si>
  <si>
    <t>UBICACION RURAL VALLE CHICAMA PREDIO MOCAN PARCELA 537     U.C. 537-26 PAIJAN - ASCOPE - LA LIBERTAD</t>
  </si>
  <si>
    <t>11533874</t>
  </si>
  <si>
    <t>UBICACION RURAL VALLE CHICAMA PREDIO MOCAN PARCELA 537     U.C. 537-23 PAIJAN - ASCOPE - LA LIBERTAD</t>
  </si>
  <si>
    <t>11533871</t>
  </si>
  <si>
    <t>UBICACION RURAL VALLE CHICAMA PREDIO MOCAN PARCELA 537     U.C. 537-22 PAIJAN - ASCOPE - LA LIBERTAD</t>
  </si>
  <si>
    <t>11533870</t>
  </si>
  <si>
    <t>UBICACION RURAL VALLE CHICAMA PREDIO MOCAN PARCELA 537     U.C. 537-27 PAIJAN - ASCOPE - LA LIBERTAD</t>
  </si>
  <si>
    <t>11533875</t>
  </si>
  <si>
    <t>UBICACION RURAL VALLE CHICAMA PREDIO MOCAN PARCELA 537     U.C. 537-28 PAIJAN - ASCOPE - LA LIBERTAD</t>
  </si>
  <si>
    <t>11533876</t>
  </si>
  <si>
    <t>UBICACION RURAL VALLE CHICAMA PREDIO MOCAN PARCELA 537     U.C. 537-29 PAIJAN - ASCOPE - LA LIBERTAD</t>
  </si>
  <si>
    <t>11533877</t>
  </si>
  <si>
    <t>UBICACION RURAL VALLE CHICAMA PREDIO MOCAN PARCELA 537     U.C. 537-30 PAIJAN - ASCOPE - LA LIBERTAD</t>
  </si>
  <si>
    <t>11533878</t>
  </si>
  <si>
    <t>UBICACION RURAL VALLE CHICAMA PREDIO MOCAN PARCELA 537     U.C. 537-31 PAIJAN - ASCOPE - LA LIBERTAD</t>
  </si>
  <si>
    <t>11533879</t>
  </si>
  <si>
    <t>UBICACION RURAL VALLE CHICAMA PREDIO MOCAN PARCELA 537     U.C. 537-49 PAIJAN - ASCOPE - LA LIBERTAD</t>
  </si>
  <si>
    <t>11533897</t>
  </si>
  <si>
    <t>UBICACION RURAL VALLE CHICAMA PREDIO MOCAN PARCELA 537     U.C. 537-51 PAIJAN - ASCOPE - LA LIBERTAD</t>
  </si>
  <si>
    <t>11533899</t>
  </si>
  <si>
    <t>UBICACION RURAL VALLE CHICAMA PREDIO MOCAN PARCELA 537     U.C. 537-50 PAIJAN - ASCOPE - LA LIBERTAD</t>
  </si>
  <si>
    <t>11533898</t>
  </si>
  <si>
    <t>UBICACION RURAL VALLE CHICAMA PREDIO MOCAN PARCELA 537     U.C. 537-52 PAIJAN - ASCOPE - LA LIBERTAD</t>
  </si>
  <si>
    <t>11533900</t>
  </si>
  <si>
    <t>UBICACION RURAL VALLE CHICAMA PREDIO MOCAN PARCELA 537     U.C. 537-53 PAIJAN - ASCOPE - LA LIBERTAD</t>
  </si>
  <si>
    <t>11533901</t>
  </si>
  <si>
    <t>UBICACION RURAL VALLE CHICAMA PREDIO MOCAN PARCELA 537     U.C. 537-54 PAIJAN - ASCOPE - LA LIBERTAD</t>
  </si>
  <si>
    <t>11533902</t>
  </si>
  <si>
    <t>UBICACION RURAL VALLE CHICAMA PREDIO MOCAN PARCELA 537     U.C. 537-55 PAIJAN - ASCOPE - LA LIBERTAD</t>
  </si>
  <si>
    <t>11533903</t>
  </si>
  <si>
    <t>UBICACION RURAL VALLE CHICAMA PREDIO MOCAN PARCELA 537     U.C. 537-56 PAIJAN - ASCOPE - LA LIBERTAD</t>
  </si>
  <si>
    <t>11533904</t>
  </si>
  <si>
    <t>UBICACION RURAL VALLE CHICAMA PREDIO MOCAN PARCELA 537     U.C. 537-57 PAIJAN - ASCOPE - LA LIBERTAD</t>
  </si>
  <si>
    <t>11533905</t>
  </si>
  <si>
    <t>UBICACION RURAL VALLE CHICAMA PREDIO MOCAN PARCELA 537     U.C. 537-58 PAIJAN - ASCOPE - LA LIBERTAD</t>
  </si>
  <si>
    <t>11533906</t>
  </si>
  <si>
    <t>UBICACION RURAL VALLE CHICAMA PREDIO MOCAN PARCELA 537     U.C. 537-59 PAIJAN - ASCOPE - LA LIBERTAD</t>
  </si>
  <si>
    <t>11533909</t>
  </si>
  <si>
    <t>UBICACION RURAL VALLE CHICAMA PREDIO MOCAN PARCELA 537     U.C. 537-60 PAIJAN - ASCOPE - LA LIBERTAD</t>
  </si>
  <si>
    <t>11533911</t>
  </si>
  <si>
    <t>UBICACION RURAL VALLE CHICAMA PREDIO MOCAN PARCELA 537     U.C. 537-61 PAIJAN - ASCOPE - LA LIBERTAD</t>
  </si>
  <si>
    <t>11533912</t>
  </si>
  <si>
    <t>CALLE ORBEGOSO NUM 660 664 666 668 MZ 51    CENTRO HISTORICO TRUJILLO - TRUJILLO - LA LIBERTAD</t>
  </si>
  <si>
    <t>11550742</t>
  </si>
  <si>
    <t>avenida coronel portillo 696 piso 2 san Isidro</t>
  </si>
  <si>
    <t>41602562</t>
  </si>
  <si>
    <t>AVENIDA ESPAÑA NUM 305  09   TRUJILLO - TRUJILLO - LA LIBERTAD</t>
  </si>
  <si>
    <t>03014474</t>
  </si>
  <si>
    <t>UBICACION RURAL VALLE CHICAMA PREDIO MOCAN PARCELA 537     U.C. 537 PAIJAN - ASCOPE - LA LIBERTAD</t>
  </si>
  <si>
    <t>04014720</t>
  </si>
  <si>
    <t>Calle El Palmar 255. Distrito Victor Larco Herrera. Trujillo. La libertad</t>
  </si>
  <si>
    <t>11434369</t>
  </si>
  <si>
    <t>Av. España 305. Edificio Servat. Piso 9</t>
  </si>
  <si>
    <t>UBICACION RURAL VALLE CHICAMA PREDIO MOCAN PARCELA 537     U.C. 537-20 PAIJAN - ASCOPE - LA LIBERTAD</t>
  </si>
  <si>
    <t>11533867</t>
  </si>
  <si>
    <t>AVENIDA SAN MARTIN DE PORRAS NUM 409  N° 417 - BLOCK 15 TIPO A - DEPARTAMENTO N° 601 - SEXTO PISO ZONA PARCELACION DEL FUNDO LA ESTRELLA ATE - LIMA - LIMA</t>
  </si>
  <si>
    <t>13224484</t>
  </si>
  <si>
    <t>AVENIDA SAN MARTIN DE PORRAS NUM 445  N° 26 - ESTACIONAMIENTO N° 483 - SOTANO ZONA PARCELACION DEL FUNDO LA ESTRELLA ATE - LIMA - LIMA</t>
  </si>
  <si>
    <t>13223986</t>
  </si>
  <si>
    <t xml:space="preserve">    LOTE 38 SECTOR COMATRANA ICA - ICA - ICA</t>
  </si>
  <si>
    <t>11120093</t>
  </si>
  <si>
    <t>CALLE EL PARQUE MZ D LOTE 007 RESIDENCIAL LA ANGOSTURA ICA - ICA - ICA</t>
  </si>
  <si>
    <t>02009666</t>
  </si>
  <si>
    <t>Predio Rural</t>
  </si>
  <si>
    <t>Comunidad de Accopata</t>
  </si>
  <si>
    <t>P03000770</t>
  </si>
  <si>
    <t>P02012240</t>
  </si>
  <si>
    <t>Bosques de eucalipto</t>
  </si>
  <si>
    <t>P02004694</t>
  </si>
  <si>
    <t>P02004699</t>
  </si>
  <si>
    <t>Predio Rural Terreno de Cultivo</t>
  </si>
  <si>
    <t>P02000810</t>
  </si>
  <si>
    <t>P02005271</t>
  </si>
  <si>
    <t>P05001312</t>
  </si>
  <si>
    <t>JIRON HUARAZ NUM 1808 DPTO 301   BREÑA - LIMA - LIMA</t>
  </si>
  <si>
    <t>40860967</t>
  </si>
  <si>
    <t>Se considera el valor del inmueble en $50,000 y se coloca el monto al tipo de cambio</t>
  </si>
  <si>
    <t>QUISPICANCHI-QUIQUIJANA- MZ C LOTE 7 - CENTRO POBLADO QUIQUIJANA</t>
  </si>
  <si>
    <t>P31005627</t>
  </si>
  <si>
    <t>ANEXO SAN VICENTE DE AZPITIA (UC 6243 Y 6244)</t>
  </si>
  <si>
    <t>CALLE DOÑA MARCELA NUM 151- 149   URB LOS ROSALES 2DA ETAPA SANTIAGO DE SURCO - LIMA - LIMA</t>
  </si>
  <si>
    <t>45117782</t>
  </si>
  <si>
    <t>AVENIDA LOTE DE TERRENO RIBEREÑO     SECTOR CALETA DE PUERTO VIEJO SAN ANTONIO - CAÑETE - LIMA</t>
  </si>
  <si>
    <t>21000951</t>
  </si>
  <si>
    <t>UBICACION RURAL HACIENDA CASITAS PARCELA RUSTICO   U.C. 0 CASITAS - TUMBES - TUMBES</t>
  </si>
  <si>
    <t>04008645</t>
  </si>
  <si>
    <t>HEREDERO DE 1% DE LAS 2000 HECTAREAS</t>
  </si>
  <si>
    <t>CALLE DOÑA HILDA NUM 167 ESTAC N° 2 - SEMISÓTANO URB LOS ROSALES SANTIAGO DE SURCO - LIMA - LIMA</t>
  </si>
  <si>
    <t>13501728</t>
  </si>
  <si>
    <t>EN EL AUTOVALUO DE LA CASA ESTA INCLUIDO LOS ESTACIONAMIENTOS.</t>
  </si>
  <si>
    <t>CALLE DOÑA HILDA NUM 169 DPTO N° 102 - PRIMER PISO URB LOS ROSALES SANTIAGO DE SURCO - LIMA - LIMA</t>
  </si>
  <si>
    <t>13501734</t>
  </si>
  <si>
    <t>PASAJE JAMAICA 120, DEPARTAMENTO 501, URBANIZACIÓN EL RECREO, DISTRITO Y PROVINCIA DE TRUJILLO, DEPARTAMENTO DE LA LIBERTAD.</t>
  </si>
  <si>
    <t>SE PRECISA QUE EN ESTE RUBRO SE HA CONSIGNADO COMO VALOR, EL VALOR DE AUTOVALÚO, PUES NO SE TIENE UN ESTIMADO DEL VALOR DEL MERCADO.</t>
  </si>
  <si>
    <t>UBICACION RURAL PREDIO LAREDO GRANDE SECTOR SAN IDELFONSO   SUB LOTE 10853 - A   LAREDO - TRUJILLO - LA LIBERTAD</t>
  </si>
  <si>
    <t>11285523</t>
  </si>
  <si>
    <t>INMUBLE</t>
  </si>
  <si>
    <t>BALNEAREO COLAN</t>
  </si>
  <si>
    <t>JIRON MANUEL GOMEZ NUM 205 DPTO 605   LINCE - LIMA - LIMA</t>
  </si>
  <si>
    <t>46561309</t>
  </si>
  <si>
    <t>STAND</t>
  </si>
  <si>
    <t>JR. AYACUCHO N° 885 INT 106 M - LIMA</t>
  </si>
  <si>
    <t>STAND UBICADO EN LA GALERÍA SANTA BARBARA EL CUAL SE ENCUENTRA EN PROCESO DE REGULACIÓN DE INSCRIPCIÓN EN REGISTROS PUBLICOS. SIN EMBARGO, CUENTA CON REGISTRO EN EL IMPUESTO PREDIAL EN LA MML CON CODIGO DE PREDIO 14662.</t>
  </si>
  <si>
    <t xml:space="preserve">  MZ P-III LOTE 19 ETAP SEGUNDA SAN JUAN DE LURIGANCHO - LIMA - LIMA</t>
  </si>
  <si>
    <t>11608145</t>
  </si>
  <si>
    <t>PASAJE 1       CERCADO - LIMA - LIMA</t>
  </si>
  <si>
    <t>40338314</t>
  </si>
  <si>
    <t>SE ENCUENTRA EN JR. AYACUCHO N° 881 INT 19, LIMA</t>
  </si>
  <si>
    <t>AVENIDA VELASCO ASTETE NUM 1061 ESTAC N° 18 - SÓTANO 2 RESIDENCIAL CHACARILLA DEL ESTANQUE SANTIAGO DE SURCO - LIMA - LIMA</t>
  </si>
  <si>
    <t>15501989</t>
  </si>
  <si>
    <t>AVENIDA VELASCO ASTETE NUM 1061 ESTAC N° 21 - SÓTANO 2 RESIDENCIAL CHACARILLA DEL ESTANQUE SANTIAGO DE SURCO - LIMA - LIMA</t>
  </si>
  <si>
    <t>15501992</t>
  </si>
  <si>
    <t>AVENIDA VELASCO ASTETE NUM 1061 DEPOSIT N° 9 - SÓTANO 2 RESIDENCIAL CHACARILLA DEL ESTANQUE SANTIAGO DE SURCO - LIMA - LIMA</t>
  </si>
  <si>
    <t>15502006</t>
  </si>
  <si>
    <t>AVENIDA VELASCO ASTETE NUM 1061 DPTO N° 202 - SEGUNDO PISO RESIDENCIAL CHACARILLA DEL ESTANQUE SANTIAGO DE SURCO - LIMA - LIMA</t>
  </si>
  <si>
    <t>15502033</t>
  </si>
  <si>
    <t>AVENIDA VELASCO ASTETE NUM 1061 ESTAC N° 17 - SÓTANO 2 RESIDENCIAL CHACARILLA DEL ESTANQUE SANTIAGO DE SURCO - LIMA - LIMA</t>
  </si>
  <si>
    <t>15501988</t>
  </si>
  <si>
    <t>ZONA: ZONA REGISTRAL XI - SEDE ICA; OFICINA: PISCO</t>
  </si>
  <si>
    <t>11028545</t>
  </si>
  <si>
    <t>AV. TANGUIS 291 - AO3-24 
MEGA MERCADO EN PISCO ICA</t>
  </si>
  <si>
    <t>CALLE OVIEDO NUM 170-172     PUEBLO LIBRE - LIMA - LIMA</t>
  </si>
  <si>
    <t>46936558</t>
  </si>
  <si>
    <t xml:space="preserve">  MZ C LOTE C-19 ZONA HABILITACIÓN URBANA DE LOTE ÚNICO CERRO AZUL - CAÑETE - LIMA</t>
  </si>
  <si>
    <t>21282775</t>
  </si>
  <si>
    <t>PREDIO SANTA DOMITILA PARCELA B DISTRITO DE CHICLAYO - LAMBAYEQUE - PERÚ</t>
  </si>
  <si>
    <t>11370829</t>
  </si>
  <si>
    <t>En el valor referencial del bien se está considerando el valor del autovalúo, ya que, no se cuenta con el valor exacto o refencial de dicho predio.
Solo se cuenta con el 10% del bien inmueble.</t>
  </si>
  <si>
    <t>MALECON RIVERA NORTE NUM 516 DPTO 404 ZONA COSTA NORTE BAJA - URB. CASCO URBANO - SAN BARTOLO</t>
  </si>
  <si>
    <t>P03329025</t>
  </si>
  <si>
    <t>Valor referencial del predio en base a la última Declración Jurada de Hoja de Vida del 2021</t>
  </si>
  <si>
    <t>PSAJE. PACALLAR 247 URB. LA AURORA MIRAFLORES</t>
  </si>
  <si>
    <t>41572663</t>
  </si>
  <si>
    <t>ESTANCIA DE SANTA MARIA V ETAPA MZ E5 LOTE 14</t>
  </si>
  <si>
    <t>EL VALOR DEL PREDIO SEGUN CONTRATO COMPRA VENTA ES $15,461.10 DOLARES AMERICANOS,  SE HA REGISTRADO EN MONEDA SOLES AL CAMBIO ACTUAL, SE ENCUENTRA PENDIENTE DE TRANSFERENCIA POR INMOBILIARIA</t>
  </si>
  <si>
    <t>ESTANCIA DE SANTA MARIA V ETAPA MZ E5 LOTE 13</t>
  </si>
  <si>
    <t>ICA-SUBTANJALLA- MZ B1 LOTE 14 - PROGRAMA DE VIVIENDA LAS COLINAS DE LA ANGOSTURA</t>
  </si>
  <si>
    <t>P07016087</t>
  </si>
  <si>
    <t>EL VALOR DEL PREDIO SEGUN PARTIDA REGISTRAL ES $1,500.00 DOLARES AMERICANOS,  SE HA REGISTRADO EN MONEDA SOLES AL CAMBIO ACTUAL</t>
  </si>
  <si>
    <t>TIENE_BIENES_INMUEBLES</t>
  </si>
  <si>
    <t>VEHICULO</t>
  </si>
  <si>
    <t>PLACA</t>
  </si>
  <si>
    <t>CARACTERISTICA</t>
  </si>
  <si>
    <t>REGISTRO DE PROPIEDAD VEHICULAR</t>
  </si>
  <si>
    <t xml:space="preserve">V5Z034 </t>
  </si>
  <si>
    <t>Automóvil Peugeot Blan.</t>
  </si>
  <si>
    <t xml:space="preserve">F0Q554 </t>
  </si>
  <si>
    <t>Automovil</t>
  </si>
  <si>
    <t xml:space="preserve">MS4473 </t>
  </si>
  <si>
    <t>Motocicleta</t>
  </si>
  <si>
    <t>En estado obsoleto.</t>
  </si>
  <si>
    <t xml:space="preserve">Z7I947 </t>
  </si>
  <si>
    <t>RRM700  Copropietario de camioneta</t>
  </si>
  <si>
    <t xml:space="preserve">ASZ048 </t>
  </si>
  <si>
    <t>STATION WAGON KIA 1.4 AT EX PLUS 2016</t>
  </si>
  <si>
    <t>COLOR PLATA BRILLANTE, SOCIEDAD CONYUGAL</t>
  </si>
  <si>
    <t xml:space="preserve">CHP423 </t>
  </si>
  <si>
    <t>CAMIONETA KIA SONET 2023</t>
  </si>
  <si>
    <t>SOCIEDAD CONYUGAL - CAMIONETA AUTOMATICA COLOR ROJO INTENSO NEGRO , MODELO DE AÑO 2024. SE DIO UNA INICIAL LA SUMA S/.18,395.00 (GARANTIA MOBILIARIA)</t>
  </si>
  <si>
    <t xml:space="preserve">AVY699 </t>
  </si>
  <si>
    <t>SERIE N° KNAGU411BH5052086</t>
  </si>
  <si>
    <t>COLOR: BLANCO NIEVE, MARCA MODELO: KIA OPTIMA, (Fuente: SUNARP-VEHICULAR)</t>
  </si>
  <si>
    <t xml:space="preserve">BUR684 </t>
  </si>
  <si>
    <t>CHANGAN CS35</t>
  </si>
  <si>
    <t xml:space="preserve">W1J029 </t>
  </si>
  <si>
    <t>VEHÍCULO NISSAN PRESEA</t>
  </si>
  <si>
    <t>VALOR DIEZ MIL SOLES. El valor comercial consignado es el brindado por la candidata.</t>
  </si>
  <si>
    <t>CAMIONETA HI LUX PICK UP</t>
  </si>
  <si>
    <t>B4Y-864</t>
  </si>
  <si>
    <t>MOTOR 1KD5132500,MARCA TOYOTA G,COLORGRIS OSCURO METÁLICO</t>
  </si>
  <si>
    <t xml:space="preserve">D8V110 </t>
  </si>
  <si>
    <t>Camioneta, marca Mazda, color negro, modelo CX-5</t>
  </si>
  <si>
    <t>Inscrito a nombre de la sociedad conyugal</t>
  </si>
  <si>
    <t xml:space="preserve">B6R357 </t>
  </si>
  <si>
    <t>Camioneta,marca Renault, modelo Koleos, color negro metálico</t>
  </si>
  <si>
    <t xml:space="preserve">C9Q341 </t>
  </si>
  <si>
    <t>Marca Audi, solor gris claro, año 2013</t>
  </si>
  <si>
    <t>EL VALOR CONSIGNADO ES EL ESTIMADO POR EL CANDIDATO. EL AUTO FUE COMPRADO EN DOLARES: US$ 9000.00.</t>
  </si>
  <si>
    <t xml:space="preserve">M92282 </t>
  </si>
  <si>
    <t>MOTOCICLETA MARCA SONIK, MODELO XL150T-2, COLOR ROJO, 2012</t>
  </si>
  <si>
    <t>SE CONSIGNA UN VALOR COMERCIAL ESTIMADO POR EL CANDIDATO.</t>
  </si>
  <si>
    <t xml:space="preserve">M3X059 </t>
  </si>
  <si>
    <t>MARCA CHEVROLET, MODELO CAUTIVA, COLOR GRIS, AÑO 2015</t>
  </si>
  <si>
    <t xml:space="preserve">M6M219 </t>
  </si>
  <si>
    <t>AUTOMOVIL COLOR BLANCO, MODELO BLUE BIRD, AÑO 1985</t>
  </si>
  <si>
    <t>VEHICULO SINIESTRADO EN EL AÑO 1997. SU ANTERIOR PLACA ERA BC4970.  SE CONSIGNA UN VALOR COMERCIAL ESTIMADO POR EL CANDIDATO.</t>
  </si>
  <si>
    <t xml:space="preserve">M2Z627 </t>
  </si>
  <si>
    <t>AUTOMOVIL CHEVROLET, MODELO SPARK, COLOR CELESTE, AÑO 2011</t>
  </si>
  <si>
    <t xml:space="preserve">82155K </t>
  </si>
  <si>
    <t>CUATRIMOTO, MARCA TAO MOTOR, MODELO COYOTE125, COLOR BLANCO</t>
  </si>
  <si>
    <t xml:space="preserve">89736K </t>
  </si>
  <si>
    <t>MOTOCICLETA, MARCA SSENDA, MODELO 110, NEGRO, AÑO 2021</t>
  </si>
  <si>
    <t xml:space="preserve">BSX551 </t>
  </si>
  <si>
    <t>Auto Hyndai</t>
  </si>
  <si>
    <t>Venue -2021. EL VALOR CONSIGNADO ES EL ESTIMADO POR EL CANDIDATO.</t>
  </si>
  <si>
    <t xml:space="preserve">BWC684 </t>
  </si>
  <si>
    <t>Camioneta Hyndai</t>
  </si>
  <si>
    <t>Tucson - 2021. EL VALOR CONSIGNADO ES EL ESTIMADO POR EL CANDIDATO.</t>
  </si>
  <si>
    <t xml:space="preserve">BHN206 </t>
  </si>
  <si>
    <t>AUTOMOVIL</t>
  </si>
  <si>
    <t xml:space="preserve">AJX445 </t>
  </si>
  <si>
    <t xml:space="preserve">BAL517 </t>
  </si>
  <si>
    <t>CAMIONETA</t>
  </si>
  <si>
    <t xml:space="preserve">BBU031 </t>
  </si>
  <si>
    <t xml:space="preserve">C1L046 </t>
  </si>
  <si>
    <t>MERCEDES BENZ PLATEADO AÑO 1981</t>
  </si>
  <si>
    <t xml:space="preserve">ADW349 </t>
  </si>
  <si>
    <t>MERCEDES BENZ ROJO AÑO 1984</t>
  </si>
  <si>
    <t xml:space="preserve">C3P540 </t>
  </si>
  <si>
    <t>CAMIONETA FORD TAURUS AÑO 1988</t>
  </si>
  <si>
    <t xml:space="preserve">F2U380 </t>
  </si>
  <si>
    <t>MERCEDES BENZ AZUL AÑO 1981 - MODELO 500</t>
  </si>
  <si>
    <t xml:space="preserve">F4K295 </t>
  </si>
  <si>
    <t>MERCEDES BENZ AÑO 1993</t>
  </si>
  <si>
    <t xml:space="preserve">H1W227 </t>
  </si>
  <si>
    <t>Camioneta</t>
  </si>
  <si>
    <t>EL VALOR ESTIMADO ES PROPORCIONADO POR LA CANDIDATA.</t>
  </si>
  <si>
    <t xml:space="preserve">BPB405 </t>
  </si>
  <si>
    <t>Marca Subaru, modelo Forester.</t>
  </si>
  <si>
    <t xml:space="preserve">CCI034 </t>
  </si>
  <si>
    <t>HYUNDAI VENUE</t>
  </si>
  <si>
    <t>DEL AÑO 2023</t>
  </si>
  <si>
    <t>VOLKSWAGEN TIGUAN</t>
  </si>
  <si>
    <t>1073-JBB</t>
  </si>
  <si>
    <t>VOLKSWAGEN</t>
  </si>
  <si>
    <t>ESPAÑA</t>
  </si>
  <si>
    <t>09622L</t>
  </si>
  <si>
    <t>MOTOCICLETA MAVILA</t>
  </si>
  <si>
    <t>ROJA</t>
  </si>
  <si>
    <t xml:space="preserve">U1K470 </t>
  </si>
  <si>
    <t>VEHICULO TOYOTA RAIZE</t>
  </si>
  <si>
    <t>BLANCO</t>
  </si>
  <si>
    <t>NY34646</t>
  </si>
  <si>
    <t>MOTOCICLETA</t>
  </si>
  <si>
    <t>AZUL</t>
  </si>
  <si>
    <t xml:space="preserve">COP048 </t>
  </si>
  <si>
    <t>Mercedes Benz - Automático</t>
  </si>
  <si>
    <t>EL PRECIO CONSIGNADO ES EL VALOR DEL SEGURO POR MAPFRE.</t>
  </si>
  <si>
    <t xml:space="preserve">1116BZ </t>
  </si>
  <si>
    <t>NINGUNA</t>
  </si>
  <si>
    <t>VEHICULO NO ES DE MI PROPIEDAD</t>
  </si>
  <si>
    <t xml:space="preserve">95091A </t>
  </si>
  <si>
    <t xml:space="preserve">AKK899 </t>
  </si>
  <si>
    <t xml:space="preserve">BKR066 </t>
  </si>
  <si>
    <t xml:space="preserve">F5V764 </t>
  </si>
  <si>
    <t xml:space="preserve">C2E394 </t>
  </si>
  <si>
    <t>MARCA PEUGEOT MECÀNICO</t>
  </si>
  <si>
    <t xml:space="preserve">AOE937 </t>
  </si>
  <si>
    <t>AUTO MARCA PEUGEOT AÑO 1998 MECÀNICO</t>
  </si>
  <si>
    <t>MEDIDA CAUTELAR DE EMBARGO 10º JUZGADO CIVIL DE  LIMA.HABIÈNDOME APERSONADO AL PROCESO SE EMITE RESOLUCIÒN Nº5 DONDE SE RECHAZA LO SOLICTADO POR NO SER PARTE DEL PROCESO.</t>
  </si>
  <si>
    <t>MY66681</t>
  </si>
  <si>
    <t>MOTO - NEGRO JIALING</t>
  </si>
  <si>
    <t xml:space="preserve">2920BL </t>
  </si>
  <si>
    <t>MOTO - NEGRO HONDA NAVI</t>
  </si>
  <si>
    <t xml:space="preserve">37295L </t>
  </si>
  <si>
    <t>MOTO - ROJO MAVILA CR1</t>
  </si>
  <si>
    <t xml:space="preserve">C9F424 </t>
  </si>
  <si>
    <t>CAMIONETA - MARRON MAHINDRA</t>
  </si>
  <si>
    <t xml:space="preserve">12918L </t>
  </si>
  <si>
    <t>MOTO - PLATA YAMAHA CIGNUS - Z</t>
  </si>
  <si>
    <t xml:space="preserve">A02209 </t>
  </si>
  <si>
    <t>Marca Dayun, color negro</t>
  </si>
  <si>
    <t xml:space="preserve">B6B144 </t>
  </si>
  <si>
    <t>MITSUBISHI MONTERO</t>
  </si>
  <si>
    <t>EL VALOR CONSIGNADO ES EL ESTIMADO POR EL CANDIDATO.</t>
  </si>
  <si>
    <t xml:space="preserve">B8N283 </t>
  </si>
  <si>
    <t>CAMIONETA HILUX</t>
  </si>
  <si>
    <t xml:space="preserve">A1R080 </t>
  </si>
  <si>
    <t>HUMMER</t>
  </si>
  <si>
    <t xml:space="preserve">BXS585 </t>
  </si>
  <si>
    <t>Camioneta Volkswagen Tiguan All Space del 2021.</t>
  </si>
  <si>
    <t>Valor de adquisición. Automática y gris platino.</t>
  </si>
  <si>
    <t xml:space="preserve">F7I424 </t>
  </si>
  <si>
    <t>Ninguna</t>
  </si>
  <si>
    <t>El vehículo no es de mi propiedad. En la partida N° 51525723 consta que el propietario es un homónimo, identificado con el DNI N° 10354769.</t>
  </si>
  <si>
    <t xml:space="preserve">BMZ362 </t>
  </si>
  <si>
    <t>Honda Civic Azul Cosmic del 2019.</t>
  </si>
  <si>
    <t>El valor consignado corresponde al valor de ingreso al patrimonio, dado que el bien fue incorporado a este mediante un anticipo de legítima. Dicho bien fue valorizado en $ 14,000, monto que fue convertido a soles aplicando el tipo de cambio vigente.</t>
  </si>
  <si>
    <t xml:space="preserve">T1T543 </t>
  </si>
  <si>
    <t>VOLVO 760 DEL AÑO 1987</t>
  </si>
  <si>
    <t>VENDIDO POR REGULARIZAR TRANSFERENCIA</t>
  </si>
  <si>
    <t>MY80446</t>
  </si>
  <si>
    <t>MOTOCICLETA - YUMBO DAKAR 200, COLOR AZUL</t>
  </si>
  <si>
    <t>PROPIEDAD INDIVIDUAL</t>
  </si>
  <si>
    <t xml:space="preserve">48283L </t>
  </si>
  <si>
    <t>MOTOCICLETA - HONDA XR 150L-2016 COLOR NEGRO</t>
  </si>
  <si>
    <t xml:space="preserve">90056L </t>
  </si>
  <si>
    <t>MOTOCICLETA HONDA XR190L-2018 COLOR NEGRO</t>
  </si>
  <si>
    <t xml:space="preserve">5083CL </t>
  </si>
  <si>
    <t>MOTOCICLETA - YAMAHA LCG125 CYGNUS RAYZR COLOR ROJO</t>
  </si>
  <si>
    <t>PROPIEDAD CONYUGAL</t>
  </si>
  <si>
    <t>Camión Blanco Marca JAC</t>
  </si>
  <si>
    <t>AWV-866</t>
  </si>
  <si>
    <t>Modelo X200 del año 2019</t>
  </si>
  <si>
    <t>La compra se efectuó en la notaría Zambrano en la ciudad de Lima. La Oficina de Registros Públicos me informó la existencia de una observación previa al registro vehicular. El valor consignado  es de la Escritura Publica 2025.</t>
  </si>
  <si>
    <t xml:space="preserve">D8T464 </t>
  </si>
  <si>
    <t>NO SOY NI HE SIDO PROPIETARIO DE ESTE BIEN MUEBLE.  DE ACUERDO CON LA INFORMACIÓN DE REGISTROS PÚBLICOS SE CONSTATA QUE PERTENECE A UN HOMÓNIMO CARLOS ALBERTO ZEGARRA SANCHEZ, IDENTIFICADO CON DNI. 70692108 - PARTIDA REGISTRAL Nº 52652567 - PLACA D8T464.</t>
  </si>
  <si>
    <t xml:space="preserve">0442NW </t>
  </si>
  <si>
    <t>Marca ULTRA. Año modelo 2022. Nro Motor: 1P54FMIN1020940</t>
  </si>
  <si>
    <t xml:space="preserve">3561BW </t>
  </si>
  <si>
    <t>Marca RONCO. Modelo TR 150K. Año Modelo 2018</t>
  </si>
  <si>
    <t xml:space="preserve">W57257 </t>
  </si>
  <si>
    <t>Marca JINCO. Modelo RTM100-4B</t>
  </si>
  <si>
    <t xml:space="preserve">0534NW </t>
  </si>
  <si>
    <t>Marca ULTRA. Año Modelo 2022.  Nro Motor: 1P54FMIN1020985</t>
  </si>
  <si>
    <t xml:space="preserve">54893W </t>
  </si>
  <si>
    <t>Marca BAJAJ. Modelo: RE AUTORIKSHA TOIRITO 4T LPG T</t>
  </si>
  <si>
    <t xml:space="preserve">A3I784 </t>
  </si>
  <si>
    <t>Marca Honda, Año de modelo: 2010. Modelo CGL125</t>
  </si>
  <si>
    <t xml:space="preserve">56638K </t>
  </si>
  <si>
    <t>COLOR AZUL AÑO 2022</t>
  </si>
  <si>
    <t>NG81246</t>
  </si>
  <si>
    <t>COLOR ROJO Y BLANCO AÑO 2007</t>
  </si>
  <si>
    <t>NG44856</t>
  </si>
  <si>
    <t>COLOR AZUL AÑO 2004</t>
  </si>
  <si>
    <t xml:space="preserve">T1M034 </t>
  </si>
  <si>
    <t>COLOR AMARILLO ORO AÑO 2007</t>
  </si>
  <si>
    <t xml:space="preserve">X50212 </t>
  </si>
  <si>
    <t>HONDA XR</t>
  </si>
  <si>
    <t>MV14943</t>
  </si>
  <si>
    <t>HONDA</t>
  </si>
  <si>
    <t>MV10489</t>
  </si>
  <si>
    <t xml:space="preserve">SZ9072 </t>
  </si>
  <si>
    <t>TOYOTA COROLLA</t>
  </si>
  <si>
    <t xml:space="preserve">X3N309 </t>
  </si>
  <si>
    <t>ROJA HONDA</t>
  </si>
  <si>
    <t xml:space="preserve">37846X </t>
  </si>
  <si>
    <t>TRIMOVIL KAMAX X3</t>
  </si>
  <si>
    <t>Registro de propiedad vehicular</t>
  </si>
  <si>
    <t>V1C728</t>
  </si>
  <si>
    <t>Vehículo</t>
  </si>
  <si>
    <t>Inactivo</t>
  </si>
  <si>
    <t xml:space="preserve">UH3618 </t>
  </si>
  <si>
    <t>vehiculo</t>
  </si>
  <si>
    <t>Activo</t>
  </si>
  <si>
    <t>Registro de Propiedad Vehícular</t>
  </si>
  <si>
    <t>V1S794</t>
  </si>
  <si>
    <t>Vehiculo</t>
  </si>
  <si>
    <t xml:space="preserve">7250VB </t>
  </si>
  <si>
    <t>MOTOCICLETA HONDA XR150</t>
  </si>
  <si>
    <t xml:space="preserve">BKF671 </t>
  </si>
  <si>
    <t xml:space="preserve">16701Y </t>
  </si>
  <si>
    <t>Moto lineal de color rojo honda</t>
  </si>
  <si>
    <t xml:space="preserve">83162Y </t>
  </si>
  <si>
    <t xml:space="preserve">85571I </t>
  </si>
  <si>
    <t xml:space="preserve">CEE357 </t>
  </si>
  <si>
    <t>AUTOMOVIL / BLANCO HYUNDAI</t>
  </si>
  <si>
    <t>COMPRA EN 28790.00 DOLARES</t>
  </si>
  <si>
    <t xml:space="preserve">C9N593 </t>
  </si>
  <si>
    <t>Marca MITSUBISHI. Modelo RVR. Nro de motor: 4D68SA5805</t>
  </si>
  <si>
    <t xml:space="preserve">M6A255 </t>
  </si>
  <si>
    <t>NISSAN XTRAIL</t>
  </si>
  <si>
    <t xml:space="preserve">P4D654 </t>
  </si>
  <si>
    <t>AUTO MARCA GEELY  MODELO GX3 PRO COLOR BLANCO</t>
  </si>
  <si>
    <t xml:space="preserve">98599P </t>
  </si>
  <si>
    <t>MOTO SPEX 150 COLOR NEGRO</t>
  </si>
  <si>
    <t xml:space="preserve">H2J535 </t>
  </si>
  <si>
    <t>color blanco con negro -  polarizado</t>
  </si>
  <si>
    <t xml:space="preserve">Z2Z471 </t>
  </si>
  <si>
    <t>Volkswagen Buggy color azul</t>
  </si>
  <si>
    <t xml:space="preserve">BO6920 </t>
  </si>
  <si>
    <t>HYUNDAI ELANTRA COLOR GRIS</t>
  </si>
  <si>
    <t xml:space="preserve">T5K410 </t>
  </si>
  <si>
    <t>MARCA TOYOTA FORTUNER COLOR BLANCO</t>
  </si>
  <si>
    <t>V8H854</t>
  </si>
  <si>
    <t>NISSAN FRONTIER COLOR ANARANJADO</t>
  </si>
  <si>
    <t xml:space="preserve">Z3G362 </t>
  </si>
  <si>
    <t>AUTOMOVIL TOYOTA, BLANCO, 4 LLAMTAS, DE AÑO 1979.</t>
  </si>
  <si>
    <t xml:space="preserve">B2H358 </t>
  </si>
  <si>
    <t>TOYOTA COROLLA COLOR NEGRO</t>
  </si>
  <si>
    <t>C7Z474</t>
  </si>
  <si>
    <t>MODELO JETTA COLOR PLOMO</t>
  </si>
  <si>
    <t xml:space="preserve">F2B051 </t>
  </si>
  <si>
    <t xml:space="preserve">CNG179 </t>
  </si>
  <si>
    <t xml:space="preserve">B3P142 </t>
  </si>
  <si>
    <t>0</t>
  </si>
  <si>
    <t>El carro fue robado en el año 2015 y fue pérdida total porque no apareció.</t>
  </si>
  <si>
    <t xml:space="preserve">3103EM </t>
  </si>
  <si>
    <t>MOTO LINEAL SCUTER</t>
  </si>
  <si>
    <t xml:space="preserve">M36095 </t>
  </si>
  <si>
    <t>COLOR BLANCO_ TOYOTA</t>
  </si>
  <si>
    <t>Mercedez Benz 500 CE</t>
  </si>
  <si>
    <t>KO4493</t>
  </si>
  <si>
    <t>05 asientos, Modelo 500 CE</t>
  </si>
  <si>
    <t>A nombre de su Conyugue</t>
  </si>
  <si>
    <t xml:space="preserve">D9F544 </t>
  </si>
  <si>
    <t>Marca Kia, 05 asientos, color plata. Modelo Sportage</t>
  </si>
  <si>
    <t>Automóvil</t>
  </si>
  <si>
    <t>JI7006</t>
  </si>
  <si>
    <t>Marca, ALFA ROMEO, Modelo ALFETTA GTV 2.0, Fabricación 1981.</t>
  </si>
  <si>
    <t>Vendida en 1995, estaba a nombre de su conyugue.</t>
  </si>
  <si>
    <t xml:space="preserve">ASM373 </t>
  </si>
  <si>
    <t>AUTOMOVIL TIPO SEDAN AÑO 2016</t>
  </si>
  <si>
    <t xml:space="preserve">ASN469 </t>
  </si>
  <si>
    <t xml:space="preserve">ASI650 </t>
  </si>
  <si>
    <t>V4I019</t>
  </si>
  <si>
    <t>NISSAN PLATA VERSA AÑO 2013</t>
  </si>
  <si>
    <t xml:space="preserve">A5V367 </t>
  </si>
  <si>
    <t>Volkswagen rojo modelo 1300</t>
  </si>
  <si>
    <t>Robado</t>
  </si>
  <si>
    <t xml:space="preserve">EQ6449 </t>
  </si>
  <si>
    <t xml:space="preserve">V7L625 </t>
  </si>
  <si>
    <t>NISSAN VERSA</t>
  </si>
  <si>
    <t>NB22134</t>
  </si>
  <si>
    <t>Moto  lineal</t>
  </si>
  <si>
    <t xml:space="preserve">D3Z074 </t>
  </si>
  <si>
    <t>Color dorado</t>
  </si>
  <si>
    <t xml:space="preserve">BSS726 </t>
  </si>
  <si>
    <t>CAMIONETA RENAULT</t>
  </si>
  <si>
    <t xml:space="preserve">ALV185 </t>
  </si>
  <si>
    <t>CAMIONETA NISAN</t>
  </si>
  <si>
    <t>TOYOTA CORONA</t>
  </si>
  <si>
    <t>HQ3999</t>
  </si>
  <si>
    <t>AUTO SEDAN</t>
  </si>
  <si>
    <t xml:space="preserve">T16492 </t>
  </si>
  <si>
    <t>CHATARRA</t>
  </si>
  <si>
    <t>ESTE VEHÍCULO (MOTOFURGON) COMO CONSECUENCIA DEL DESGASTE, SE ENCUENTRA EN ESTADO DE CHATARRA.</t>
  </si>
  <si>
    <t xml:space="preserve">B6P158 </t>
  </si>
  <si>
    <t>AUTO MB NEGRO</t>
  </si>
  <si>
    <t xml:space="preserve">B53789 </t>
  </si>
  <si>
    <t>MOTOCICLETA MARCA YAMAHA MODELO V80 COLOR AZUL AÑO 1995</t>
  </si>
  <si>
    <t>SOCIEDAD CONYUGAL</t>
  </si>
  <si>
    <t>NB11964</t>
  </si>
  <si>
    <t>MOTOCICLETA MARCA JIALING MODELO JL50 Q/2 COLOR AZUL - 2001</t>
  </si>
  <si>
    <t>PROPIETARIO</t>
  </si>
  <si>
    <t xml:space="preserve">CLR152 </t>
  </si>
  <si>
    <t xml:space="preserve">CUL331 </t>
  </si>
  <si>
    <t>TOYOTA COROLLA CROSS GRIS ACERO</t>
  </si>
  <si>
    <t xml:space="preserve">BCT497 </t>
  </si>
  <si>
    <t>AUTO MECANICO</t>
  </si>
  <si>
    <t xml:space="preserve">CDP290 </t>
  </si>
  <si>
    <t>JEEP</t>
  </si>
  <si>
    <t xml:space="preserve">D2V098 </t>
  </si>
  <si>
    <t>Hyundai, camioneta 2012 Negra</t>
  </si>
  <si>
    <t xml:space="preserve">ANJ402 </t>
  </si>
  <si>
    <t>VOLKSWAGEN UP!</t>
  </si>
  <si>
    <t>SE COMPRÓ EL VEHÍCULO USADO</t>
  </si>
  <si>
    <t xml:space="preserve">CDE293 </t>
  </si>
  <si>
    <t>HIUNDAY GRAND I10</t>
  </si>
  <si>
    <t xml:space="preserve">CCA630 </t>
  </si>
  <si>
    <t>CAMIONETA MITSUBISHI</t>
  </si>
  <si>
    <t>CREDITO VEHICULAR</t>
  </si>
  <si>
    <t xml:space="preserve">F9T582 </t>
  </si>
  <si>
    <t>MARCA JEEP MODELO AÑO 2014 GRAN CHEROKE LIMITE COLOR GRIS</t>
  </si>
  <si>
    <t>EL VEHICULO FUE ADQUIRIDO POR $20,000.00 DOLARES AMERICANOS,  SE HA REGISTRADO EN MONEDA SOLES AL CAMBIO ACTUAL.</t>
  </si>
  <si>
    <t xml:space="preserve">A15269 </t>
  </si>
  <si>
    <t>MARCA MAVILA COLOR NEGRO MODELO ARES AÑO 2010</t>
  </si>
  <si>
    <t xml:space="preserve">ABC139 </t>
  </si>
  <si>
    <t>HYUNDAI COLOR BLANCO MODELO GRACE DLX/97</t>
  </si>
  <si>
    <t>VEHICULO DETERIORADO</t>
  </si>
  <si>
    <t>MF10019</t>
  </si>
  <si>
    <t>MARCA ARTSUN COLOR ROJO NEGRO PLATA MODELO AS110-J</t>
  </si>
  <si>
    <t>NISSAN ALTIMA 2015</t>
  </si>
  <si>
    <t>HHWC11</t>
  </si>
  <si>
    <t>AUTO COLOR NEGRO</t>
  </si>
  <si>
    <t>AUTO COMPRADO EN ESTADOS UNIDOS  
ACTUALMENTE ESTA EN ESTADOS UNIDOS, LA PLACA ES UN REGISTRO DE ESTADOS UNIDOS - FL.</t>
  </si>
  <si>
    <t>TIENE_TITULARIDAD</t>
  </si>
  <si>
    <t>PERSONA_JURIDICA</t>
  </si>
  <si>
    <t>TIPO_TITULARIDAD</t>
  </si>
  <si>
    <t>CANTIDAD</t>
  </si>
  <si>
    <t>Grupo Vilcasio SAC</t>
  </si>
  <si>
    <t>ACCIONES</t>
  </si>
  <si>
    <t>RUC 20606835653</t>
  </si>
  <si>
    <t>Holguin Constructora SAC</t>
  </si>
  <si>
    <t>Valor del total de acciones: S/ 65300.00</t>
  </si>
  <si>
    <t>Peruvian Blockchain Lab EIRL</t>
  </si>
  <si>
    <t>Valor del total de acciones: S/ 4500.00</t>
  </si>
  <si>
    <t>DIVELIA SAC</t>
  </si>
  <si>
    <t>Valor del total de acciones: S/ 4400.00</t>
  </si>
  <si>
    <t>JMS SERVICIOS S.A.C.</t>
  </si>
  <si>
    <t>PARTICIPACIONES</t>
  </si>
  <si>
    <t>SIN ACTIVIDAD A LA FECHA.</t>
  </si>
  <si>
    <t>INVERSIONES DE BALON SAC</t>
  </si>
  <si>
    <t>EL VALOR TOTAL DE LAS ACCIONES ES DE S/2,000. LA EMPRESA TIENE RUC 20554161091 (BAJA DE OFICIO).</t>
  </si>
  <si>
    <t>WEALT LATIN AMERICAN IMPORT S.A.</t>
  </si>
  <si>
    <t>El valor total de las acciones que poseo es de S/. 1200 soles, de los cuales solo se pagó S/.654 en aportes de bienes, los cuales son: una radio TV marca Samsung y una cafetera marca Oster.</t>
  </si>
  <si>
    <t>Suma Consultores SAC</t>
  </si>
  <si>
    <t>La sociedad se encuentra con baja de oficio por Sunat</t>
  </si>
  <si>
    <t>Sortie SAC</t>
  </si>
  <si>
    <t>LA PERSONA JURIDICA TIENE UN TOTAL DE 6000 ACCIONES, POR UN VALOR DE 300000 SOLES. EL SUSCRITO POSEE 3,300 ACCIONES QUE EQUIVALE AL 55%, HACIENDO UN MONTO TOTAL DE 165,000.00 SOLES</t>
  </si>
  <si>
    <t>AGROINDUSTRIAS GRANIKA S. A. C.</t>
  </si>
  <si>
    <t>El valor total de las acciones es 20,000.
RUC 20523790596. Baja de oficio.</t>
  </si>
  <si>
    <t>Castro, Quintana, Pinedo &amp; Asociados S. R. L. (Sociedad Civil de Responsabilidad Limitada)</t>
  </si>
  <si>
    <t>El valor total de la participación es de 3500.
Extinción de la sociedad por inactividad.
No recuerdo si generé RUC o si solo la constituí.</t>
  </si>
  <si>
    <t>R&amp;C Proveedores E. I. R. L.</t>
  </si>
  <si>
    <t>Por la naturaleza de la EIRL, no hay acciones ni participaciones. Soy el único titular dueño de la persona jurídica.
La EIRL tiene un capital de 2,400.
RUC 20504077307 Baja de oficio.</t>
  </si>
  <si>
    <t>MANAGEMENT CONSULTORS S.A.C.</t>
  </si>
  <si>
    <t>EL VALOR NOMINAL ES DE 10 SOLES Y EL TOTAL ES 730</t>
  </si>
  <si>
    <t>La suscrita posee el 98% del total de acciones de la persona jurídica, cada acción tiene un valor de S/.1 sol. con un valor total ascendente a 49,000.00 soles.</t>
  </si>
  <si>
    <t>CENTRO DE ESPECIALIDADES DENTALES Y DE SALUD SL.</t>
  </si>
  <si>
    <t>TIPO DE BIEN: ACCIONES - NUMERO DE ACCIONES AL 100%      - ESPAÑA</t>
  </si>
  <si>
    <t>BOXES TALLER SAC</t>
  </si>
  <si>
    <t>EL TOTAL DE ACCIONES DE LA PERSONA JURÍDICA ES DE 1,000 ACCIONES, EL DECLARANTE TIENE EL 90%, EQUIVALENTE A UN TOTAL DE 900.00.</t>
  </si>
  <si>
    <t>EL TOTAL DE ACCIONES DE LA PERSONA JURÍDICA ES 3'544,174 ACCIONES. EL DECLARANTE TIENE EL 80%, EQUIVALENTE A UN TOTAL DE 5'670,678.00</t>
  </si>
  <si>
    <t>CPM INDUSTRIAS SERVICIOS Y ALIMENTOS SAC</t>
  </si>
  <si>
    <t>HERMES INVERSIONES  Y SERVICIOS SAC</t>
  </si>
  <si>
    <t>POWER MAN SEGURITY SAC</t>
  </si>
  <si>
    <t>EL TOTAL DE ACCIONES QUE POSEO ES DEL 50% EL CUAL TIENE UN VALOR DE S/. 87210.00</t>
  </si>
  <si>
    <t>ESTUDIO JURIDICO TRUJILLO ZEGARRA E.I.R.L.</t>
  </si>
  <si>
    <t>EL TOTAL DE PARTICIPACIONES QUE POSEO TIENE UN VALOR DE S/. 10720.00</t>
  </si>
  <si>
    <t>Grupo Promotor Talento e Innovación S.A.C.</t>
  </si>
  <si>
    <t>EL VALOR NOMINAL DEL TOTAL DE MIS ACCIONES ES DE S/ 6,300.LA EMPRESA GRUPO PROMOTOR TALENTO E INNOVACIÓN S.A.C. SE ENCUENTRA DADA DE BAJA.</t>
  </si>
  <si>
    <t>EMPRESA DE MADERAS OXAPAMPA S.A.C. con RUC 20600174038</t>
  </si>
  <si>
    <t>ESTUDIO JURIDICO SAAVEDRA Y ASOCIADOS S.C.R.L</t>
  </si>
  <si>
    <t>ESTUDIO JURIDICO GONZALES CHAVEZ Y CHILLON S.C.R.L</t>
  </si>
  <si>
    <t>A&amp;G Ingenieros S.A.C.</t>
  </si>
  <si>
    <t>SCORPIO A &amp; C CONSULTORES E.I.R.L.</t>
  </si>
  <si>
    <t>Con baja de oficio desde el 2024</t>
  </si>
  <si>
    <t>CORPORACION MARSAD SAC</t>
  </si>
  <si>
    <t>CENTRO DE ALTA FORMACIÓN Y CAPACITACIÓN INSPIRA SAC</t>
  </si>
  <si>
    <t>ENERKAM PERU SAC</t>
  </si>
  <si>
    <t>EMPRESA SIN ACTIVIDAD ECONOMICA, CON SUSPENSION TEMPORAL</t>
  </si>
  <si>
    <t>dueño del 100% de acciones con un valor nominal de 3000 (tre mil soles)</t>
  </si>
  <si>
    <t>PERSONA JURIDICA</t>
  </si>
  <si>
    <t>CYR SISTEM E.I.R.L</t>
  </si>
  <si>
    <t>Grupo Clínica e Imagen S.A.C.</t>
  </si>
  <si>
    <t>El valor de las acciones se están colocando de forma aproximada</t>
  </si>
  <si>
    <t>AGRONEGOCIOS DD&amp;P EIRL</t>
  </si>
  <si>
    <t>Atenea Programas de Intercambio E.I.R.L</t>
  </si>
  <si>
    <t>Agroexportadora Prados SAC</t>
  </si>
  <si>
    <t>ANALISIS &amp; SOLUCIONES LUZ AMBAR S.A.C.</t>
  </si>
  <si>
    <t>Luz Ambar S.A.C.</t>
  </si>
  <si>
    <t>COMPAÑIA DE COMUNICACIÓN INTEGRAL FULLTEVE S.A.C.</t>
  </si>
  <si>
    <t>CORPORACION CEPAZ Y SERVICIOS GENERALES S.R.L.</t>
  </si>
  <si>
    <t>ARVA NEGOCIOS SRL</t>
  </si>
  <si>
    <t>CARGO DE APODERADO</t>
  </si>
  <si>
    <t>BOTICAS SAN JOSÉ MARÍA SAC</t>
  </si>
  <si>
    <t>EMPRESA NO ESTÁ EN ACTIVIDAD Y SE ENCUENTRA CON BAJA DE OFICIO.</t>
  </si>
  <si>
    <t>SERVICIOS GENERALES TURÍSTICOS LAREDO GRANDE SAC</t>
  </si>
  <si>
    <t>SE EFECTÚO INCREMENTO DE CAPITAL DURANTE EL PRESENTE AÑO.</t>
  </si>
  <si>
    <t>SERVICIOS GENERALES DIALON SAC</t>
  </si>
  <si>
    <t>CORPORACIÓN VIRTUAL SAC</t>
  </si>
  <si>
    <t>CONSORCIO EDUCATIVO JYM SAC</t>
  </si>
  <si>
    <t>LUZ DEL SUR</t>
  </si>
  <si>
    <t>ASOCIACION DE PROPIETARIOS AYACUCHO CANTOR</t>
  </si>
  <si>
    <t>TIENE_INFORMACION_ADICIONAL</t>
  </si>
  <si>
    <t>RUBRO</t>
  </si>
  <si>
    <t>RELACIÓN DE SENTENCIAS QUE DECLAREN FUNDADAS</t>
  </si>
  <si>
    <t>En materia laboral Exp. N° 00361-2019-0-0501-JP-LA-01 el cual concluyó y se archivó por cancelarse el monto demandado a favor del demandante PRIMA AFP</t>
  </si>
  <si>
    <t>DECLARACIÓN JURADA DE INGRESOS DE BIENES Y RENTAS</t>
  </si>
  <si>
    <t>Titular de Servicios Falcons EIRL, RUC 20602115349</t>
  </si>
  <si>
    <t>INFORMACIÓN ADICIONAL</t>
  </si>
  <si>
    <t>Declaro pertenecer a una asociación inscrita en SUNARP con Partida Registral N° 111158922, la cual no tiene actividad ni tampoco está activa en la SUNAT.</t>
  </si>
  <si>
    <t>Toyota Yaris Cross en proceso de registro en SUNARP, con un valor de S/ 73367.70</t>
  </si>
  <si>
    <t>Soy Director de IDP - Instituto de Desarrollo y Planeamiento - Inoperativo. RUC 20605089080</t>
  </si>
  <si>
    <t>Gerente de la Emp. SATCON HB S.A. / Le di de baja el 2015. RUC 20490652133</t>
  </si>
  <si>
    <t>EXPERIENCIA LABORAL</t>
  </si>
  <si>
    <t>Laboré en la Institución Educativa APU A UNO (RUC 20602298214), como Docente, en Av. La Cultura N° 1008, desde 2019 a 2025. País: Perú, Departamento: Cusco, Provincia: Cusco, Distrito: Wanchaq</t>
  </si>
  <si>
    <t>La renta bruta mensual se encuentra en proceso de subsanación debido a trabajo independiente al exterior.</t>
  </si>
  <si>
    <t>FORMACIÓN ACADÉMICA</t>
  </si>
  <si>
    <t>La maestría realizada en la Universidad del Pacifico no se registra aun en SUNEDU, pues esta pendiente el proceso de titulación. Actualmente soy "egresado".</t>
  </si>
  <si>
    <t>Soy titular del "IPOSDEC" Instituto de Investigación Peruana de Política  Social y D.C.
Soy titular de la inmobiliaria y constructora Techo Seguro - Perú EIRL.
Soy titular de la ONG - Organización no Gubernamental Ayndamay - Perú.</t>
  </si>
  <si>
    <t>Soy titular de la empresa "Señor de Ayabacas E.I.R.L" Ruc: 20607566322 persona jurídica, la cual cuenta con capital social S/. 200,000.00 soles. La situación actual de la empresa es que se encuentra activa.</t>
  </si>
  <si>
    <t>CUENTO CON UN PROCEDIMIENTO ADMINISTRATIVO ANTE EL JURADO ELECTORAL ESPECIAL DE PACASMAYO , CON EXP. N° EG.2026010764 POR LA PRESUNTA INFRACCION DE USO INDEBIDO DE BIENES PÚBLICOS A FAVOR DE LA ORGANIZACIÓN POLITICA FUERZA POPULAR, EN EL MARCO DE LAS ELECCIONES GENERALES 2026.</t>
  </si>
  <si>
    <t>HE TENIDO UN PROCESO PENAL CON EXP. N° 01359-2020-0-1826-JR-PE-02, EN CALIDAD DE PRESUNTO AUTOR DE LA PRESUNTA COMISIÓN DEL DELITO CONTRA LA PROPIEDAD INTELECTUAL - CONTRA LOS DERECHOS DE AUTOR, EN LA MODALIDAD DE PLAGIO. DICHO PROCESO CONCLUYO MEDIANTE AUTO DE SOBRESEIMIENTO, NOTIFICADO EL 23 DE OCTUBRE DEL 2023 , POSTERIORMENTE SE EMITÍO LA RESOLUCIÓN S/N QUE DECLARA FIRME Y CONSENTIDA EL CITADO SOBRESEIMIENTO.</t>
  </si>
  <si>
    <t>EN EL PUNTO N° VIII , EN OTROS INGRESOS ANUALES EL MONTO DE S/. 164983.22 CORRESPONDE A LA VENTA DE UN DEPARTAMENTO UBICADO EN CALLE CANARIA 124 DPTO. 302 URB. MAYORAZGO - ATE.</t>
  </si>
  <si>
    <t>Tengo 300 acciones en la persona jurídica GRUPO VISUALIZAR SAS, constituida en Colombia, la cual no genera beneficio económico ni realiza actividad alguna.</t>
  </si>
  <si>
    <t>MENAJE (electrodomésticos y otros), valor S/ 72,500.00</t>
  </si>
  <si>
    <t>La candidata tiene una sentencia civil por demolición de fecha 26 de setiembre de 2024, declarada fundada, que resolvió la demolición de 7.42 metros cuadrados construidos dentro del inmueble de la demandate. Proceso que obra en el Exp. 00009-2017-0-1310-JM-CI-01. La orden de demolición fue cumplida.</t>
  </si>
  <si>
    <t>Los ingresos públicos fueron percibidos por mí cónyuge en su totalidad, cuya remuneración mensual  es de 7,552.21 y percibe 14 remuneraciones al año. Mi persona en el 2024, percibió ingresos sólo de fuente privada: 7,500.00 por recibos girados a: Carmen Rodríguez, 6,000.00 girados a CAROFI y 12,350.00 por asesorías brindadas a terceros.</t>
  </si>
  <si>
    <t>ANTERIORMENTE FUI GERENTE GENERAL DE SAVING WALLET CONSULTING SAC, LA MISMA QUE ACTUALMENTE ESTÁ CONSIGNADA CON UNA BAJA DE OFICIO DEL 31/01/2025.</t>
  </si>
  <si>
    <t>Tengo un curso Superior de Inteligencia Estratégica que fue dictado por la Escuela Nacional de Inteligencia. El curso en mención se llevó a cabo desde 28 de setiembre al 18 de diciembre de 2020.</t>
  </si>
  <si>
    <t>Fui Congresista de la República desde julio 2015 a julio 2016.</t>
  </si>
  <si>
    <t>TRAYECTORIA PARTIDARIA Y/O POLÍTICA DE DIRIGENTE</t>
  </si>
  <si>
    <t>- ACCIONISTA EMPRESA WEALT LATINOAMERICAN IMPORT, TRANSFERÍ ACCIONES EL AÑO 2026, EMPRESA FUE DADA DE BAJA TRIBUTARIA EL AÑO 2014.
- CÓNYUGE ES ACCIONISTA 99% EMPRESA INVERSIONES FALAVAK SAC. APARECÍ EN LA ESCRITURA POR SER CONYUGE.
- CONYUGUE ES ACCIONISTA CORPORACIÓN DÍAZ&amp;OLIVEIRA SAC,50% ACCIONES A LA FECHA NO EFECTÚA ACTIVIDAD ECONÓMICA.
- FUI SOCIA EMPRESA STAR EIRL,TRANSFERÍ TITULARIDAD A UN TERCERO MEDIANTE ESCRITURA PÚBLICA.</t>
  </si>
  <si>
    <t>Fui elegida congresista de la República por el periodo parlamentario 2006 -2011.</t>
  </si>
  <si>
    <t>En este punto, cargo de elección popular, estuve como accesitario y ocupe el cargo de regidor en el periodo 2019-2022 según Resolución N° 2650-2022-JNE desde el 02-09-2022 al 02-10-2022, Regidor Distrital de Bellavista - Callao.</t>
  </si>
  <si>
    <t>RENUNCIAS EFECTUADAS A OTROS PARTIDOS</t>
  </si>
  <si>
    <t>EL SUSCRITO DECLARA NUNCA SOLICITO SU INSCRIPCIÓN AL MOVIMIENTO REGIONAL OBRAS POR LA MODERNIDAD, POR SER DE ICA. PERO SI FUI AFILIADO AL MOVIMIENTO REGIONAL CONSTRUYENDO, RENUNCIANDO EN EL 2021</t>
  </si>
  <si>
    <t>RELACIÓN DE SENTENCIAS</t>
  </si>
  <si>
    <t>Que el expediente 061-2002, se refundido en el expediente 859-2003 en donde termino como condena 120 días multa delito calumnia, siendo el mismo proceso penal con las mismas partes procesales.</t>
  </si>
  <si>
    <t>Preciso el número completo de los expedientes que he consignado:
1. Expediente N.° 07763-2011 
2. Expediente N.° 3490-2012
3. Expediente N.° 327-2012
4. Expediente N.° 580-2013</t>
  </si>
  <si>
    <t>He consignado un ingreso del 2024 por 63,200 soles que corresponde a arrendamiento de locales.</t>
  </si>
  <si>
    <t>CARGO DE ELECCION POPULAR POR LA ORGANIZACIÓN POLÍTICA FUERZA 2011 FUI CONGRESIATA DESDE EL 2011 AL 2016</t>
  </si>
  <si>
    <t>LO DECLARADO EN EL RUBRO VIII (DECLARACION JURADA DE INGRESOS DE BIENES Y RENTAS, BIENES MUEBLES DEL DECLARANTE Y SOCIEDAD DE GANANCIALES) CORRESPONDE A MIS INGRESOS POR LAS ACTIVIDADES DESARROLLADAS EN LAS EMRPESAS DIMOL, MARSALA Y MINKAMAR.</t>
  </si>
  <si>
    <t>DESDE EL 13/02/2024 HASTA LA ACTUALIDAD TENGO EL CARGO COMO SECRETARIA NACIONAL DE PERUANOS EN EL EXTERIOR, Y DESDE EL 27/01/2025 HASTA LA ACTUALIDAD COMO TESORERA TITULAR DE LA ORGANIZACIÓN FUERZA POPULAR</t>
  </si>
  <si>
    <t>CON RELACIÓN A LA EMPRESA MINKAMAR SAC, DEJO SEÑALADO QUE EN TAL EMPRESA EJERCÍ LA GERENCIA GENERAL HASTA EL MES DE JUNIO DEL PRESENTE AÑO. ASIMISMO, DESDE EL AÑO 2023, PRESTO SERVICIOS EN DICHA EMPRESA COMO ADMINISTRADORA</t>
  </si>
  <si>
    <t>CARGOS PARTIDARIOS - DESDE EL 2025 HASTA LA ACTUALIDAD TENGO EL CARGO DE SECRETARIO NACIONAL DE FORMACIÓN POLÍTICA DEL PARTIDO FUERZA POPULAR</t>
  </si>
  <si>
    <t>SOY DUEÑA DE LA EMPRESA "PD PRODUCTORA E.I.R.L." EL CUAL TIENE EL VALOR NOMINAL DE S/. 90000.00</t>
  </si>
  <si>
    <t>EVENTUALEMENTE PARTICIPO COMO PRESENTADORA DE TELEVISIÓN</t>
  </si>
  <si>
    <t>REPRESENTANTE LEGAL DE FUERZA POPULAR DESDE EL 2015 HASTA EL 2018</t>
  </si>
  <si>
    <t>DATOS PERSONALES</t>
  </si>
  <si>
    <t>Cuento con nacionalidad Peruana y americana</t>
  </si>
  <si>
    <t>En "otros ingresos anuales" consigné el monto de 250256.64 soles, que comprende a las bonificaciones, gratificaciones y CTS que recibí en el 2024, por mi labor de congresista de la república.</t>
  </si>
  <si>
    <t>DECLARACIÓN DE BIENES INMUEBLES, MUEBLES, ACCIONES  TIPO DE CAMBIO DE EUROS A SOLES CORRESPONDE A DICIEMBRE 2025</t>
  </si>
  <si>
    <t>NO SE CONSIDERA LOS RUBROS DE INGRESOS, TODA VEZ  QUE LO PERCIBIDO SE DA EN EL EXTRANJERO  CUYA SUMA ANUAL POR NOMINA 2024 ES DE 50 MIL 700 EUROS Y EL INGRESO DE ALQUILER LOCAL DE AÑO 2024 7 MIL 200 EUROS</t>
  </si>
  <si>
    <t>JUICIO POR LO CIVIL - ACTUALMENTE RESUELTO 2023- ESPAÑA</t>
  </si>
  <si>
    <t>EN ESTADO DE EVALUACION UN CREDITO HIPOTECARIO MEDIANTE ENTIDAD FINANCIERA A TRAVEZ DE PAZ CENTENARIO INMOBILIARIO CON RUC 20518023579 UN DEPARTAMENTRO N° 1410 , PISO 14, EN COSTANERA N°2560 -SAN MIGUEL - LIMA , INSCRITA EN LA P.R 1530503 CON ESTACIONAMIENTO N° 99 SOTANO 2 , INSCRITA EN P.R 15830040</t>
  </si>
  <si>
    <t>CASO; 3006015500-2023-34-0, FPCEDCF UCAYALI , DELITO: NEGOCIACIÓN INCOMPATIBLE , INVESTIGACIÓN</t>
  </si>
  <si>
    <t>VICEGOBERNADORA DEL GOBIERNO REGIONAL DE UCAYALI, DEL 30-03-2022 AL 31-12-2022 ELEGIDA POR EL CONSEJO REGIONAL DE UCAYALI, EL JNE OTORGO UNA CREDENCIAL DE RECONOCIMIENTO PROVICIONAL</t>
  </si>
  <si>
    <t>CASO: 3006015500-2023-110, FPCEDCF UCAYALI, DELITO PECULADO, ARCHIVO PRELIMINAR</t>
  </si>
  <si>
    <t>CASO:3006015500-2019-172-FPCEDCF UCAYALI DELITO: PECULADO Y MALVERSACIÓN.ARCHIVO PRELIMINAR</t>
  </si>
  <si>
    <t>PRESIDENTE DE LA ASOCIACIÓN DE MORADORES DEL A.H LAS FLORES DE SANTA INES CON P.R 11096175</t>
  </si>
  <si>
    <t>Diplomado Programa Especializado de Formacion de Promotores de Comercio Exterior del año 2015</t>
  </si>
  <si>
    <t>CASO:3006015500-2019-12-1, EXP.N° 00037-2021-83-2402-JR-PE-04, 3ER JUZGADO PENAL UNIPERSONAL DCF,PCEDCF UCAYALI, DELITO : MALVERSACIÓN DE FONDOS EN CALIDAD DE ACUSADA</t>
  </si>
  <si>
    <t>La informacion declarada de Otros Ingresos Anuales se consigno el monto de 2792, que hace mención a una bonificación del mes de Enero 2024 de la Gerencia Territorial de Purus, del Gobierno Regional de Ucayali.</t>
  </si>
  <si>
    <t>PRESIDENTE DE LA ASOCIACIÓN PARA EL DESARROLLO DE LA MUJER AMAZÓNICA - ADEMA CON P.R 11006693</t>
  </si>
  <si>
    <t>COPROPIETARIA CON ANDRE JHONATTAN RAMIREZ DE UNA CAMIONETA HILUX PLACA U10-907 ,COLOR GRIS OSCURO METALICO,
CON PARTIDA NUMERO 60788363, TITULO NUMERO 2025- 03410060 , DE DONACION POR ACCIONES Y DERECHOS DEL 50% POR S/. 15,000 SOLES</t>
  </si>
  <si>
    <t>TENGO DOMICILIO ADICIONAL  EN  JIRON MONTEAGUDO 372-CALLAO</t>
  </si>
  <si>
    <t>CONGRESISTA DE LA REPUBLICA , PERIODO 2021-2026</t>
  </si>
  <si>
    <t>ESPECIALISTA SUPERIOR EN INTEGRACION ANDINA OTORGADO POR LA SEDE CENTRAL, SEDE NACIONAL EN ECUADOR Y LA OFICINA DE LA UNIVERSIDAD ANDINA SIMON BOLIVAR EN COLOMBIA, PERIODO DEL 2007 AL 2008.</t>
  </si>
  <si>
    <t>TENGO TRES EMBARCACIONES PESQUERAS, QUE LA LEY CONSIDERA INMUEBLES Y SON: EMBARCACIÓN "JAVIER1" CON MATRÍCULA TA02152CM, REGISTRADA EN SULLANA, CON N° DE PARTIDA 11041511. EMBARCACIÓN "KEVIN" DE MATRÍCULA PL66373CM, SIN REGISTRAR. EMBARCACIÓN "JOSEPH" DE MATRÍCULA PT03402CM, SIN REGISTRAR.</t>
  </si>
  <si>
    <t>EL SUSCRITO DECLARA QUE EN EL AÑO 2024 HA TENIDO COMO INGRESO 529,494.00 SOLES, EN RENTA DE TERCERA CATEGORIA, POR LA VENTA DE CALAMAR GIGANTE.</t>
  </si>
  <si>
    <t>TÍTULO PROPIO DE MASTER EN GERENCIA PÚBLICA OTORGADO POR EUCIM BUSINESS SCHOOL, EN CONVENIO CON LA UNIVERSIDAD SAN MARTÍN DE PORRES, CURSADO EN LOS AÑOS 2014-2015.</t>
  </si>
  <si>
    <t>DECLARO QUE TAMBIÉN TENGO DOMICILIO EN LA CIUDAD DE LIMA, DONDE SOY PROPIETARIA DEL 25% DEL INMUEBLE UBICADO EN LA CALLE MURILLO 116-DISTRITO DE SAN BORJA LIMA</t>
  </si>
  <si>
    <t>Cabe informar un tercer cargo partidario.
Actualmente es Secretaría Nacional de Organización del partido político Fuerza Popular</t>
  </si>
  <si>
    <t>SCOLLY TRAVEL TOURS &amp; SERVICIOS GENERALES E.I.R.L, CON UN CAPITAL DE S/. 500,000.00 APORTES NO DINERARIOS</t>
  </si>
  <si>
    <t>TITULAR DE LA EMPRESA S3 CONSTRUCTORES Y CONSULTORES E.I.R.L, QUE TIENE COMO PATRIMONIO, INMUEBLE EN JR. TACNA NRO 150, VALORIZADO EN S/. 500,000.00, APORTES NO DINERARIOS</t>
  </si>
  <si>
    <t>El candidato es Poseedor - Tenedor de terrenos agrícolas ubicados en Cañete - Nuevo Imperial:
1 - Fundo Túnel Grande, área: 0.767600 has. valor autovaluo: 17,817.53 soles
2 - Fundo Túnel Grande, área: 1 has. valor autovaluo 23,212.00 soles
3 - Fundo Túnel Grande área: 0.044526 has. valor autovaluo: 1,033.54 soles
4 - Fundo Túnel Grande - El Gran Leandro II, área: 4.900300 has. valor autovaluo: 113,745.76 soles
5 - Fundo Túnel Grande El Gran Leandro, área: 0.797000, valor autova 18,499.96 soles.</t>
  </si>
  <si>
    <t>EL SUSCRITO ES POPIETRIO DE LA PALMA AGRICOLA E.I.R.L. LA MISMA QUE TIENE UN CAPITAL DE 1,098.340.00 SOLES. ASIMISMO ES  PROPIETARIO DE CONTINENTAL TRANSSERVIS E.I.R.L. QUE TIENE UN CAPITAL DE 13,000.00 SOLES.</t>
  </si>
  <si>
    <t>Mi esposa Carla Gonzalez Del Riego Collomp tiene 999 acciones en MYL Productos Sociedad Anónima Cerrada - MYL Productos S.A.C.</t>
  </si>
  <si>
    <t>La información declarada en ingresos es conforme a la Declaración Jurada Anual 2024 de SUNAT.</t>
  </si>
  <si>
    <t>PROPIEDAD DE CONYUGE - BIEN INMUEBLE - N° PARTIDA 00003787; VALOR S/. 150,000.00; VALOR AUTOVALUO S/. 74,242.49; URBANIZACIÓN RIO MAR A-3, DISTRITO DE BELÉN - LORETO; DONDE DOMICILIA EL CANDIDATO</t>
  </si>
  <si>
    <t>DIRECCIÓN CONSIGNADA EN DNI: CALLE ARICA N° 1246 DEL DISTRITO DE  BELEN, (INMUEBLE DE SU MADRE)</t>
  </si>
  <si>
    <t>PROPIEDAD DE CONYUGE - BIEN INMUEBLE; RURAL, N° PARTIDA 11016479; VALOR S/. 50,000.00; VALOR AUTOVALÚO S/. 41460.94; SECTOR QUEBRADA EL OJANAMA/MASSIEL C.P/PARC 8 - 5059195-002433-CONTAMANA-LORETO.</t>
  </si>
  <si>
    <t>PROPIEDAD DE LA CONYUGE - BIENES MUEBLES, MOTOCICLETA, PLACA 19088L - YAMAHA XA 125 CYGNUS-Z COLOR PLATA, VALOR S/. 7,000.00</t>
  </si>
  <si>
    <t>EN RELACIÓN AL VALOR DE LOS BIENES, SE CONSIGNA COMO VALOR EL PRECIO DE MERCADO</t>
  </si>
  <si>
    <t>PARTIDA N° 11010618 - CENO TOURS E.I.R.L (ÚNICO TITULAR CON UN CAPITAL DE S/. 4,000.00, SUSCRITO Y PAGADO EN BIENES NO DINERARIOS. 
PARTIDA N° 11070046 - DECORACIONES AIXA E.I.R.L (ÚNICO TITULAR CON UN CAPITAL DE S/.  1,000.00, SUSCRITO Y PAGADO EN BIENES DINERARIOS</t>
  </si>
  <si>
    <t>LA EMPRESA GRUPO PROMOTOR TALENTO E INNOVACIÓN S.A.C. SE ENCUENTRA DADA DE BAJA.
LA COMPRA DE MI VEHÍCULO DESCRITO SE EFECTUÓ EN LA NOTARIA ZAMBRANO EN LA CIUDAD DE LIMA, INFORMANDO LA OFICINA DE REGISTROS PÚBLICOS QUE EXISTE UNA OBSERVACIÓN PREVIA AL REGISTRO VEHICULAR.</t>
  </si>
  <si>
    <t>Violencia Familiar
Expediente 1357-2014-0-2101-JR-FC-01
1er Juzgado de Familia Puno
Fundado en parte</t>
  </si>
  <si>
    <t>Violencia Familiar
Exp Nro. 111-2015-0-2110-JM-FC-01
!er Juzgado Mixto Putina Puno. Homonimia</t>
  </si>
  <si>
    <t>Violencia Familiar
Exp Nro. 240-2013-0-2101-JR-FC-01
4to juzgado Paz Letrado Puno
Fundado
todos en primera instancia.</t>
  </si>
  <si>
    <t>Violencia Familiar
Exp Nro. 1899-2012-0-2101-JR-FC-01
1er Juzgado de Familia Puno 
Fundado</t>
  </si>
  <si>
    <t>Violencia familiar
Exp Nro. 1960-2014-0-2101-JR-FC-01
1er Juzgado de familia Puno
Fundado</t>
  </si>
  <si>
    <t>Familia/alimentaria
Exp Nro. 2946-2017-0-2111-JR-FT-02
2do juzgado de Familia Juliaca
infundado
Homonimia</t>
  </si>
  <si>
    <t>Violencia Familiar
Exp Nro. 196-2013-0-2101-JR-FC-01
1er Juzgado de Familia Puno
Fundado</t>
  </si>
  <si>
    <t>Expediente Nro. 36-2013-0-2101-JP-PE-04.
Juzgado de Paz Letrado de Puno</t>
  </si>
  <si>
    <t>REGIDOR EN MOVIMIENTO REGIONAL MADRE DE DIOS 2017 - 2018</t>
  </si>
  <si>
    <t>Empresa de Transportes y Servicios Múltiples los Angelitos del Parque Industrial APIPA S.A. , 1250 Accione / EMTRASAPE / Asociación Técnicos Legal Unidad Magisterial de la Región Arequipa</t>
  </si>
  <si>
    <t>la remuneración declarada es por 2 mese de trabajo</t>
  </si>
  <si>
    <t>recbi un terreno como herencia que esta consentida por el juez de paz letrado del distrito de anguia provincia de chota- region cajamarca</t>
  </si>
  <si>
    <t>CUENTO CON TERRENO,  BIEN  EN POSECIÓN  LOTE 8M -R3 VENTILLA PUNO CON UN VALOR DE 8000 SOLES</t>
  </si>
  <si>
    <t>CUENTO CON TERRENO,  BIEN  EN POSECIÓN  LOTE 6M -Q1 VENTILLA PUNO CON UN VALOR DE 8000 SOLES</t>
  </si>
  <si>
    <t>TITULARIDADES : 
INTI HUAYRA UNUPACHA ASOCIACION SIN FINES DE LUCRO, CON SUSPENSION TEMPORAL.</t>
  </si>
  <si>
    <t>CUENTO CON TERRENO,  BIEN  EN POSECIÓN  LOTE 20M -Q1 VENTILLA PUNO  CON UN VALOR DE 8000 SOLES</t>
  </si>
  <si>
    <t>CUENTO CON TERRENO,  BIEN  EN POSECIÓN  LOTE 7M -R3 VENTILLA PUNO CON UN VALOR DE 8000 SOLES</t>
  </si>
  <si>
    <t>CUENTO CON TERRENO,  BIEN  EN POSECIÓN  LOTE 23 M -Q1 VENTILLA PUNO CON UN VALOR DE 8000 SOLES</t>
  </si>
  <si>
    <t>Lote en la Asociación de Pescadores Artesanales - Cerro Cortado - Tacna, proceso de habilitación.</t>
  </si>
  <si>
    <t>GERENTE DE LA SOCIEDAD LEGAL DENOMINADA "SOCIEDAD MINERA DE RESPONSABILIDAD LIMITADA AGRECASH" QUE AÚN NO INICIA SUS ACTIVIDADES.</t>
  </si>
  <si>
    <t>DESDE NOVIEMBRE DEL AÑO 2016 HASTA AGOSTO DEL 2017 LABORE EN LA MUNICIPALIDAD DISTRITAL DE VILLA EL SALVADOR EN EL CARGO DE ASISTENTE TECNICO EN LA GERENCIA DE PLANEAMIENTO Y PRESUPUESTO COMO LOCADOR DE SERVICIOS.</t>
  </si>
  <si>
    <t>SOCIO FUNDADOR DE LA EMPRESA CORPORACION ILLAWARA S.A.C.  DESDE EL AÑO 2016 Y ACTUALMENTE DADO DE BAJA.</t>
  </si>
  <si>
    <t>PROPIEDAD EN PROCESO DE TITULARIDAD MA-MALECON GRAN ALM. DEL PERU MIGUEL GRAU SEMINARIO NUMERO 1261 DEPOSITO 12 URB CHORRILLOS.
ESTOS VIENES AH SIDO DADO CON ANTICIPO DE LEGITIMA CON REFENCIAS  NUMERO DE PARTIDA 12303337 SUNARP</t>
  </si>
  <si>
    <t>IMPUESTO PREDIAL HR 258134.10  FECHA 2025 CODIGO DEL PREDIO 7233
PREDIO URBANO 14.263.96 13 DE ENERO 2025 CODIGO DEL PREDIO 7232
PREDIO URBANO 4.402.49  CODIGO 7269
HOJA DE LIQUIDACION DE ARBITRIOS 345.65 CODIGO 7269
PREDIO URBANO 222.203.59 CODIGO 7210
HOJA DE LIQUIDACION DEL PREDIAL 1239.10 CODIGO 0000943665
LIQUIDACION PREDIAL 579.84 CODIGO 7210.
DEPARTAMENTO VALORIZADO 300 MIL AUTOVALUO, 222 MIL CON DIRECCION MALECON GRAN. ALM. DEL PERU MIGUEL GRAU SEMINARIO NUMERO 1261 DEPARTAMENTO 802 URB.</t>
  </si>
  <si>
    <t>RECONOCIDO Y NOMBRADO  DE CONSEJO DIRECTIVO  AH INCRIPCION DE ASOCIACIONES FRENTE NACIONAL DE DEFENSA DE LA INDUSTRIA AZUCARERA DEL PERU FRENDIAP.</t>
  </si>
  <si>
    <t>TITULO PROFESIONAL EN INGENIERIA INFORMATICA Y EN SISTEMAS.</t>
  </si>
  <si>
    <t>DIRECTOR DEL CENTRO DE CONCILIACION EXTRA JUDICIAL
CONCILIADOR EXTRA JUDICIAL ACREDITADO POR EL MINJUSDH</t>
  </si>
  <si>
    <t>Se encuentra en tramite un traslado de propiedad por herencia familiar</t>
  </si>
  <si>
    <t>Actualmente se cuenta con más predios registrados en SUNARP, se ha ido a constatar y pedir un registro donde figuran adicionalmente las partidas P02000996, P02004688, P02066820 y P11044867</t>
  </si>
  <si>
    <t>EN PROCESO DE INSCRIPCIÓN LA ASOCIACIÓN LAURELES-CENTRO DE PENSAMIENTO.</t>
  </si>
  <si>
    <t>MI PENSION MENSUAL POR JUBILACION EN LA PNP ES 10 630 SOLES MENSUALES</t>
  </si>
  <si>
    <t>AHORROS EN BCP POR EL MONTO DE S/.32,000.00; AFP HABITAT (APORTES CON FINES PROVISIONALES) POR S/.34,904.13; DINERO EN EFECTIVO EN CAJA FUERTE POR EL MONTO DE S/.10,000.00; 36 PINTURAS BIMINCHUMO-PROCESIÓN DE SAN JOSÉ Y OTRAS PINTURAS POR EL MONTO DE S/. 33,000.00.</t>
  </si>
  <si>
    <t>EXPEDIENTE N° 00545-2012-0-2001-JP-LA-05 (AFP INTEGRA) - MATERIA OBLIGACION DE DAR SUMA DE DINERO - SEGUIDA POR AFP INTEGRA - FALLO FUNDADA</t>
  </si>
  <si>
    <t>EXPEDIENTE N° 00357-2012-0-2001-JP-LA-05 (AFP INTEGRA) - MATERIA OBLIGACION DE DAR SUMA DE DINERO - SEGUIDA POR AFP INTEGRA -FALLO FUNDADA</t>
  </si>
  <si>
    <t>EXPEDIENTE N° 01103-2015-0-2021-JP-LA-05 (AFP INTEGRA) - MATERIA: OBLIGACION DE DAR SUMA DE DINERO - SEGUIDA POR AFP INTEGRA - FALLO FUNDADA</t>
  </si>
  <si>
    <t>LOTE DE TERRENO UBICADO EN EL CENTRO POBLADO SAN LUCAS COLAN PIURA -PIURA - PAITA EMITIDO POR LA MUNICIPALIDAD DISTRITAL DE COLAN CON CERTIFICADO DE POSESION N° 302-2016-MDC</t>
  </si>
  <si>
    <t>EXPEDIENTE N° 1418-2012-0-2021-JP-LA-05 (AFP INTEGRA) - MATERIA: OBLIGACION DE DAR SUMA DE DINERO - SEGUIDA POR AFP INTEGRA - FALLO FUNDADA</t>
  </si>
  <si>
    <t>EXPEDIENTE N° 02011-43 - MATERIA: OBLIGACION DE DAR SUMA DE DINERO - SEGUIDA POR AFP INTEGRA - FALLO FUNDADA</t>
  </si>
  <si>
    <t>EXPEDIENTE N° 00665-2012-0-2001-JP-LA-05 (AFP INTEGRA) - MATERIA: OBLIGACION DE DAR SUMA DE DINERO - SEGUIDA POR AFP INTEGRA - FALLO FUNDADA</t>
  </si>
  <si>
    <t>TENIA UN AUTO CHEVROLET CRUZE PLACA F2V090, EL CUAL FUE VENDIDO EN AGOSTO DEL 2025 A GRUPO PANA S.A. TOYOTA.</t>
  </si>
  <si>
    <t>ACTUALMENTE CONGRESISTA DE LA REPÚBLICA POR EL PERIODO DE 2021 AL 2026</t>
  </si>
  <si>
    <t>JOYAS (SORTIJAS DE ORO Y BRILLANTES )VALORIZADO EN S/. 15120.00
JOYAS (ARETES, COLLARES, PULSERAS ) VALORIZADO EN S/. 30240.00 - ORO MAX. 10 AÑOS. EL MONTO DECLARADO ES REFERENCIAL, DADO QUE NO SE CUENTA CON UNA TASACIÓN OFICIAL DE LAS JOYAS.</t>
  </si>
  <si>
    <t>FUÍ REGIDORA DE LIMA METROPOLITANA POR EL PARTIDO PERÚ PATRIA SEGURA POR EL PERIODO DE 2019 A JUNIO DE 2021</t>
  </si>
  <si>
    <t>ASIGNACIÓN CONGRESAL ANUAL: 142,441.60
APOYO LOGISTICO POR SEMANA DE REPRESENTACIÓN BRUTO: 48,000.00
GRATIFICACIÓN JULIO - DICIEMBRE: 31,200.00
CTS :  AGOSTO :15,600.00
BONIF. EXTRAORD. LEY 30334: JULIO - DICIEMBRE : 2808.00
SEGUN LA CONSTANCIA DEL DEPARTAMENTO DE FINANZAS DEL CONGRESO DE LA REPUBLICA. 07 DE ENERO DE 2025.</t>
  </si>
  <si>
    <t>ANEXO</t>
  </si>
  <si>
    <t>URL_ANEXO</t>
  </si>
  <si>
    <t>DDJJ de consentimiento de participación, de la veracidad del contenido del formato único de DJHV y de no tener deuda de reparación civil</t>
  </si>
  <si>
    <t>https://mpesije.jne.gob.pe/apidocs/32a667d5-c2a9-48f6-8365-35a2df421ef6.pdf</t>
  </si>
  <si>
    <t>DDJJ de solicitud de licencia</t>
  </si>
  <si>
    <t>https://mpesije.jne.gob.pe/apidocs/522c90a6-d570-45d5-b48d-054ed4506958.pdf</t>
  </si>
  <si>
    <t>https://mpesije.jne.gob.pe/apidocs/9c77bb53-4bc3-46b7-acf9-b45b5f8d30b2.pdf</t>
  </si>
  <si>
    <t>https://mpesije.jne.gob.pe/apidocs/b8227853-7b9d-4fcd-9a2b-c3565d280db1.pdf</t>
  </si>
  <si>
    <t>https://mpesije.jne.gob.pe/apidocs/2c9ef438-2ea0-47c0-918d-cf086675fdc2.pdf</t>
  </si>
  <si>
    <t>https://mpesije.jne.gob.pe/apidocs/e6219fa6-e2f0-4f07-ab9b-36f3835b81d7.pdf</t>
  </si>
  <si>
    <t>https://mpesije.jne.gob.pe/apidocs/0b29fcd0-d6bf-4692-b643-3a7fd7d69768.pdf</t>
  </si>
  <si>
    <t>https://mpesije.jne.gob.pe/apidocs/ff094244-e12b-4f9d-aaf7-1e69ac410917.pdf</t>
  </si>
  <si>
    <t>https://mpesije.jne.gob.pe/apidocs/f5a42e03-5791-4e18-bf67-6a7042246415.pdf</t>
  </si>
  <si>
    <t>https://mpesije.jne.gob.pe/apidocs/822bcc43-8978-4967-9675-7c3bfb1f9f1c.pdf</t>
  </si>
  <si>
    <t>https://mpesije.jne.gob.pe/apidocs/bf9a5bc8-432a-4dab-b3f3-01ffbfdb2d28.pdf</t>
  </si>
  <si>
    <t>https://mpesije.jne.gob.pe/apidocs/382a496a-3869-4ebe-ae71-abb0dc0d7a12.pdf</t>
  </si>
  <si>
    <t>https://mpesije.jne.gob.pe/apidocs/321683e5-5bab-4946-9b18-d69dd9b4c37b.pdf</t>
  </si>
  <si>
    <t>https://mpesije.jne.gob.pe/apidocs/f546642f-fe64-4d65-bfe2-99470a6ee42f.pdf</t>
  </si>
  <si>
    <t>https://mpesije.jne.gob.pe/apidocs/36ec99f4-4359-43c4-b10b-9e14d54c1247.pdf</t>
  </si>
  <si>
    <t>https://mpesije.jne.gob.pe/apidocs/32619620-8ea4-4469-9cda-c3c8667d35d7.pdf</t>
  </si>
  <si>
    <t>https://mpesije.jne.gob.pe/apidocs/901174f5-d67c-46ad-ac02-63703fff877a.pdf</t>
  </si>
  <si>
    <t>https://mpesije.jne.gob.pe/apidocs/9e691d4d-6e96-45c2-abe7-b19a2a322bd6.pdf</t>
  </si>
  <si>
    <t>https://mpesije.jne.gob.pe/apidocs/887e9613-2d4d-41ab-9b3c-9a97161bd37c.pdf</t>
  </si>
  <si>
    <t>https://mpesije.jne.gob.pe/apidocs/5d23f351-34ca-4d88-900b-b7d85d767de8.pdf</t>
  </si>
  <si>
    <t>https://mpesije.jne.gob.pe/apidocs/9a0f9e9d-0c64-4789-862f-0ad5d44e6e47.pdf</t>
  </si>
  <si>
    <t>https://mpesije.jne.gob.pe/apidocs/70f87900-5437-4bc8-b325-627ce2e1865a.pdf</t>
  </si>
  <si>
    <t>https://mpesije.jne.gob.pe/apidocs/0f9111cb-2779-41c2-a83b-993bcd804cb7.pdf</t>
  </si>
  <si>
    <t>https://mpesije.jne.gob.pe/apidocs/bc35e070-0e91-45aa-8cd5-fad05ff1b33d.pdf</t>
  </si>
  <si>
    <t>Otros</t>
  </si>
  <si>
    <t>https://mpesije.jne.gob.pe/apidocs/d50ae9fd-1330-44fe-b02e-fdbed03a76f7.pdf</t>
  </si>
  <si>
    <t>https://mpesije.jne.gob.pe/apidocs/67cc8e63-5d2e-4d1f-9d47-56633b589f4a.pdf</t>
  </si>
  <si>
    <t>https://mpesije.jne.gob.pe/apidocs/a2980336-1161-455c-b435-922babd76265.pdf</t>
  </si>
  <si>
    <t>https://mpesije.jne.gob.pe/apidocs/f3ac46fb-46da-43a0-b0e1-42eeef10335c.pdf</t>
  </si>
  <si>
    <t>https://mpesije.jne.gob.pe/apidocs/b6cfc028-3436-43e6-b39f-0e8847aabdf4.pdf</t>
  </si>
  <si>
    <t>https://mpesije.jne.gob.pe/apidocs/ad8fcca9-f74c-471c-a447-4097741fe71c.pdf</t>
  </si>
  <si>
    <t>https://mpesije.jne.gob.pe/apidocs/40328863-eeb7-4507-a6b1-439e3e601e28.pdf</t>
  </si>
  <si>
    <t>https://mpesije.jne.gob.pe/apidocs/34803ab4-54e4-4424-8562-cf15c5ecce76.pdf</t>
  </si>
  <si>
    <t>https://mpesije.jne.gob.pe/apidocs/e82aa8d6-a55e-4182-b3a8-4203bde254e0.pdf</t>
  </si>
  <si>
    <t>https://mpesije.jne.gob.pe/apidocs/12cb7ac5-ed93-4e90-a499-c8f4b416451f.pdf</t>
  </si>
  <si>
    <t>https://mpesije.jne.gob.pe/apidocs/4c390981-591b-4a20-a2c5-16cf28ea0daa.pdf</t>
  </si>
  <si>
    <t>https://mpesije.jne.gob.pe/apidocs/c83a2f72-7e52-4c4d-9835-77c0b5b4dd47.pdf</t>
  </si>
  <si>
    <t>https://mpesije.jne.gob.pe/apidocs/18b27d92-add1-4e52-91e6-13ed6c67605c.pdf</t>
  </si>
  <si>
    <t>https://mpesije.jne.gob.pe/apidocs/4ecf9ed9-2d84-420f-ae6e-2a7719e603f1.pdf</t>
  </si>
  <si>
    <t>https://mpesije.jne.gob.pe/apidocs/bd79fbce-941d-4ea5-9f59-a436fc6d4dbe.pdf</t>
  </si>
  <si>
    <t>https://mpesije.jne.gob.pe/apidocs/fb6dec9b-5802-4f5d-8471-1963c07af5b8.pdf</t>
  </si>
  <si>
    <t>https://mpesije.jne.gob.pe/apidocs/6981eab3-cff4-432a-af89-ae947ea58dcd.pdf</t>
  </si>
  <si>
    <t>https://mpesije.jne.gob.pe/apidocs/b6be7c1e-d7a3-4e2f-9696-43e55fe98f3e.pdf</t>
  </si>
  <si>
    <t>https://mpesije.jne.gob.pe/apidocs/c9d8aed3-0dc4-4257-b882-bbf75f64d7da.pdf</t>
  </si>
  <si>
    <t>https://mpesije.jne.gob.pe/apidocs/591f1212-7a11-444c-9a93-2aa1683acc3d.pdf</t>
  </si>
  <si>
    <t>https://mpesije.jne.gob.pe/apidocs/fc084ee2-6e53-4994-a00e-047b4f645033.pdf</t>
  </si>
  <si>
    <t>https://mpesije.jne.gob.pe/apidocs/688e47ac-fdcc-4679-be6f-29f79996b07b.pdf</t>
  </si>
  <si>
    <t>https://mpesije.jne.gob.pe/apidocs/c792f032-bfb7-43c8-bc5a-6ec8bb572c20.pdf</t>
  </si>
  <si>
    <t>https://mpesije.jne.gob.pe/apidocs/f79de146-19d4-43ad-aaf8-400983e2b365.pdf</t>
  </si>
  <si>
    <t>https://mpesije.jne.gob.pe/apidocs/d831d92c-05ea-4ed4-906c-196fecaa4431.pdf</t>
  </si>
  <si>
    <t>https://mpesije.jne.gob.pe/apidocs/b082332e-fa24-4e0e-9fea-41f0ccf905b5.pdf</t>
  </si>
  <si>
    <t>https://mpesije.jne.gob.pe/apidocs/28191409-507f-46d3-a081-b06392de12fe.pdf</t>
  </si>
  <si>
    <t>https://mpesije.jne.gob.pe/apidocs/63be021f-f070-4fdf-b9c2-640a8a9460d0.pdf</t>
  </si>
  <si>
    <t>https://mpesije.jne.gob.pe/apidocs/99c624a1-1f96-48f3-8080-6f1df6459898.pdf</t>
  </si>
  <si>
    <t>https://mpesije.jne.gob.pe/apidocs/0a73a3e4-9956-419d-ad75-984c4934bfbe.pdf</t>
  </si>
  <si>
    <t>https://mpesije.jne.gob.pe/apidocs/080c2931-d2a1-4d2e-b4bb-e1d3f052cee1.pdf</t>
  </si>
  <si>
    <t>https://mpesije.jne.gob.pe/apidocs/acf97cfc-3023-4458-be7a-ba02b64e9ffb.pdf</t>
  </si>
  <si>
    <t>https://mpesije.jne.gob.pe/apidocs/62966025-a630-4046-a94d-4684c7c2ddd9.pdf</t>
  </si>
  <si>
    <t>https://mpesije.jne.gob.pe/apidocs/f35428e2-dd2c-463a-8856-bc95ed9901ee.pdf</t>
  </si>
  <si>
    <t>https://mpesije.jne.gob.pe/apidocs/f9fa33f5-03a4-424b-bde4-8124489c0a60.pdf</t>
  </si>
  <si>
    <t>https://mpesije.jne.gob.pe/apidocs/d0d985cf-4fee-4c3b-9a3b-a5c741e65a15.pdf</t>
  </si>
  <si>
    <t>https://mpesije.jne.gob.pe/apidocs/4b455f84-0a6b-4c95-8e46-20bc4ec1e719.pdf</t>
  </si>
  <si>
    <t>https://mpesije.jne.gob.pe/apidocs/3f369eb7-166d-4884-95bc-033649e87e9c.pdf</t>
  </si>
  <si>
    <t>https://mpesije.jne.gob.pe/apidocs/02b295d1-500c-4201-b6a6-12eba2491852.pdf</t>
  </si>
  <si>
    <t>https://mpesije.jne.gob.pe/apidocs/86dbc1d5-12f8-4fb7-8599-b6a90501f39e.pdf</t>
  </si>
  <si>
    <t>Documento que autoriza al candidato designado a postular por otra Organización Política</t>
  </si>
  <si>
    <t>https://mpesije.jne.gob.pe/apidocs/412eb378-d78b-4917-b2af-173cadc3564f.pdf</t>
  </si>
  <si>
    <t>https://mpesije.jne.gob.pe/apidocs/b55d1b42-23a3-494c-bb5b-66bb6664e763.pdf</t>
  </si>
  <si>
    <t>https://mpesije.jne.gob.pe/apidocs/7d493c7b-644a-4f87-9b49-9a16e5e66e4e.pdf</t>
  </si>
  <si>
    <t>https://mpesije.jne.gob.pe/apidocs/b8c39762-8a3f-44af-a9bc-2e7bcdda20ba.pdf</t>
  </si>
  <si>
    <t>https://mpesije.jne.gob.pe/apidocs/0034d4d9-7901-4b73-a8ad-62a3edac7a31.pdf</t>
  </si>
  <si>
    <t>https://mpesije.jne.gob.pe/apidocs/5c1634f3-ce7f-4614-b78a-45545c29ab21.pdf</t>
  </si>
  <si>
    <t>https://mpesije.jne.gob.pe/apidocs/4d1c9851-f914-4bf5-919e-7381ac10d563.pdf</t>
  </si>
  <si>
    <t>https://mpesije.jne.gob.pe/apidocs/d4e8521c-cee7-4f9c-a954-97449b8c52f6.pdf</t>
  </si>
  <si>
    <t>https://mpesije.jne.gob.pe/apidocs/661d0e82-3a12-47c2-ae0d-6e6a931285a3.pdf</t>
  </si>
  <si>
    <t>https://mpesije.jne.gob.pe/apidocs/435e3e0e-1a84-4697-b730-362a27312eae.pdf</t>
  </si>
  <si>
    <t>https://mpesije.jne.gob.pe/apidocs/573c23d9-2946-46ef-ae99-402b519aab55.pdf</t>
  </si>
  <si>
    <t>https://mpesije.jne.gob.pe/apidocs/d214f95a-812c-4a5b-b7f2-83a2339e0ea5.pdf</t>
  </si>
  <si>
    <t>https://mpesije.jne.gob.pe/apidocs/24ff5bec-acf5-4ddd-b3cb-25f6d39cc628.pdf</t>
  </si>
  <si>
    <t>https://mpesije.jne.gob.pe/apidocs/0771ea57-1cd9-4ddb-b619-feed743ba58f.pdf</t>
  </si>
  <si>
    <t>https://mpesije.jne.gob.pe/apidocs/859d4a55-7af8-4f47-8ab4-4d23599dfb8a.pdf</t>
  </si>
  <si>
    <t>https://mpesije.jne.gob.pe/apidocs/bcb28645-a7bc-4ebb-a413-c9a1fc9d45c7.pdf</t>
  </si>
  <si>
    <t>https://mpesije.jne.gob.pe/apidocs/19186607-f97f-4d47-99c0-4a3eabc47175.pdf</t>
  </si>
  <si>
    <t>https://mpesije.jne.gob.pe/apidocs/ad8c0d20-cf4a-4778-9b42-3d64505aba72.pdf</t>
  </si>
  <si>
    <t>https://mpesije.jne.gob.pe/apidocs/7ec39cbb-5fae-49f1-bb0a-25d851ad330f.pdf</t>
  </si>
  <si>
    <t>https://mpesije.jne.gob.pe/apidocs/c47db666-e410-4606-8f5a-a97954dea744.pdf</t>
  </si>
  <si>
    <t>https://mpesije.jne.gob.pe/apidocs/42ab9e47-6fef-4fc6-ab40-63ce271cd9b7.pdf</t>
  </si>
  <si>
    <t>https://mpesije.jne.gob.pe/apidocs/4348e9b0-7301-4dc5-807f-dc3970716188.pdf</t>
  </si>
  <si>
    <t>https://mpesije.jne.gob.pe/apidocs/0cf2a7a7-7b37-4968-ab04-0f3950229052.pdf</t>
  </si>
  <si>
    <t>https://mpesije.jne.gob.pe/apidocs/80cbf0aa-8ed4-42a2-b607-bf218006a57a.pdf</t>
  </si>
  <si>
    <t>https://mpesije.jne.gob.pe/apidocs/fba8b076-f055-4ca7-b4b6-10a9f81d313d.pdf</t>
  </si>
  <si>
    <t>https://mpesije.jne.gob.pe/apidocs/3dd16323-c946-45d8-9453-f0e48f38e4de.pdf</t>
  </si>
  <si>
    <t>https://mpesije.jne.gob.pe/apidocs/4066666e-abba-4682-ade9-adb8edd3bd2f.pdf</t>
  </si>
  <si>
    <t>https://mpesije.jne.gob.pe/apidocs/50d8ebef-a604-49dc-82a2-990c64aaf162.pdf</t>
  </si>
  <si>
    <t>https://mpesije.jne.gob.pe/apidocs/6f50b064-c7b6-47ea-8272-6fa19a550bde.pdf</t>
  </si>
  <si>
    <t>https://mpesije.jne.gob.pe/apidocs/13a0430a-cd50-49af-9521-ea5fa54990ae.pdf</t>
  </si>
  <si>
    <t>https://mpesije.jne.gob.pe/apidocs/f81f19e5-7259-42a5-b87e-895a96417715.pdf</t>
  </si>
  <si>
    <t>https://mpesije.jne.gob.pe/apidocs/a014927c-03e0-4e5f-95c0-9dda702f1a96.pdf</t>
  </si>
  <si>
    <t>https://mpesije.jne.gob.pe/apidocs/24b17241-9313-4a54-b224-930e7960ad3a.pdf</t>
  </si>
  <si>
    <t>https://mpesije.jne.gob.pe/apidocs/e49e40f2-73c5-4ded-bd83-56b4ee5fbe20.pdf</t>
  </si>
  <si>
    <t>https://mpesije.jne.gob.pe/apidocs/5a0866ec-6148-4ce9-b251-0cb66ddde130.pdf</t>
  </si>
  <si>
    <t>https://mpesije.jne.gob.pe/apidocs/66dd2d5b-274c-40a3-afa6-16fa1c575c5d.pdf</t>
  </si>
  <si>
    <t>https://mpesije.jne.gob.pe/apidocs/35f95093-7f3b-43cd-9f7e-be7a0b9eda9f.pdf</t>
  </si>
  <si>
    <t>https://mpesije.jne.gob.pe/apidocs/4534ecb2-e3a0-449a-bc8b-718425f267e4.pdf</t>
  </si>
  <si>
    <t>https://mpesije.jne.gob.pe/apidocs/254ad8d3-48cf-418b-932b-853aafd99553.pdf</t>
  </si>
  <si>
    <t>https://mpesije.jne.gob.pe/apidocs/dd12a889-0101-4eae-9ba4-d5319b4ddec2.pdf</t>
  </si>
  <si>
    <t>https://mpesije.jne.gob.pe/apidocs/8106caf8-0bff-4fd1-a3b4-da255ae6c8e4.pdf</t>
  </si>
  <si>
    <t>https://mpesije.jne.gob.pe/apidocs/34c11879-c7bc-4466-9479-5511dd93a9a0.pdf</t>
  </si>
  <si>
    <t>https://mpesije.jne.gob.pe/apidocs/a949c2b4-d822-4e60-aef2-43912f655339.pdf</t>
  </si>
  <si>
    <t>https://mpesije.jne.gob.pe/apidocs/3a40a768-04e3-4b62-9916-647526a40a5e.pdf</t>
  </si>
  <si>
    <t>https://mpesije.jne.gob.pe/apidocs/d7827792-3e85-4a36-9b94-c1bb7dddecf3.pdf</t>
  </si>
  <si>
    <t>https://mpesije.jne.gob.pe/apidocs/f2dba93d-77e1-4a01-b222-21242bbb1158.pdf</t>
  </si>
  <si>
    <t>https://mpesije.jne.gob.pe/apidocs/4a45c510-0979-4716-93e9-8f90803d3763.pdf</t>
  </si>
  <si>
    <t>https://mpesije.jne.gob.pe/apidocs/447b253a-9fb8-4c78-b635-c792514355e8.pdf</t>
  </si>
  <si>
    <t>https://mpesije.jne.gob.pe/apidocs/0e03c2aa-0993-40fc-a334-c02a67b58dc3.pdf</t>
  </si>
  <si>
    <t>https://mpesije.jne.gob.pe/apidocs/88e16384-e10f-41da-8ed0-68c88a394cbb.pdf</t>
  </si>
  <si>
    <t>https://mpesije.jne.gob.pe/apidocs/7b804799-4e16-4a4a-bcf1-b1d47ce877f6.pdf</t>
  </si>
  <si>
    <t>https://mpesije.jne.gob.pe/apidocs/bf5b2c0d-187d-4e63-8a6c-d1af05919c0a.pdf</t>
  </si>
  <si>
    <t>DDJJ de renuncia al cargo</t>
  </si>
  <si>
    <t>https://mpesije.jne.gob.pe/apidocs/39754213-fcf7-4b2b-8d96-047dfd93007c.pdf</t>
  </si>
  <si>
    <t>https://mpesije.jne.gob.pe/apidocs/f54d309a-aa82-440c-8b88-6032f1474467.pdf</t>
  </si>
  <si>
    <t>https://mpesije.jne.gob.pe/apidocs/f2b33cf2-b545-473c-8faf-a8ab0263f83f.pdf</t>
  </si>
  <si>
    <t>https://mpesije.jne.gob.pe/apidocs/12550e82-46ef-4fe4-82a3-b66eaaf0f565.pdf</t>
  </si>
  <si>
    <t>https://mpesije.jne.gob.pe/apidocs/1024d710-2ad9-41db-bed8-693098e796d3.pdf</t>
  </si>
  <si>
    <t>https://mpesije.jne.gob.pe/apidocs/7e610bd1-716d-4531-bd0c-6f4b87883eec.pdf</t>
  </si>
  <si>
    <t>https://mpesije.jne.gob.pe/apidocs/24a8a2a1-66f7-44fa-bc69-14122b3a86c0.pdf</t>
  </si>
  <si>
    <t>https://mpesije.jne.gob.pe/apidocs/3a85e59a-f26b-423b-b744-630c2838c4b1.pdf</t>
  </si>
  <si>
    <t>https://mpesije.jne.gob.pe/apidocs/61929547-27da-4675-9b2f-f646a4d3abf3.pdf</t>
  </si>
  <si>
    <t>https://mpesije.jne.gob.pe/apidocs/5552c912-b3e4-495b-9de9-167d38062b4d.pdf</t>
  </si>
  <si>
    <t>https://mpesije.jne.gob.pe/apidocs/b4691775-c836-4198-a78b-e6eba591a415.pdf</t>
  </si>
  <si>
    <t>https://mpesije.jne.gob.pe/apidocs/30155a02-4d3b-4245-af71-fbb06cbbbf50.pdf</t>
  </si>
  <si>
    <t>https://mpesije.jne.gob.pe/apidocs/b05cec84-4b68-49b0-abdf-3a802ffa21f8.pdf</t>
  </si>
  <si>
    <t>https://mpesije.jne.gob.pe/apidocs/40bd3497-66db-431e-9436-ce5f7638b036.pdf</t>
  </si>
  <si>
    <t>https://mpesije.jne.gob.pe/apidocs/69fa27e2-00d2-4223-8418-8de26edbdba6.pdf</t>
  </si>
  <si>
    <t>https://mpesije.jne.gob.pe/apidocs/3c77f614-baea-41b3-8be9-34f5e2a31c42.pdf</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</si>
</sst>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rgb="FFFFFFFF"/>
      <name val="Calibri"/>
      <scheme val="minor"/>
    </font>
    <font>
      <b/>
      <color rgb="FF000000"/>
      <name val="Calibri"/>
      <scheme val="minor"/>
    </font>
    <font>
      <color theme="1"/>
      <name val="Calibri"/>
      <scheme val="minor"/>
    </font>
    <font>
      <b/>
      <color theme="1"/>
      <name val="Calibri"/>
      <scheme val="minor"/>
    </font>
  </fonts>
  <fills count="7">
    <fill>
      <patternFill patternType="none"/>
    </fill>
    <fill>
      <patternFill patternType="lightGray"/>
    </fill>
    <fill>
      <patternFill patternType="solid">
        <fgColor rgb="FF4472C4"/>
        <bgColor rgb="FF4472C4"/>
      </patternFill>
    </fill>
    <fill>
      <patternFill patternType="solid">
        <fgColor rgb="FFB6D7A8"/>
        <bgColor rgb="FFB6D7A8"/>
      </patternFill>
    </fill>
    <fill>
      <patternFill patternType="solid">
        <fgColor rgb="FFD9EAD3"/>
        <bgColor rgb="FFD9EAD3"/>
      </patternFill>
    </fill>
    <fill>
      <patternFill patternType="solid">
        <fgColor rgb="FF93C47D"/>
        <bgColor rgb="FF93C47D"/>
      </patternFill>
    </fill>
    <fill>
      <patternFill patternType="solid">
        <fgColor rgb="FFFFF2CC"/>
        <bgColor rgb="FFFFF2CC"/>
      </patternFill>
    </fill>
  </fills>
  <borders count="2">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Border="1" applyFill="1" applyFont="1"/>
    <xf borderId="1" fillId="3" fontId="2" numFmtId="0" xfId="0" applyAlignment="1" applyBorder="1" applyFill="1" applyFont="1">
      <alignment readingOrder="0"/>
    </xf>
    <xf borderId="0" fillId="3" fontId="2" numFmtId="0" xfId="0" applyAlignment="1" applyFont="1">
      <alignment readingOrder="0"/>
    </xf>
    <xf borderId="0" fillId="3" fontId="3" numFmtId="0" xfId="0" applyFont="1"/>
    <xf borderId="0" fillId="0" fontId="3" numFmtId="0" xfId="0" applyFont="1"/>
    <xf borderId="0" fillId="3" fontId="3" numFmtId="0" xfId="0" applyAlignment="1" applyFont="1">
      <alignment readingOrder="0"/>
    </xf>
    <xf borderId="0" fillId="0" fontId="3" numFmtId="0" xfId="0" applyAlignment="1" applyFont="1">
      <alignment readingOrder="0"/>
    </xf>
    <xf borderId="0" fillId="4" fontId="4" numFmtId="0" xfId="0" applyAlignment="1" applyFill="1" applyFont="1">
      <alignment readingOrder="0"/>
    </xf>
    <xf borderId="0" fillId="4" fontId="4" numFmtId="0" xfId="0" applyFont="1"/>
    <xf borderId="0" fillId="0" fontId="3" numFmtId="9" xfId="0" applyFont="1" applyNumberFormat="1"/>
    <xf borderId="0" fillId="0" fontId="3" numFmtId="1" xfId="0" applyFont="1" applyNumberFormat="1"/>
    <xf borderId="0" fillId="5" fontId="3" numFmtId="0" xfId="0" applyAlignment="1" applyFill="1" applyFont="1">
      <alignment readingOrder="0"/>
    </xf>
    <xf borderId="0" fillId="5" fontId="3" numFmtId="0" xfId="0" applyFont="1"/>
    <xf borderId="0" fillId="6" fontId="3" numFmtId="0" xfId="0" applyFill="1" applyFont="1"/>
    <xf borderId="0" fillId="4" fontId="3" numFmtId="0" xfId="0" applyFont="1"/>
    <xf borderId="0" fillId="0" fontId="3" numFmtId="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pivotCacheDefinition" Target="pivotCache/pivotCacheDefinition1.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pivotCacheDefinition" Target="pivotCache/pivotCacheDefinition2.xml"/><Relationship Id="rId7" Type="http://schemas.openxmlformats.org/officeDocument/2006/relationships/worksheet" Target="worksheets/sheet4.xml"/><Relationship Id="rId8" Type="http://schemas.openxmlformats.org/officeDocument/2006/relationships/worksheet" Target="worksheets/sheet5.xml"/><Relationship Id="rId3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01" sheet="01 DATOS PERSONALES"/>
  </cacheSource>
  <cacheFields>
    <cacheField name="ORGANIZACION_POLITICA" numFmtId="0">
      <sharedItems>
        <s v="AHORA NACION - AN"/>
        <s v="FUERZA POPULAR"/>
        <s v="JUNTOS POR EL PERU"/>
        <s v="PARTIDO CIVICO OBRAS"/>
        <s v="PARTIDO DEL BUEN GOBIERNO"/>
        <s v="RENOVACION POPULAR"/>
      </sharedItems>
    </cacheField>
    <cacheField name="DNI_CANDIDATO" numFmtId="0">
      <sharedItems>
        <s v="29569533"/>
        <s v="41618961"/>
        <s v="43592504"/>
        <s v="43572794"/>
        <s v="45218393"/>
        <s v="70665764"/>
        <s v="41840094"/>
        <s v="42839004"/>
        <s v="46307918"/>
        <s v="09391698"/>
        <s v="45382589"/>
        <s v="15984771"/>
        <s v="76030152"/>
        <s v="22509175"/>
        <s v="40224994"/>
        <s v="44807108"/>
        <s v="16650849"/>
        <s v="10587515"/>
        <s v="07750373"/>
        <s v="09536896"/>
        <s v="40826681"/>
        <s v="42433830"/>
        <s v="07268767"/>
        <s v="42516751"/>
        <s v="16448130"/>
        <s v="41919665"/>
        <s v="10187011"/>
        <s v="10028427"/>
        <s v="07737110"/>
        <s v="47000483"/>
        <s v="45721573"/>
        <s v="10792277"/>
        <s v="41408779"/>
        <s v="05414308"/>
        <s v="44275599"/>
        <s v="80328889"/>
        <s v="27424381"/>
        <s v="40433187"/>
        <s v="08571708"/>
        <s v="47654459"/>
        <s v="42551310"/>
        <s v="80387180"/>
        <s v="46432487"/>
        <s v="43845728"/>
        <s v="40855980"/>
        <s v="01223056"/>
        <s v="41711513"/>
        <s v="40093361"/>
        <s v="04810886"/>
        <s v="45442927"/>
        <s v="29313850"/>
        <s v="74638299"/>
        <s v="42135939"/>
        <s v="10536312"/>
        <s v="44908591"/>
        <s v="42984568"/>
        <s v="70163475"/>
        <s v="01320941"/>
        <s v="45327535"/>
        <s v="46602828"/>
        <s v="43170121"/>
        <s v="00482691"/>
        <s v="07654582"/>
        <s v="01545223"/>
        <s v="25001331"/>
        <s v="41242025"/>
        <s v="46089177"/>
        <s v="19995860"/>
        <s v="70074678"/>
        <s v="07793641"/>
        <s v="17930730"/>
        <s v="42188288"/>
        <s v="43478989"/>
        <s v="41356710"/>
        <s v="16629849"/>
        <s v="10277219"/>
        <s v="31038213"/>
        <s v="08573694"/>
        <s v="29715400"/>
        <s v="29311981"/>
        <s v="02819812"/>
        <s v="06296745"/>
        <s v="76871362"/>
        <s v="45741388"/>
        <s v="40067839"/>
        <s v="43348625"/>
        <s v="70747151"/>
        <s v="09937296"/>
        <s v="46847115"/>
        <s v="07974594"/>
        <s v="07744156"/>
        <s v="43401219"/>
        <s v="46548697"/>
        <s v="45363882"/>
        <s v="10275564"/>
        <s v="41010370"/>
        <s v="08878867"/>
        <s v="10806296"/>
        <s v="44689086"/>
        <s v="07026029"/>
      </sharedItems>
    </cacheField>
    <cacheField name="CANDIDATO" numFmtId="0">
      <sharedItems>
        <s v="ARMINTA VALENCIA, MARLENY BIBIANA"/>
        <s v="BUITRON MARTINEZ, FRESHMAN"/>
        <s v="COLCHADO HUAMANI, HARVEY JULIO"/>
        <s v="HOLGUIN LOAIZA, CESAR AUGUSTO"/>
        <s v="HUILCA FLORES, INDIRA ISABEL"/>
        <s v="MANRIQUE OLIVERA, BERNARDINO JAIR"/>
        <s v="MARCELO SALAZAR, JOSE MIGUEL"/>
        <s v="MUEDAS BALBIESE, CESAR AUGUSTO"/>
        <s v="SONCO VILLANUEVA, HELARD BLADIMIR"/>
        <s v="ABENSUR PINASCO, JAIME AMERICO"/>
        <s v="ALEGRIA GARCIA, LUIS ARTURO"/>
        <s v="ANDRADE SALGUERO DE ALVAREZ, GLADYS GRISELDA"/>
        <s v="BARBARAN REYES, ROSANGELLA ANDREA"/>
        <s v="BETETA RUBIN, KARINA JULIZA"/>
        <s v="BOBADILLA GALINDO, ANGEL BRUNO"/>
        <s v="CASTILLO RIVAS, EDUARDO ENRIQUE"/>
        <s v="CASTRO CRUZ, JAVIER ALEJANDRO"/>
        <s v="CASTRO GRANDEZ, ROYSER"/>
        <s v="CELIZ CASTILLO, RAFAEL ALDO"/>
        <s v="CHACON DE VETTORI, CECILIA ISABEL"/>
        <s v="COLUMBUS MURATA, DIETHELL"/>
        <s v="DODERO JOVICH, PIERANGELI DANIELA"/>
        <s v="FIGARI MENDOZA, PIER PAOLO"/>
        <s v="GAMARRA PITA, LUZMILA MARIA DEL CARMEN"/>
        <s v="INFANTES CASTAÑEDA, MERY ELIANA"/>
        <s v="LEIVA BAYLON, LETICIA MARUJA"/>
        <s v="MENDOZA BERNEDO, LIZ HULI"/>
        <s v="NAVAS SANCHEZ, JESSICA LIZBETH"/>
        <s v="OBANDO MORGAN, AURISTELA ANA"/>
        <s v="PACHECO QUISPE, MARCO ANTONIO"/>
        <s v="PALMA MENDOZA, JOSE MARVIN"/>
        <s v="PATIÑO URCO, ANA BERTHA"/>
        <s v="PAUCARA PAXI, CARMELA"/>
        <s v="PINASCO MONTENEGRO, NARY BENVINDA"/>
        <s v="REVILLA VILLANUEVA, CESAR MANUEL"/>
        <s v="SALAS RIVERA, ALEXANDER"/>
        <s v="TICLLA RAFAEL, SEGUNDO SENOVIO"/>
        <s v="TORRES MORALES, MIGUEL ANGEL"/>
        <s v="TRUJILLO ZEGARRA, GILMER"/>
        <s v="VALQUI ORDOÑEZ, JHONN BRAYAM"/>
        <s v="VIDAURRE FLORIDAS, CESAR MANUEL"/>
        <s v="ZEGARRA SANCHEZ, CARLOS ALBERTO"/>
        <s v="AGUIRRE RAMOS, MARLON ALBERTO"/>
        <s v="AMBROSIO DOMINGUEZ, YULI LILIANA"/>
        <s v="AVENDAÑO VILCA, GIANNINA IRIS"/>
        <s v="CONDORI FLORES, REMIGIO"/>
        <s v="FLORES VALDIZAN, MARCO ANTONIO"/>
        <s v="GONZALES DELGADO, GABRIEL ROBERTINO"/>
        <s v="HOLGUIN AGUIRRE, JAMES ARTURO"/>
        <s v="MARQUEZ HUANCA, ANALI"/>
        <s v="PALOMINO PACHECO, AMALIA EMILIA"/>
        <s v="PAREDES NAVARRO, YENIFER NOELIA"/>
        <s v="PEÑA CORDOVA, OLVER"/>
        <s v="PEREZ MALLQUI, JULIAN LUIS"/>
        <s v="PEREZ QUISPE, JESSICA SADITH"/>
        <s v="POMA HUAMANI, HAYDEE CELINDA"/>
        <s v="TAPULLIMA INSAPILLO, JACQUELINE VIVIANA"/>
        <s v="TITO ROJAS, CESAR HUGO"/>
        <s v="ZUNINI YERREN, ERNESTO ALONZO"/>
        <s v="ALBAÑIL CARMONA, HENRY ANTONIO"/>
        <s v="ALVARON DE LA CRUZ, EDGAR ADRIAN"/>
        <s v="CABRERA NIETO, JUAN CESAR"/>
        <s v="EUSEBIO PADILLA, ARTURO CESAR"/>
        <s v="HANCCO HANCCO, DINA IRENE"/>
        <s v="LOPEZ LETONA, HEBER"/>
        <s v="MASCO CACERES, LUIS AURELIO"/>
        <s v="MEDINA STEIN, ANDREA DAYNA"/>
        <s v="PERALTA JORPA, MAXIMO"/>
        <s v="PIÑAN MAMANI, VICTOR EDUARDO"/>
        <s v="SAMANEZ GONZALES VIGIL, JEENNY CRISTINA"/>
        <s v="VALQUI CALDERON, DEMETRIO FLAVIO"/>
        <s v="YATACO TORREALVA, JOSE RICARDO"/>
        <s v="ALAYZA MACCERA, ROSSANA HERMINIA"/>
        <s v="BENITEZ BARRIONUEVO, JESSICA"/>
        <s v="CASTREJON FERNANDEZ, SEGUNDO JUAN"/>
        <s v="DUARTE PATIÑO DE PEZET, CARMEN GEORGINA"/>
        <s v="FERNANDEZ DE LA TORRE, HILDA JUDIT"/>
        <s v="GARCIA HUBY, FERNANDO ALBERTO"/>
        <s v="GONZALES POLAR, EDGAR DEMBER"/>
        <s v="HIRACHE PIZARRO, GLORIA CHARITO"/>
        <s v="HUAMAN CORNEJO, MIGUEL FELIX"/>
        <s v="LLAQUE LINARES, NORA MARIA"/>
        <s v="MOLINA SOTO, NATHALY MILAGROS"/>
        <s v="PRADO VALLEJOS, LILA MARIANELA"/>
        <s v="QUISPE CANDIA, LUIS ELISEO"/>
        <s v="RETO OTERO, OSCAR DE JESUS"/>
        <s v="ARANDA VASQUEZ, CHRISTIAN"/>
        <s v="BAELLA MALCA, JOSE ISIDRO"/>
        <s v="BAZAN CALDERON, DIEGO ALONSO FERNANDO"/>
        <s v="CHANG APUY, FELIX SEE HUNG"/>
        <s v="CIPRIANI THORNE, JAVIER JOSE MARIA"/>
        <s v="DE PAZ LANCHO, LEO MIGUEL"/>
        <s v="KRKLEC TORRES, FRANK"/>
        <s v="MARTINEZ PAITAN, PAOLA ISABEL"/>
        <s v="ROCHA GALLEGOS, ROXANA MARIA"/>
        <s v="SEGURA FIGUEROA, GUSTAVO ALEXANDER"/>
        <s v="YALTA SOTELO, CARLOS ALBERTO"/>
        <s v="YARROW LUMBRERAS, NORMA MARTINA"/>
        <s v="YONZ NUÑEZ, MADY VERONICA"/>
        <s v="ZEBALLOS APONTE, JORGE ARTURO"/>
      </sharedItems>
    </cacheField>
    <cacheField name="DOCUMENTO_IDENTIDAD" numFmtId="0">
      <sharedItems>
        <s v="29569533"/>
        <s v="41618961"/>
        <s v="43592504"/>
        <s v="43572794"/>
        <s v="45218393"/>
        <s v="70665764"/>
        <s v="41840094"/>
        <s v="42839004"/>
        <s v="46307918"/>
        <s v="09391698"/>
        <s v="45382589"/>
        <s v="15984771"/>
        <s v="76030152"/>
        <s v="22509175"/>
        <s v="40224994"/>
        <s v="44807108"/>
        <s v="16650849"/>
        <s v="10587515"/>
        <s v="07750373"/>
        <s v="09536896"/>
        <s v="40826681"/>
        <s v="42433830"/>
        <s v="07268767"/>
        <s v="42516751"/>
        <s v="16448130"/>
        <s v="41919665"/>
        <s v="10187011"/>
        <s v="10028427"/>
        <s v="07737110"/>
        <s v="47000483"/>
        <s v="45721573"/>
        <s v="10792277"/>
        <s v="41408779"/>
        <s v="05414308"/>
        <s v="44275599"/>
        <s v="80328889"/>
        <s v="27424381"/>
        <s v="40433187"/>
        <s v="08571708"/>
        <s v="47654459"/>
        <s v="42551310"/>
        <s v="80387180"/>
        <s v="46432487"/>
        <s v="43845728"/>
        <s v="40855980"/>
        <s v="01223056"/>
        <s v="41711513"/>
        <s v="40093361"/>
        <s v="04810886"/>
        <s v="45442927"/>
        <s v="29313850"/>
        <s v="74638299"/>
        <s v="42135939"/>
        <s v="10536312"/>
        <s v="44908591"/>
        <s v="42984568"/>
        <s v="70163475"/>
        <s v="01320941"/>
        <s v="45327535"/>
        <s v="46602828"/>
        <s v="43170121"/>
        <s v="00482691"/>
        <s v="07654582"/>
        <s v="01545223"/>
        <s v="25001331"/>
        <s v="41242025"/>
        <s v="46089177"/>
        <s v="19995860"/>
        <s v="70074678"/>
        <s v="07793641"/>
        <s v="17930730"/>
        <s v="42188288"/>
        <s v="43478989"/>
        <s v="41356710"/>
        <s v="16629849"/>
        <s v="10277219"/>
        <s v="31038213"/>
        <s v="08573694"/>
        <s v="29715400"/>
        <s v="29311981"/>
        <s v="02819812"/>
        <s v="06296745"/>
        <s v="76871362"/>
        <s v="45741388"/>
        <s v="40067839"/>
        <s v="43348625"/>
        <s v="70747151"/>
        <s v="09937296"/>
        <s v="46847115"/>
        <s v="07974594"/>
        <s v="07744156"/>
        <s v="43401219"/>
        <s v="46548697"/>
        <s v="45363882"/>
        <s v="10275564"/>
        <s v="41010370"/>
        <s v="08878867"/>
        <s v="10806296"/>
        <s v="44689086"/>
        <s v="07026029"/>
      </sharedItems>
    </cacheField>
    <cacheField name="APELLIDO_PATERNO" numFmtId="0">
      <sharedItems>
        <s v="ARMINTA"/>
        <s v="BUITRON"/>
        <s v="COLCHADO"/>
        <s v="HOLGUIN"/>
        <s v="HUILCA"/>
        <s v="MANRIQUE"/>
        <s v="MARCELO"/>
        <s v="MUEDAS"/>
        <s v="SONCO"/>
        <s v="ABENSUR"/>
        <s v="ALEGRIA"/>
        <s v="ANDRADE"/>
        <s v="BARBARAN"/>
        <s v="BETETA"/>
        <s v="BOBADILLA"/>
        <s v="CASTILLO"/>
        <s v="CASTRO"/>
        <s v="CELIZ"/>
        <s v="CHACON"/>
        <s v="COLUMBUS"/>
        <s v="DODERO"/>
        <s v="FIGARI"/>
        <s v="GAMARRA"/>
        <s v="INFANTES"/>
        <s v="LEIVA"/>
        <s v="MENDOZA"/>
        <s v="NAVAS"/>
        <s v="OBANDO"/>
        <s v="PACHECO"/>
        <s v="PALMA"/>
        <s v="PATIÑO"/>
        <s v="PAUCARA"/>
        <s v="PINASCO"/>
        <s v="REVILLA"/>
        <s v="SALAS"/>
        <s v="TICLLA"/>
        <s v="TORRES"/>
        <s v="TRUJILLO"/>
        <s v="VALQUI"/>
        <s v="VIDAURRE"/>
        <s v="ZEGARRA"/>
        <s v="AGUIRRE"/>
        <s v="AMBROSIO"/>
        <s v="AVENDAÑO"/>
        <s v="CONDORI"/>
        <s v="FLORES"/>
        <s v="GONZALES"/>
        <s v="MARQUEZ"/>
        <s v="PALOMINO"/>
        <s v="PAREDES"/>
        <s v="PEÑA"/>
        <s v="PEREZ"/>
        <s v="POMA"/>
        <s v="TAPULLIMA"/>
        <s v="TITO"/>
        <s v="ZUNINI"/>
        <s v="ALBAÑIL"/>
        <s v="ALVARON"/>
        <s v="CABRERA"/>
        <s v="EUSEBIO"/>
        <s v="HANCCO"/>
        <s v="LOPEZ"/>
        <s v="MASCO"/>
        <s v="MEDINA"/>
        <s v="PERALTA"/>
        <s v="PIÑAN"/>
        <s v="SAMANEZ"/>
        <s v="YATACO"/>
        <s v="ALAYZA"/>
        <s v="BENITEZ"/>
        <s v="CASTREJON"/>
        <s v="DUARTE"/>
        <s v="FERNANDEZ"/>
        <s v="GARCIA"/>
        <s v="HIRACHE"/>
        <s v="HUAMAN"/>
        <s v="LLAQUE"/>
        <s v="MOLINA"/>
        <s v="PRADO"/>
        <s v="QUISPE"/>
        <s v="RETO"/>
        <s v="ARANDA"/>
        <s v="BAELLA"/>
        <s v="BAZAN"/>
        <s v="CHANG"/>
        <s v="CIPRIANI"/>
        <s v="DE PAZ"/>
        <s v="KRKLEC"/>
        <s v="MARTINEZ"/>
        <s v="ROCHA"/>
        <s v="SEGURA"/>
        <s v="YALTA"/>
        <s v="YARROW"/>
        <s v="YONZ"/>
        <s v="ZEBALLOS"/>
      </sharedItems>
    </cacheField>
    <cacheField name="APELLIDO_MATERNO" numFmtId="0">
      <sharedItems>
        <s v="VALENCIA"/>
        <s v="MARTINEZ"/>
        <s v="HUAMANI"/>
        <s v="LOAIZA"/>
        <s v="FLORES"/>
        <s v="OLIVERA"/>
        <s v="SALAZAR"/>
        <s v="BALBIESE"/>
        <s v="VILLANUEVA"/>
        <s v="PINASCO"/>
        <s v="GARCIA"/>
        <s v="SALGUERO DE ALVAREZ"/>
        <s v="REYES"/>
        <s v="RUBIN"/>
        <s v="GALINDO"/>
        <s v="RIVAS"/>
        <s v="CRUZ"/>
        <s v="GRANDEZ"/>
        <s v="CASTILLO"/>
        <s v="DE VETTORI"/>
        <s v="MURATA"/>
        <s v="JOVICH"/>
        <s v="MENDOZA"/>
        <s v="PITA"/>
        <s v="CASTAÑEDA"/>
        <s v="BAYLON"/>
        <s v="BERNEDO"/>
        <s v="SANCHEZ"/>
        <s v="MORGAN"/>
        <s v="QUISPE"/>
        <s v="URCO"/>
        <s v="PAXI"/>
        <s v="MONTENEGRO"/>
        <s v="RIVERA"/>
        <s v="RAFAEL"/>
        <s v="MORALES"/>
        <s v="ZEGARRA"/>
        <s v="ORDOÑEZ"/>
        <s v="FLORIDAS"/>
        <s v="RAMOS"/>
        <s v="DOMINGUEZ"/>
        <s v="VILCA"/>
        <s v="VALDIZAN"/>
        <s v="DELGADO"/>
        <s v="AGUIRRE"/>
        <s v="HUANCA"/>
        <s v="PACHECO"/>
        <s v="NAVARRO"/>
        <s v="CORDOVA"/>
        <s v="MALLQUI"/>
        <s v="INSAPILLO"/>
        <s v="ROJAS"/>
        <s v="YERREN"/>
        <s v="CARMONA"/>
        <s v="DE LA CRUZ"/>
        <s v="NIETO"/>
        <s v="PADILLA"/>
        <s v="HANCCO"/>
        <s v="LETONA"/>
        <s v="CACERES"/>
        <s v="STEIN"/>
        <s v="JORPA"/>
        <s v="MAMANI"/>
        <s v="GONZALES VIGIL"/>
        <s v="CALDERON"/>
        <s v="TORREALVA"/>
        <s v="MACCERA"/>
        <s v="BARRIONUEVO"/>
        <s v="FERNANDEZ"/>
        <s v="PATIÑO DE PEZET"/>
        <s v="DE LA TORRE"/>
        <s v="HUBY"/>
        <s v="POLAR"/>
        <s v="PIZARRO"/>
        <s v="CORNEJO"/>
        <s v="LINARES"/>
        <s v="SOTO"/>
        <s v="VALLEJOS"/>
        <s v="CANDIA"/>
        <s v="OTERO"/>
        <s v="VASQUEZ"/>
        <s v="MALCA"/>
        <s v="APUY"/>
        <s v="THORNE"/>
        <s v="LANCHO"/>
        <s v="TORRES"/>
        <s v="PAITAN"/>
        <s v="GALLEGOS"/>
        <s v="FIGUEROA"/>
        <s v="SOTELO"/>
        <s v="LUMBRERAS"/>
        <s v="NUÑEZ"/>
        <s v="APONTE"/>
      </sharedItems>
    </cacheField>
    <cacheField name="NOMBRES" numFmtId="0">
      <sharedItems>
        <s v="MARLENY BIBIANA"/>
        <s v="FRESHMAN"/>
        <s v="HARVEY JULIO"/>
        <s v="CESAR AUGUSTO"/>
        <s v="INDIRA ISABEL"/>
        <s v="BERNARDINO JAIR"/>
        <s v="JOSE MIGUEL"/>
        <s v="HELARD BLADIMIR"/>
        <s v="JAIME AMERICO"/>
        <s v="LUIS ARTURO"/>
        <s v="GLADYS GRISELDA"/>
        <s v="ROSANGELLA ANDREA"/>
        <s v="KARINA JULIZA"/>
        <s v="ANGEL BRUNO"/>
        <s v="EDUARDO ENRIQUE"/>
        <s v="JAVIER ALEJANDRO"/>
        <s v="ROYSER"/>
        <s v="RAFAEL ALDO"/>
        <s v="CECILIA ISABEL"/>
        <s v="DIETHELL"/>
        <s v="PIERANGELI DANIELA"/>
        <s v="PIER PAOLO"/>
        <s v="LUZMILA MARIA DEL CARMEN"/>
        <s v="MERY ELIANA"/>
        <s v="LETICIA MARUJA"/>
        <s v="LIZ HULI"/>
        <s v="JESSICA LIZBETH"/>
        <s v="AURISTELA ANA"/>
        <s v="MARCO ANTONIO"/>
        <s v="JOSE MARVIN"/>
        <s v="ANA BERTHA"/>
        <s v="CARMELA"/>
        <s v="NARY BENVINDA"/>
        <s v="CESAR MANUEL"/>
        <s v="ALEXANDER"/>
        <s v="SEGUNDO SENOVIO"/>
        <s v="MIGUEL ANGEL"/>
        <s v="GILMER"/>
        <s v="JHONN BRAYAM"/>
        <s v="CARLOS ALBERTO"/>
        <s v="MARLON ALBERTO"/>
        <s v="YULI LILIANA"/>
        <s v="GIANNINA IRIS"/>
        <s v="REMIGIO"/>
        <s v="GABRIEL ROBERTINO"/>
        <s v="JAMES ARTURO"/>
        <s v="ANALI"/>
        <s v="AMALIA EMILIA"/>
        <s v="YENIFER NOELIA"/>
        <s v="OLVER"/>
        <s v="JULIAN LUIS"/>
        <s v="JESSICA SADITH"/>
        <s v="HAYDEE CELINDA"/>
        <s v="JACQUELINE VIVIANA"/>
        <s v="CESAR HUGO"/>
        <s v="ERNESTO ALONZO"/>
        <s v="HENRY ANTONIO"/>
        <s v="EDGAR ADRIAN"/>
        <s v="JUAN CESAR"/>
        <s v="ARTURO CESAR"/>
        <s v="DINA IRENE"/>
        <s v="HEBER"/>
        <s v="LUIS AURELIO"/>
        <s v="ANDREA DAYNA"/>
        <s v="MAXIMO"/>
        <s v="VICTOR EDUARDO"/>
        <s v="JEENNY CRISTINA"/>
        <s v="DEMETRIO FLAVIO"/>
        <s v="JOSE RICARDO"/>
        <s v="ROSSANA HERMINIA"/>
        <s v="JESSICA"/>
        <s v="SEGUNDO JUAN"/>
        <s v="CARMEN GEORGINA"/>
        <s v="HILDA JUDIT"/>
        <s v="FERNANDO ALBERTO"/>
        <s v="EDGAR DEMBER"/>
        <s v="GLORIA CHARITO"/>
        <s v="MIGUEL FELIX"/>
        <s v="NORA MARIA"/>
        <s v="NATHALY MILAGROS"/>
        <s v="LILA MARIANELA"/>
        <s v="LUIS ELISEO"/>
        <s v="OSCAR DE JESUS"/>
        <s v="CHRISTIAN"/>
        <s v="JOSE ISIDRO"/>
        <s v="DIEGO ALONSO FERNANDO"/>
        <s v="FELIX SEE HUNG"/>
        <s v="JAVIER JOSE MARIA"/>
        <s v="LEO MIGUEL"/>
        <s v="FRANK"/>
        <s v="PAOLA ISABEL"/>
        <s v="ROXANA MARIA"/>
        <s v="GUSTAVO ALEXANDER"/>
        <s v="NORMA MARTINA"/>
        <s v="MADY VERONICA"/>
        <s v="JORGE ARTURO"/>
      </sharedItems>
    </cacheField>
    <cacheField name="SEXO" numFmtId="0">
      <sharedItems>
        <s v="FEMENINO"/>
        <s v="MASCULINO"/>
      </sharedItems>
    </cacheField>
    <cacheField name="FECHA_NACIMIENTO" numFmtId="0">
      <sharedItems>
        <s v="17/12/1967"/>
        <s v="29/09/1982"/>
        <s v="11/04/1974"/>
        <s v="27/09/1984"/>
        <s v="11/08/1988"/>
        <s v="08/04/1997"/>
        <s v="02/02/1982"/>
        <s v="09/08/1976"/>
        <s v="30/08/1989"/>
        <s v="13/04/1971"/>
        <s v="03/08/1988"/>
        <s v="14/06/1963"/>
        <s v="24/08/1994"/>
        <s v="18/01/1975"/>
        <s v="25/11/1976"/>
        <s v="21/10/1987"/>
        <s v="09/09/1966"/>
        <s v="07/01/1978"/>
        <s v="08/01/1969"/>
        <s v="03/02/1971"/>
        <s v="19/03/1981"/>
        <s v="09/04/1984"/>
        <s v="14/11/1973"/>
        <s v="02/07/1984"/>
        <s v="11/10/1963"/>
        <s v="21/05/1983"/>
        <s v="04/07/1974"/>
        <s v="09/08/1973"/>
        <s v="03/08/1953"/>
        <s v="14/03/1992"/>
        <s v="26/05/1989"/>
        <s v="01/05/1967"/>
        <s v="18/11/1979"/>
        <s v="26/10/1977"/>
        <s v="19/03/1987"/>
        <s v="14/05/1979"/>
        <s v="05/09/1973"/>
        <s v="18/02/1980"/>
        <s v="20/06/1966"/>
        <s v="14/08/1992"/>
        <s v="25/08/1984"/>
        <s v="19/03/1978"/>
        <s v="29/07/1990"/>
        <s v="08/11/1986"/>
        <s v="06/12/1980"/>
        <s v="01/10/1966"/>
        <s v="04/07/1981"/>
        <s v="02/09/1973"/>
        <s v="03/05/1957"/>
        <s v="10/10/1988"/>
        <s v="06/11/1967"/>
        <s v="05/12/1995"/>
        <s v="28/03/1983"/>
        <s v="29/10/1974"/>
        <s v="22/02/1988"/>
        <s v="10/09/1984"/>
        <s v="07/06/1989"/>
        <s v="25/02/1971"/>
        <s v="27/10/1987"/>
        <s v="04/11/1990"/>
        <s v="03/08/1985"/>
        <s v="18/07/1963"/>
        <s v="04/01/1964"/>
        <s v="19/03/1970"/>
        <s v="18/02/1974"/>
        <s v="11/05/1981"/>
        <s v="24/11/1989"/>
        <s v="27/11/1965"/>
        <s v="06/05/1992"/>
        <s v="05/12/1952"/>
        <s v="22/12/1955"/>
        <s v="06/04/1982"/>
        <s v="16/03/1986"/>
        <s v="28/11/1981"/>
        <s v="28/08/1971"/>
        <s v="06/05/1957"/>
        <s v="04/08/1973"/>
        <s v="12/03/1961"/>
        <s v="06/09/1963"/>
        <s v="02/01/1967"/>
        <s v="23/07/1969"/>
        <s v="20/05/1955"/>
        <s v="15/10/1996"/>
        <s v="12/05/1989"/>
        <s v="18/08/1948"/>
        <s v="28/04/1962"/>
        <s v="26/06/1991"/>
        <s v="11/08/1960"/>
        <s v="12/02/1991"/>
        <s v="10/11/1970"/>
        <s v="12/10/1955"/>
        <s v="01/03/1985"/>
        <s v="12/07/1990"/>
        <s v="23/03/1988"/>
        <s v="30/11/1964"/>
        <s v="26/02/1970"/>
        <s v="10/10/1970"/>
        <s v="29/07/1963"/>
        <s v="22/08/1987"/>
        <s v="15/01/1952"/>
      </sharedItems>
    </cacheField>
    <cacheField name="PAIS_NACIMIENTO" numFmtId="0">
      <sharedItems>
        <s v="PERÚ"/>
        <s v="ESTADOS UNIDOS DE AMERICA"/>
        <s v="PERU"/>
      </sharedItems>
    </cacheField>
    <cacheField name="DEPARTAMENTO_NACIMIENTO" numFmtId="0">
      <sharedItems containsBlank="1">
        <s v="AREQUIPA"/>
        <s v="AYACUCHO"/>
        <s v="LIMA"/>
        <s v="CUSCO"/>
        <s v="ANCASH"/>
        <s v="JUNIN"/>
        <s v="PUNO"/>
        <s v="UCAYALI"/>
        <s v="HUANUCO"/>
        <s v="PIURA"/>
        <s v="LAMBAYEQUE"/>
        <s v="AMAZONAS"/>
        <s v="LORETO"/>
        <s v="CAJAMARCA"/>
        <s v="PASCO"/>
        <s v="MADRE DE DIOS"/>
        <s v="MOQUEGUA"/>
        <s v="SAN MARTIN"/>
        <s v="LA LIBERTAD"/>
        <s v="ICA"/>
        <s v="APURIMAC"/>
        <s v="TUMBES"/>
        <s v="CALLAO"/>
        <s v="HONOLULU"/>
        <m/>
      </sharedItems>
    </cacheField>
    <cacheField name="PROVINCIA_NACIMIENTO" numFmtId="0">
      <sharedItems containsBlank="1">
        <s v="AREQUIPA"/>
        <s v="VILCAS HUAMAN"/>
        <s v="LIMA"/>
        <s v="PARURO"/>
        <s v="SANTA"/>
        <s v="CHUPACA"/>
        <s v="SANDIA"/>
        <s v="CORONEL PORTILLO"/>
        <s v="HUARAL"/>
        <s v="HUANUCO"/>
        <s v="PIURA"/>
        <s v="CHICLAYO"/>
        <s v="RODRIGUEZ DE MENDOZA"/>
        <s v="HUANCAYO"/>
        <s v="MAYNAS"/>
        <s v="CAÑETE"/>
        <s v="CHOTA"/>
        <s v="PASCO"/>
        <s v="CHANCHAMAYO"/>
        <s v="PUNO"/>
        <s v="LEONCIO PRADO"/>
        <s v="CAJAMARCA"/>
        <s v="TAMBOPATA"/>
        <s v="CHUMBIVILCAS"/>
        <s v="GENERAL SANCHEZ CERRO"/>
        <s v="RIOJA"/>
        <s v="LA MAR"/>
        <s v="CUSCO"/>
        <s v="SAN MARTIN"/>
        <s v="HUARAZ"/>
        <s v="EL COLLAO"/>
        <s v="AZANGARO"/>
        <s v="LA CONVENCION"/>
        <s v="ISLAY"/>
        <s v="TRUJILLO"/>
        <s v="ICA"/>
        <s v="AYMARAES"/>
        <s v="CONDESUYOS"/>
        <s v="QUISPICANCHI"/>
        <s v="CONTRALMIRANTE VILLAR"/>
        <s v="CALLAO"/>
        <m/>
      </sharedItems>
    </cacheField>
    <cacheField name="DISTRITO_NACIMIENTO" numFmtId="0">
      <sharedItems containsBlank="1">
        <s v="AREQUIPA"/>
        <s v="VILCAS HUAMAN"/>
        <s v="LIMA"/>
        <s v="CCAPI"/>
        <s v="LA VICTORIA"/>
        <s v="CHIMBOTE"/>
        <s v="SAN JUAN DE LURIGANCHO"/>
        <s v="CHONGOS BAJO"/>
        <s v="LIMBANI"/>
        <s v="CALLERIA"/>
        <s v="CHANCAY"/>
        <s v="HUANUCO"/>
        <s v="JESUS MARIA"/>
        <s v="CASTILLA"/>
        <s v="LAGUNAS"/>
        <s v="SAN NICOLAS"/>
        <s v="CHICLAYO"/>
        <s v="PUEBLO LIBRE"/>
        <s v="MIRAFLORES"/>
        <s v="NUEVA ARICA"/>
        <s v="ANCON"/>
        <s v="VILLA EL SALVADOR"/>
        <s v="SANTA ROSA"/>
        <s v="HUANCAYO"/>
        <s v="IQUITOS"/>
        <s v="SAN VICENTE DE CAÑETE"/>
        <s v="CHOTA"/>
        <s v="LINCE"/>
        <s v="CHAUPIMARCA"/>
        <s v="PICHANAQUI"/>
        <s v="PUNO"/>
        <s v="JOSE CRESPO Y CASTILLO"/>
        <s v="CAJAMARCA"/>
        <s v="TAMBOPATA"/>
        <s v="SANTO TOMAS"/>
        <s v="QUINISTAQUILLAS"/>
        <s v="ANGUIA"/>
        <s v="YURACYACU"/>
        <s v="TAMBO"/>
        <s v="SANTIAGO"/>
        <s v="TARAPOTO"/>
        <s v="PAUCARCOLLA"/>
        <s v="LA UNION"/>
        <s v="HUARAZ"/>
        <s v="ILAVE"/>
        <s v="LURIGANCHO"/>
        <s v="AZANGARO"/>
        <s v="MARANURA"/>
        <s v="MOLLENDO"/>
        <s v="SAN BORJA"/>
        <s v="TRUJILLO"/>
        <s v="ICA"/>
        <s v="CHALHUANCA"/>
        <s v="CHICHAS"/>
        <s v="PIURA"/>
        <s v="QUIQUIJANA"/>
        <s v="ZORRITOS"/>
        <s v="CALLAO"/>
        <s v="LAREDO"/>
        <m/>
        <s v="SAN LUIS"/>
      </sharedItems>
    </cacheField>
    <cacheField name="PRIMER_CARGO_ELECCION" numFmtId="0">
      <sharedItems>
        <s v="DIPUTADO"/>
        <s v="SEGUNDO VICEPRESIDENTE DE LA REPÚBLICA"/>
        <s v="PRIMER VICEPRESIDENTE DE LA REPÚBLICA"/>
      </sharedItems>
    </cacheField>
    <cacheField name="SEGUNDO_CARGO_ELECION" numFmtId="0">
      <sharedItems containsBlank="1">
        <m/>
        <s v="SENADOR"/>
        <s v="DIPUTADO"/>
      </sharedItems>
    </cacheField>
    <cacheField name="DISTRITO_ELEC" numFmtId="0">
      <sharedItems>
        <s v="AREQUIPA"/>
        <s v="AYACUCHO"/>
        <s v="LIMA METROPOLITANA"/>
        <s v="CUSCO"/>
        <s v="ANCASH"/>
        <s v="JUNIN"/>
        <s v="PUNO"/>
        <s v="UCAYALI"/>
        <s v="SAN MARTIN"/>
        <s v="LIMA PROVINCIAS"/>
        <s v="HUANUCO"/>
        <s v="CALLAO"/>
        <s v="PIURA"/>
        <s v="LAMBAYEQUE"/>
        <s v="AMAZONAS"/>
        <s v="TUMBES"/>
        <s v="LA LIBERTAD"/>
        <s v="PERUANOS RESIDENTES EN EL EXTRANJERO"/>
        <s v="LORETO"/>
        <s v="CAJAMARCA"/>
        <s v="ÚNICO NACIONAL"/>
        <s v="PASCO"/>
        <s v="ICA"/>
        <s v="MADRE DE DIOS"/>
        <s v="TACNA"/>
      </sharedItems>
    </cacheField>
    <cacheField name="INFORMACION_COMPLEMENTARIA" numFmtId="0">
      <sharedItems containsBlank="1">
        <m/>
        <s v="Contadora pública colegiada"/>
      </sharedItems>
    </cacheField>
    <cacheField name="URL_FOTO" numFmtId="0">
      <sharedItems>
        <s v="https://mpesije.jne.gob.pe/apidocs/1d29caa5-9573-43f8-b661-c8bcdcb459d0.jpeg"/>
        <s v="https://mpesije.jne.gob.pe/apidocs/54087930-f4c1-4c30-a5ff-c168e7cec980.jpg"/>
        <s v="https://mpesije.jne.gob.pe/apidocs/aaf42d15-51c4-42da-970a-27fc9722d258.jpg"/>
        <s v="https://mpesije.jne.gob.pe/apidocs/20080e01-d77e-4a41-8a34-5e3a55ac4b10.jpg"/>
        <s v="https://mpesije.jne.gob.pe/apidocs/00a34212-f067-4014-be90-c9a48610b7d1.jpg"/>
        <s v="https://mpesije.jne.gob.pe/apidocs/7fadb198-1995-459d-b2bb-8111575467a4.jpg"/>
        <s v="https://mpesije.jne.gob.pe/apidocs/51e57b53-4a9b-411f-b2ba-0b25bfb8aa68.jpg"/>
        <s v="https://mpesije.jne.gob.pe/apidocs/c0fc0177-68d3-47cf-a9f4-7a0b0edf6c9b.jpg"/>
        <s v="https://mpesije.jne.gob.pe/apidocs/51e0f0d8-3b5a-4ca2-b969-bc892642c00e.jpg"/>
        <s v="https://mpesije.jne.gob.pe/apidocs/51fc230d-44ff-4a36-81fd-cdc866d39ffb.jpg"/>
        <s v="https://mpesije.jne.gob.pe/apidocs/0210df51-6f47-4b87-816a-bd7246ac72b9.jpg"/>
        <s v="https://mpesije.jne.gob.pe/apidocs/2d022f8e-70ca-4f69-bb66-18caf80c35d1.jpg"/>
        <s v="https://mpesije.jne.gob.pe/apidocs/fe41e940-1222-4497-b86f-66bedd7a031d.jpg"/>
        <s v="https://mpesije.jne.gob.pe/apidocs/43176a37-cb6a-4724-be25-93f8b8855a1b.jpg"/>
        <s v="https://mpesije.jne.gob.pe/apidocs/4aa19ef9-46f1-4ff4-a11f-55fa2b686023.jpg"/>
        <s v="https://mpesije.jne.gob.pe/apidocs/d96b162f-db71-4892-ac4e-829de3492e9d.jpg"/>
        <s v="https://mpesije.jne.gob.pe/apidocs/1f66acdf-101e-4b1c-8468-4def175df0f8.jpg"/>
        <s v="https://mpesije.jne.gob.pe/apidocs/15b719e1-4b47-4b44-90b3-e7e90d7c9842.jpg"/>
        <s v="https://mpesije.jne.gob.pe/apidocs/48700055-eec9-404e-a7ab-37cb70abb653.jpg"/>
        <s v="https://mpesije.jne.gob.pe/apidocs/075f4d47-7bb6-4eea-a441-5e19b60f7b47.jpg"/>
        <s v="https://mpesije.jne.gob.pe/apidocs/e393717b-8477-43d8-a7a9-f3ce8f09395a.jpg"/>
        <s v="https://mpesije.jne.gob.pe/apidocs/38b21551-9f9d-4509-8df3-3ff196a3db73.jpg"/>
        <s v="https://mpesije.jne.gob.pe/apidocs/ac01f508-6d64-4ea5-b2ff-42a47fe0d259.jpg"/>
        <s v="https://mpesije.jne.gob.pe/apidocs/799ae78c-4935-458a-aa5c-550ceb4dadf4.jpg"/>
        <s v="https://mpesije.jne.gob.pe/apidocs/1c7cad1e-55d0-4eaf-a410-3190cc45ccd9.jpg"/>
        <s v="https://mpesije.jne.gob.pe/apidocs/b00ba9d7-66c7-480f-b8ea-b46904b30968.jpg"/>
        <s v="https://mpesije.jne.gob.pe/apidocs/8543846b-eaab-4b44-bda0-849122e6f396.jpg"/>
        <s v="https://mpesije.jne.gob.pe/apidocs/0c036c3c-b21f-4a3c-9aa0-355dc67b9d55.jpg"/>
        <s v="https://mpesije.jne.gob.pe/apidocs/922d4c25-0617-4447-97d6-8eaf47e4fbf2.jpg"/>
        <s v="https://mpesije.jne.gob.pe/apidocs/eeab968c-83e6-41a2-92ec-4dfdcdb0cd7f.jpg"/>
        <s v="https://mpesije.jne.gob.pe/apidocs/f1ccbd31-2838-4168-82d3-eb5b71f519c7.jpg"/>
        <s v="https://mpesije.jne.gob.pe/apidocs/1351a920-31c9-42b8-9abc-e65fa1a12dd8.jpg"/>
        <s v="https://mpesije.jne.gob.pe/apidocs/acf9364c-20ca-403e-bf77-0252c913b060.jpg"/>
        <s v="https://mpesije.jne.gob.pe/apidocs/b177f705-dfd3-4599-a882-ab395bc5346f.jpg"/>
        <s v="https://mpesije.jne.gob.pe/apidocs/c239bb01-32d8-47ae-ac26-e62459fe1f18.jpg"/>
        <s v="https://mpesije.jne.gob.pe/apidocs/2595a793-7375-4430-91d4-9cbc362c884d.jpg"/>
        <s v="https://mpesije.jne.gob.pe/apidocs/ea749409-747d-429b-a6ea-fabdb2095247.jpg"/>
        <s v="https://mpesije.jne.gob.pe/apidocs/789b7714-8633-4a59-a89b-7fab4646fef1.jpeg"/>
        <s v="https://mpesije.jne.gob.pe/apidocs/4a6db76e-4a02-49f7-8d84-0ad1b851903f.jpg"/>
        <s v="https://mpesije.jne.gob.pe/apidocs/5a1d94bc-3050-4a0b-a6e5-35f757b6a559.jpg"/>
        <s v="https://mpesije.jne.gob.pe/apidocs/46ef4d66-b8bf-48b4-aba1-ec2073b8ccf2.jpg"/>
        <s v="https://mpesije.jne.gob.pe/apidocs/3684bf3c-4385-430d-bd6e-9d0ac59d4f92.jpg"/>
        <s v="https://mpesije.jne.gob.pe/apidocs/3cbab5a1-07f1-4378-9838-4d07f4cf0e6f.jpg"/>
        <s v="https://mpesije.jne.gob.pe/apidocs/2efb6771-bcb3-4714-b266-fd7c6f05ec2c.jpg"/>
        <s v="https://mpesije.jne.gob.pe/apidocs/5dd5ffdf-a410-49e0-bc70-47b88e90f596.jpg"/>
        <s v="https://mpesije.jne.gob.pe/apidocs/01517b31-d1ad-46ae-8e61-04d93a3e9c53.jpg"/>
        <s v="https://mpesije.jne.gob.pe/apidocs/6870c7f2-a2f8-4370-8dbe-ea07d50b8091.jpg"/>
        <s v="https://mpesije.jne.gob.pe/apidocs/098935bc-8d8f-4d90-9ab1-209d38292773.jpg"/>
        <s v="https://mpesije.jne.gob.pe/apidocs/4234b8c6-6700-4d18-8bc3-3977077d52dc.jpg"/>
        <s v="https://mpesije.jne.gob.pe/apidocs/cd236409-a6a7-4b75-8b06-25db73f256bd.jpg"/>
        <s v="https://mpesije.jne.gob.pe/apidocs/d05dfeb1-ce90-451c-b614-e00ac68e1077.jpg"/>
        <s v="https://mpesije.jne.gob.pe/apidocs/df807ab2-353c-4d89-8246-1a2b5c04ee5b.jpg"/>
        <s v="https://mpesije.jne.gob.pe/apidocs/46944cd6-4aac-4b6c-9884-64ea79bb4e44.jpg"/>
        <s v="https://mpesije.jne.gob.pe/apidocs/0fb84197-9795-40fb-98ae-0445dd6de6a6.jpg"/>
        <s v="https://mpesije.jne.gob.pe/apidocs/8451ecf0-0f0b-4f4c-959e-41a197c80793.jpg"/>
        <s v="https://mpesije.jne.gob.pe/apidocs/43965a86-c97c-44b8-a5e7-00376bc2c77b.jpg"/>
        <s v="https://mpesije.jne.gob.pe/apidocs/c2d9848e-35f1-4b7c-bac2-15ea99360217.jpg"/>
        <s v="https://mpesije.jne.gob.pe/apidocs/89ae261a-857b-4969-bad7-55e0ad4efdee.jpg"/>
        <s v="https://mpesije.jne.gob.pe/apidocs/41bd9e58-4784-4073-9233-aaec6337b136.jpg"/>
        <s v="https://mpesije.jne.gob.pe/apidocs/0db1fcfb-c302-445c-afe1-510fe4bf1f1a.jpg"/>
        <s v="https://mpesije.jne.gob.pe/apidocs/61529942-8bb4-407c-bc9c-3eb6a34537e6.jpg"/>
        <s v="https://mpesije.jne.gob.pe/apidocs/424b0a36-b6b3-4320-9e23-b9875d7fcb48.jpg"/>
        <s v="https://mpesije.jne.gob.pe/apidocs/8d44f945-0c51-4f46-a3e4-44206775973e.jpg"/>
        <s v="https://mpesije.jne.gob.pe/apidocs/fa703877-427f-4312-be04-95b2959bf6d3.jpg"/>
        <s v="https://mpesije.jne.gob.pe/apidocs/142c9ff3-0883-48d4-8fe4-786719c05e9f.jpg"/>
        <s v="https://mpesije.jne.gob.pe/apidocs/1b6eafdb-2ae0-4e95-ac50-503069a4bae3.jpg"/>
        <s v="https://mpesije.jne.gob.pe/apidocs/ce2ebf06-2e90-407f-9981-803107fe0975.jpg"/>
        <s v="https://mpesije.jne.gob.pe/apidocs/218682eb-a4f1-400c-b05d-637a881181e2.jpg"/>
        <s v="https://mpesije.jne.gob.pe/apidocs/af203abd-b7ad-4309-93b0-d86172a4f4e6.jpg"/>
        <s v="https://mpesije.jne.gob.pe/apidocs/f86a4159-4ef5-4159-99a3-e7ad0f662dea.jpg"/>
        <s v="https://mpesije.jne.gob.pe/apidocs/ab981458-cca9-4216-891a-c01371fa4609.jpg"/>
        <s v="https://mpesije.jne.gob.pe/apidocs/b4199bc6-2a02-456e-ba65-3d397f8acb9d.jpg"/>
        <s v="https://mpesije.jne.gob.pe/apidocs/c0aa7fd0-a9f9-4350-925f-0182ae996c3f.jpg"/>
        <s v="https://mpesije.jne.gob.pe/apidocs/79cec618-7fb8-406a-bb30-481e575dd8aa.jpg"/>
        <s v="https://mpesije.jne.gob.pe/apidocs/31d49098-516e-4c03-8a17-a7b02572d1c1.jpg"/>
        <s v="https://mpesije.jne.gob.pe/apidocs/96e1f352-3fca-4573-8959-94b731cb2082.jpg"/>
        <s v="https://mpesije.jne.gob.pe/apidocs/4e96cee3-276f-4dd5-87fb-be716ede1954.jpg"/>
        <s v="https://mpesije.jne.gob.pe/apidocs/a03eee72-dcb6-4ae2-9b09-f203c0289b9c.jpg"/>
        <s v="https://mpesije.jne.gob.pe/apidocs/f17364a8-2519-4d38-8f99-bd6c610c1ae7.jpg"/>
        <s v="https://mpesije.jne.gob.pe/apidocs/b0b0414c-e256-403d-a125-f0a5634e8d31.jpg"/>
        <s v="https://mpesije.jne.gob.pe/apidocs/d2f6880b-86eb-4e5e-a1a3-3474f35e6b0d.jpg"/>
        <s v="https://mpesije.jne.gob.pe/apidocs/77d2ff11-97f6-4d87-966b-2206b6073627.jpg"/>
        <s v="https://mpesije.jne.gob.pe/apidocs/85df76a1-f01a-4e24-8b72-a80dadb1ee0a.jpg"/>
        <s v="https://mpesije.jne.gob.pe/apidocs/63bf2e32-eea7-4bc0-b6d0-2ab775ee4843.jpg"/>
        <s v="https://mpesije.jne.gob.pe/apidocs/93bd1fb5-a0ee-4900-b08b-36a0071a8d02.jpg"/>
        <s v="https://mpesije.jne.gob.pe/apidocs/bf8f66d1-eceb-4872-b784-b17b419d8f33.jpg"/>
        <s v="https://mpesije.jne.gob.pe/apidocs/d70f438b-eda1-464c-8674-72cac0bacde7.jpg"/>
        <s v="https://mpesije.jne.gob.pe/apidocs/40d1c4f0-80ca-4308-9956-39825342cc72.jpg"/>
        <s v="https://mpesije.jne.gob.pe/apidocs/bff26ae0-3fe2-4ed8-9782-3b6450bdd88f.jpg"/>
        <s v="https://mpesije.jne.gob.pe/apidocs/eb0f38dd-1396-4901-94e7-b32e9c61a978.jpg"/>
        <s v="https://mpesije.jne.gob.pe/apidocs/5c003520-8824-4be8-958c-b1df3c8f9a6b.jpg"/>
        <s v="https://mpesije.jne.gob.pe/apidocs/3c15f97e-30d2-4d67-9170-3e68af9281ce.jpg"/>
        <s v="https://mpesije.jne.gob.pe/apidocs/45d1c562-f232-4b64-bc2c-6c8c0f0ba33a.jpg"/>
        <s v="https://mpesije.jne.gob.pe/apidocs/cb2c329e-da2f-4c05-8cbe-86dc48f97529.jpg"/>
        <s v="https://mpesije.jne.gob.pe/apidocs/86b38aa1-2f58-4a5f-b0f9-4a7d8368659b.jpg"/>
        <s v="https://mpesije.jne.gob.pe/apidocs/e1aea3a3-5ab0-43e8-b91b-052215702d28.jpg"/>
        <s v="https://mpesije.jne.gob.pe/apidocs/1f3cf0a8-3e7e-4509-9b05-821faca27afa.jpg"/>
        <s v="https://mpesije.jne.gob.pe/apidocs/90b8a957-0b76-41a0-b2a0-62ad6e328327.jpg"/>
        <s v="https://mpesije.jne.gob.pe/apidocs/36da1705-188b-41bc-98e4-1c18c05612d5.jpg"/>
        <s v="https://mpesije.jne.gob.pe/apidocs/cce9abf6-a68e-4e2c-b169-6eab12571da6.jpg"/>
      </sharedItems>
    </cacheField>
    <cacheField name="TXRUTAVIRTUAL" numFmtId="0">
      <sharedItems>
        <s v="https://mpesije.jne.gob.pe/apidocs/257db15e-d676-4f48-a881-33b94bc75df8.pdf"/>
        <s v="https://mpesije.jne.gob.pe/apidocs/a833abe4-70a4-4744-8ca4-794c861b5f05.pdf"/>
        <s v="https://mpesije.jne.gob.pe/apidocs/c385533c-6800-49cc-a5dd-bc890f9e6f0e.pdf"/>
        <s v="https://mpesije.jne.gob.pe/apidocs/27f3afef-9c95-4937-93fc-f3b66e2fbe22.pdf"/>
        <s v="https://mpesije.jne.gob.pe/apidocs/df68e47e-04af-4dfe-b08d-ce5fa2659ae8.pdf"/>
        <s v="https://mpesije.jne.gob.pe/apidocs/503df6ae-606a-48e9-af8b-ec5e23e520eb.pdf"/>
        <s v="https://mpesije.jne.gob.pe/apidocs/b40f8d35-dab7-485d-a6af-2434b715bebe.pdf"/>
        <s v="https://mpesije.jne.gob.pe/apidocs/d9c37dcd-51fe-4c25-8a82-77241e029029.pdf"/>
        <s v="https://mpesije.jne.gob.pe/apidocs/40974f5b-37d2-427d-b075-de3512eabb23.pdf"/>
        <s v="https://mpesije.jne.gob.pe/apidocs/0ffac448-7043-418f-947f-bb410ac077ca.pdf"/>
        <s v="https://mpesije.jne.gob.pe/apidocs/450b6742-ef38-45d4-ab3e-56e72e5e2525.pdf"/>
        <s v="https://mpesije.jne.gob.pe/apidocs/be822fbb-498b-4975-8182-7486298e7a22.pdf"/>
        <s v="https://mpesije.jne.gob.pe/apidocs/0b8d3293-4c04-49d0-9f66-36d9316df1b3.pdf"/>
        <s v="https://mpesije.jne.gob.pe/apidocs/9798b7a7-1ab2-4804-ad97-510950bd4547.pdf"/>
        <s v="https://mpesije.jne.gob.pe/apidocs/d48e8bb9-e8b2-4e42-8637-dab45812eff3.pdf"/>
        <s v="https://mpesije.jne.gob.pe/apidocs/1c270718-9c38-47fc-8bf5-48b5f01ca557.pdf"/>
        <s v="https://mpesije.jne.gob.pe/apidocs/dbc1874a-d204-42ce-9055-a47156e12322.pdf"/>
        <s v="https://mpesije.jne.gob.pe/apidocs/ea82ddc3-c47b-4a6e-94a9-fedf8d602787.pdf"/>
        <s v="https://mpesije.jne.gob.pe/apidocs/cf9cf41d-cbec-433a-a05c-fe5314f2eafe.pdf"/>
        <s v="https://mpesije.jne.gob.pe/apidocs/263418a0-327e-47e2-81df-d5e4cbc93bbc.pdf"/>
        <s v="https://mpesije.jne.gob.pe/apidocs/fb85f7cf-63c2-454a-b8be-caafa9482136.pdf"/>
        <s v="https://mpesije.jne.gob.pe/apidocs/604a338f-478d-493d-a90f-7914850bb21d.pdf"/>
        <s v="https://mpesije.jne.gob.pe/apidocs/fd565fc1-e259-4d17-a0be-469e78eef6a5.pdf"/>
        <s v="https://mpesije.jne.gob.pe/apidocs/b1cf36db-6a9c-423b-ae82-0a34aae7928c.pdf"/>
        <s v="https://mpesije.jne.gob.pe/apidocs/ff1ca3f2-ec67-4f15-b8ab-a51f00002ed8.pdf"/>
        <s v="https://mpesije.jne.gob.pe/apidocs/c8aad8f9-89d1-4e01-ad7c-eae451c94c24.pdf"/>
        <s v="https://mpesije.jne.gob.pe/apidocs/cd39ca14-0159-40c9-843f-17264b0725ee.pdf"/>
        <s v="https://mpesije.jne.gob.pe/apidocs/89f43cc1-8f03-46fa-9b73-d0610df59268.pdf"/>
        <s v="https://mpesije.jne.gob.pe/apidocs/86ed8743-9abe-4eff-9265-e83380b4c05b.pdf"/>
        <s v="https://mpesije.jne.gob.pe/apidocs/a561a482-3a99-43e4-9314-213f7bb4d7bf.pdf"/>
        <s v="https://mpesije.jne.gob.pe/apidocs/af5b875e-2cd2-4fa8-82ef-ce3f05284089.pdf"/>
        <s v="https://mpesije.jne.gob.pe/apidocs/8cd2976e-3ac9-4cfd-ba3b-2ae21dbdad12.pdf"/>
        <s v="https://mpesije.jne.gob.pe/apidocs/aaf53a26-bc0a-41c6-85ba-b6e14514bad4.pdf"/>
        <s v="https://mpesije.jne.gob.pe/apidocs/800f7ef6-8de6-4263-9184-22df80bdfc57.pdf"/>
        <s v="https://mpesije.jne.gob.pe/apidocs/994926dc-049b-4590-b5cf-8e1251762deb.pdf"/>
        <s v="https://mpesije.jne.gob.pe/apidocs/7cf2d539-5f52-4560-8ea2-174a66ade6fe.pdf"/>
        <s v="https://mpesije.jne.gob.pe/apidocs/afc7375e-ec92-484d-91f2-8092fb1da4af.pdf"/>
        <s v="https://mpesije.jne.gob.pe/apidocs/99872797-b3bf-452e-939b-06d1cdeaa917.pdf"/>
        <s v="https://mpesije.jne.gob.pe/apidocs/2520e18a-e627-445c-a066-b83aadc43341.pdf"/>
        <s v="https://mpesije.jne.gob.pe/apidocs/d24ab458-8600-4635-95cd-ad3cbd2307a2.pdf"/>
        <s v="https://mpesije.jne.gob.pe/apidocs/951baeee-fa5f-4a81-b6ca-6b4112606f42.pdf"/>
        <s v="https://mpesije.jne.gob.pe/apidocs/4819ac33-e7bd-4e67-b67c-9294ca1c08c7.pdf"/>
        <s v="https://mpesije.jne.gob.pe/apidocs/2c45f79d-1b6e-43bd-a1d1-f9c05e19286c.pdf"/>
        <s v="https://mpesije.jne.gob.pe/apidocs/aa42163e-4231-4fc4-b0eb-e834b6b88e5c.pdf"/>
        <s v="https://mpesije.jne.gob.pe/apidocs/3eefce9e-5085-439f-ae24-8e4b6df1dacc.pdf"/>
        <s v="https://mpesije.jne.gob.pe/apidocs/41691d93-23af-4b19-b8a5-a1ad40ec4ea5.pdf"/>
        <s v="https://mpesije.jne.gob.pe/apidocs/1fa446e9-a1f6-4eef-adb1-501bc807a80b.pdf"/>
        <s v="https://mpesije.jne.gob.pe/apidocs/f71e642d-fec9-4656-bf14-6eb05adea715.pdf"/>
        <s v="https://mpesije.jne.gob.pe/apidocs/f41a93e8-9a85-4ac7-aab4-123530aa6ac0.pdf"/>
        <s v="https://mpesije.jne.gob.pe/apidocs/f9b48ebe-feff-4520-8bfd-5779cf2ba37e.pdf"/>
        <s v="https://mpesije.jne.gob.pe/apidocs/8074e846-4b08-4c42-a070-0a9b7c90a685.pdf"/>
        <s v="https://mpesije.jne.gob.pe/apidocs/d24eb18d-844a-4c10-9c56-a807b049a338.pdf"/>
        <s v="https://mpesije.jne.gob.pe/apidocs/08490927-9ff4-49e3-ada9-69dcefb0bf23.pdf"/>
        <s v="https://mpesije.jne.gob.pe/apidocs/341f301e-ede2-414b-a1e0-a40b6cd7917d.pdf"/>
        <s v="https://mpesije.jne.gob.pe/apidocs/57c139fd-c119-4dc6-8494-430d88ab3b7b.pdf"/>
        <s v="https://mpesije.jne.gob.pe/apidocs/77daecdd-c6da-4801-b1c5-917f5dc8c6c2.pdf"/>
        <s v="https://mpesije.jne.gob.pe/apidocs/8e2929eb-243f-4b1a-aa7a-fe19beb67a78.pdf"/>
        <s v="https://mpesije.jne.gob.pe/apidocs/1181129a-f15c-4438-a615-bb44ad8c2191.pdf"/>
        <s v="https://mpesije.jne.gob.pe/apidocs/a11b9ee4-9434-49fc-84e2-cf96de2cbadf.pdf"/>
        <s v="https://mpesije.jne.gob.pe/apidocs/87d63bc5-2136-4713-8449-b6635be00b8b.pdf"/>
        <s v="https://mpesije.jne.gob.pe/apidocs/bfdf21ad-afa2-449e-bab5-e308cf8b5ebd.pdf"/>
        <s v="https://mpesije.jne.gob.pe/apidocs/36154e90-cf21-4f4c-af27-5bdcc08a0396.pdf"/>
        <s v="https://mpesije.jne.gob.pe/apidocs/2296a691-3761-471c-bb3b-66bf56d6c564.pdf"/>
        <s v="https://mpesije.jne.gob.pe/apidocs/d326664e-0a6e-4e94-9477-cf972ff99bfd.pdf"/>
        <s v="https://mpesije.jne.gob.pe/apidocs/c719ed44-cbe8-4306-81f7-c7ca2a45e10a.pdf"/>
        <s v="https://mpesije.jne.gob.pe/apidocs/079c12b8-56a0-4b9d-bfc5-555cbb1c35f9.pdf"/>
        <s v="https://mpesije.jne.gob.pe/apidocs/ead020c3-5f53-4462-9013-3960987dba79.pdf"/>
        <s v="https://mpesije.jne.gob.pe/apidocs/7c7df6f9-4170-49cc-aec5-0812178fc743.pdf"/>
        <s v="https://mpesije.jne.gob.pe/apidocs/e6ebea0d-f8e3-4938-b5a3-ddaf225901c7.pdf"/>
        <s v="https://mpesije.jne.gob.pe/apidocs/296afd5c-70dc-4c2a-ae96-4cf6d3530a49.pdf"/>
        <s v="https://mpesije.jne.gob.pe/apidocs/815d153b-346a-47e2-8e3c-0eac0e1a58e3.pdf"/>
        <s v="https://mpesije.jne.gob.pe/apidocs/784d9274-98ac-405b-84a3-ff7786b655ff.pdf"/>
        <s v="https://mpesije.jne.gob.pe/apidocs/c96cec4d-1e58-481c-b421-0f38cb368efe.pdf"/>
        <s v="https://mpesije.jne.gob.pe/apidocs/8b00771a-f8e6-4ccd-8a35-81365583e9fa.pdf"/>
        <s v="https://mpesije.jne.gob.pe/apidocs/1a054092-049b-4abe-8f27-266acf357dbe.pdf"/>
        <s v="https://mpesije.jne.gob.pe/apidocs/e7628ce5-1d58-4b2c-91e9-f8fd0edf0a90.pdf"/>
        <s v="https://mpesije.jne.gob.pe/apidocs/2db4aed5-9530-48d1-9972-08a4d19eb45c.pdf"/>
        <s v="https://mpesije.jne.gob.pe/apidocs/05b150e1-09be-42fd-b8e6-11e2ee76ad58.pdf"/>
        <s v="https://mpesije.jne.gob.pe/apidocs/455b153e-0c98-4a98-b0a0-d366e8524f3e.pdf"/>
        <s v="https://mpesije.jne.gob.pe/apidocs/62a21092-cc55-4650-bc4d-1bdd8881a12c.pdf"/>
        <s v="https://mpesije.jne.gob.pe/apidocs/41f91401-16a2-4b40-8a73-f982e16b33a1.pdf"/>
        <s v="https://mpesije.jne.gob.pe/apidocs/5c297464-cc25-4d7e-922e-61a9d88943d1.pdf"/>
        <s v="https://mpesije.jne.gob.pe/apidocs/c709b840-8691-4d90-9c8d-3119423e76d8.pdf"/>
        <s v="https://mpesije.jne.gob.pe/apidocs/c78fdbbe-1fd7-43a2-97e1-58773c00f24e.pdf"/>
        <s v="https://mpesije.jne.gob.pe/apidocs/e993201b-7cef-4a0f-a4eb-73252cf33ffc.pdf"/>
        <s v="https://mpesije.jne.gob.pe/apidocs/88c12820-5e45-42c4-ae0c-a4e70f54e695.pdf"/>
        <s v="https://mpesije.jne.gob.pe/apidocs/20a3a65b-0460-4a06-bcee-505c19fcc859.pdf"/>
        <s v="https://mpesije.jne.gob.pe/apidocs/c5435b9e-d8c7-48d7-88f7-17de4e8128a3.pdf"/>
        <s v="https://mpesije.jne.gob.pe/apidocs/3aef188a-2b78-47e9-954a-7ce011e081a1.pdf"/>
        <s v="https://mpesije.jne.gob.pe/apidocs/811824b7-1dc0-4038-8ec9-6bc810d66b63.pdf"/>
        <s v="https://mpesije.jne.gob.pe/apidocs/50847803-d4db-4c55-83cf-c259cb9e73f7.pdf"/>
        <s v="https://mpesije.jne.gob.pe/apidocs/c03536e0-392f-478d-9dfc-ef19c457f090.pdf"/>
        <s v="https://mpesije.jne.gob.pe/apidocs/8bcee026-27d0-4f75-a598-489ac1865236.pdf"/>
        <s v="https://mpesije.jne.gob.pe/apidocs/da6774e7-e804-4f18-9833-92a96dd8327c.pdf"/>
        <s v="https://mpesije.jne.gob.pe/apidocs/2694f248-1961-4fba-ad56-4e1ec8c7036d.pdf"/>
        <s v="https://mpesije.jne.gob.pe/apidocs/8bab1060-4b59-4554-8594-417e77642abc.pdf"/>
        <s v="https://mpesije.jne.gob.pe/apidocs/9a572382-76b7-4e3a-b18c-42910b21e3a8.pdf"/>
        <s v="https://mpesije.jne.gob.pe/apidocs/36ac23b8-d38e-4adc-82dd-7d7482e07946.pdf"/>
        <s v="https://mpesije.jne.gob.pe/apidocs/68a4c40f-86ec-4607-ba75-3f4d641885b1.pdf"/>
        <s v="https://mpesije.jne.gob.pe/apidocs/b23d4e58-4685-4a03-93dc-6b34da6ae9e3.pdf"/>
      </sharedItems>
    </cacheField>
    <cacheField name="TXNOMBREDOCUMENTO" numFmtId="0">
      <sharedItems>
        <s v="FUERZA POPULAR - 07750373.pdf"/>
        <s v="FUERZA POPULAR - 08571708.pdf"/>
        <s v="PARTIDO CIVICO OBRAS - 17930730.pdf"/>
        <s v=" - .pdf"/>
      </sharedItems>
    </cacheField>
    <cacheField name="EDAD" numFmtId="0">
      <sharedItems containsSemiMixedTypes="0" containsString="0" containsNumber="1" containsInteger="1">
        <n v="58.0"/>
        <n v="43.0"/>
        <n v="52.0"/>
        <n v="41.0"/>
        <n v="37.0"/>
        <n v="29.0"/>
        <n v="44.0"/>
        <n v="49.0"/>
        <n v="36.0"/>
        <n v="55.0"/>
        <n v="62.0"/>
        <n v="31.0"/>
        <n v="51.0"/>
        <n v="38.0"/>
        <n v="59.0"/>
        <n v="48.0"/>
        <n v="57.0"/>
        <n v="45.0"/>
        <n v="42.0"/>
        <n v="72.0"/>
        <n v="34.0"/>
        <n v="46.0"/>
        <n v="39.0"/>
        <n v="47.0"/>
        <n v="33.0"/>
        <n v="35.0"/>
        <n v="69.0"/>
        <n v="30.0"/>
        <n v="40.0"/>
        <n v="56.0"/>
        <n v="60.0"/>
        <n v="73.0"/>
        <n v="70.0"/>
        <n v="54.0"/>
        <n v="65.0"/>
        <n v="71.0"/>
        <n v="77.0"/>
        <n v="64.0"/>
        <n v="61.0"/>
        <n v="74.0"/>
      </sharedItems>
    </cacheField>
    <cacheField name="RANGO_EDAD" numFmtId="0">
      <sharedItems>
        <s v="50-59"/>
        <s v="40-49"/>
        <s v="30-39"/>
        <s v="18-29"/>
        <s v="60+"/>
      </sharedItems>
    </cacheField>
    <cacheField name="PAÍS_LIMPIO" numFmtId="0">
      <sharedItems>
        <s v="PERÚ"/>
        <s v="ESTADOS UNIDOS DE AMERICA"/>
      </sharedItems>
    </cacheField>
    <cacheField name="SEXO_LIMPIO" numFmtId="0">
      <sharedItems>
        <s v="FEMENINO"/>
        <s v="MASCULINO"/>
      </sharedItems>
    </cacheField>
    <cacheField name="DEP_NAC_LIMPIO" numFmtId="0">
      <sharedItems>
        <s v="AREQUIPA"/>
        <s v="AYACUCHO"/>
        <s v="LIMA"/>
        <s v="CUSCO"/>
        <s v="ANCASH"/>
        <s v="JUNIN"/>
        <s v="PUNO"/>
        <s v="UCAYALI"/>
        <s v="HUANUCO"/>
        <s v="PIURA"/>
        <s v="LAMBAYEQUE"/>
        <s v="AMAZONAS"/>
        <s v="LORETO"/>
        <s v="CAJAMARCA"/>
        <s v="PASCO"/>
        <s v="MADRE DE DIOS"/>
        <s v="MOQUEGUA"/>
        <s v="SAN MARTIN"/>
        <s v="LA LIBERTAD"/>
        <s v="ICA"/>
        <s v="APURIMAC"/>
        <s v="TUMBES"/>
        <s v="CALLAO"/>
        <s v="HONOLULU"/>
        <s v="EXTRANJERO"/>
      </sharedItems>
    </cacheField>
    <cacheField name="DISTRITO_ELEC_LIMPIO" numFmtId="0">
      <sharedItems>
        <s v="AREQUIPA"/>
        <s v="AYACUCHO"/>
        <s v="LIMA METROPOLITANA"/>
        <s v="CUSCO"/>
        <s v="ANCASH"/>
        <s v="JUNIN"/>
        <s v="PUNO"/>
        <s v="UCAYALI"/>
        <s v="SAN MARTIN"/>
        <s v="LIMA PROVINCIAS"/>
        <s v="HUANUCO"/>
        <s v="CALLAO"/>
        <s v="PIURA"/>
        <s v="LAMBAYEQUE"/>
        <s v="AMAZONAS"/>
        <s v="TUMBES"/>
        <s v="LA LIBERTAD"/>
        <s v="PERUANOS RESIDENTES EN EL EXTRANJERO"/>
        <s v="LORETO"/>
        <s v="CAJAMARCA"/>
        <s v="ÚNICO NACIONAL"/>
        <s v="PASCO"/>
        <s v="ICA"/>
        <s v="MADRE DE DIOS"/>
        <s v="TACNA"/>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000" sheet="08 INGRESOS"/>
  </cacheSource>
  <cacheFields>
    <cacheField name="ORGANIZACION_POLITICA" numFmtId="0">
      <sharedItems containsBlank="1">
        <s v="AHORA NACION - AN"/>
        <s v="FUERZA POPULAR"/>
        <s v="JUNTOS POR EL PERU"/>
        <s v="PARTIDO CIVICO OBRAS"/>
        <s v="PARTIDO DEL BUEN GOBIERNO"/>
        <s v="RENOVACION POPULAR"/>
        <m/>
      </sharedItems>
    </cacheField>
    <cacheField name="DNI_CANDIDATO" numFmtId="0">
      <sharedItems containsBlank="1">
        <s v="29569533"/>
        <s v="41618961"/>
        <s v="43592504"/>
        <s v="43572794"/>
        <s v="45218393"/>
        <s v="70665764"/>
        <s v="41840094"/>
        <s v="42839004"/>
        <s v="46307918"/>
        <s v="09391698"/>
        <s v="45382589"/>
        <s v="15984771"/>
        <s v="76030152"/>
        <s v="22509175"/>
        <s v="40224994"/>
        <s v="44807108"/>
        <s v="16650849"/>
        <s v="10587515"/>
        <s v="07750373"/>
        <s v="09536896"/>
        <s v="40826681"/>
        <s v="42433830"/>
        <s v="07268767"/>
        <s v="42516751"/>
        <s v="16448130"/>
        <s v="41919665"/>
        <s v="10187011"/>
        <s v="10028427"/>
        <s v="07737110"/>
        <s v="47000483"/>
        <s v="45721573"/>
        <s v="10792277"/>
        <s v="41408779"/>
        <s v="05414308"/>
        <s v="44275599"/>
        <s v="80328889"/>
        <s v="27424381"/>
        <s v="40433187"/>
        <s v="08571708"/>
        <s v="47654459"/>
        <s v="42551310"/>
        <s v="80387180"/>
        <s v="46432487"/>
        <s v="43845728"/>
        <s v="40855980"/>
        <s v="01223056"/>
        <s v="41711513"/>
        <s v="40093361"/>
        <s v="04810886"/>
        <s v="45442927"/>
        <s v="29313850"/>
        <s v="74638299"/>
        <s v="42135939"/>
        <s v="10536312"/>
        <s v="44908591"/>
        <s v="42984568"/>
        <s v="70163475"/>
        <s v="01320941"/>
        <s v="45327535"/>
        <s v="46602828"/>
        <s v="43170121"/>
        <s v="00482691"/>
        <s v="07654582"/>
        <s v="01545223"/>
        <s v="25001331"/>
        <s v="41242025"/>
        <s v="46089177"/>
        <s v="19995860"/>
        <s v="70074678"/>
        <s v="07793641"/>
        <s v="17930730"/>
        <s v="42188288"/>
        <s v="43478989"/>
        <s v="41356710"/>
        <s v="16629849"/>
        <s v="10277219"/>
        <s v="31038213"/>
        <s v="08573694"/>
        <s v="29715400"/>
        <s v="29311981"/>
        <s v="02819812"/>
        <s v="06296745"/>
        <s v="76871362"/>
        <s v="45741388"/>
        <s v="40067839"/>
        <s v="43348625"/>
        <s v="70747151"/>
        <s v="09937296"/>
        <s v="46847115"/>
        <s v="07974594"/>
        <s v="07744156"/>
        <s v="43401219"/>
        <s v="46548697"/>
        <s v="45363882"/>
        <s v="10275564"/>
        <s v="41010370"/>
        <s v="08878867"/>
        <s v="10806296"/>
        <s v="44689086"/>
        <s v="07026029"/>
        <m/>
      </sharedItems>
    </cacheField>
    <cacheField name="CANDIDATO" numFmtId="0">
      <sharedItems containsBlank="1">
        <s v="ARMINTA VALENCIA, MARLENY BIBIANA"/>
        <s v="BUITRON MARTINEZ, FRESHMAN"/>
        <s v="COLCHADO HUAMANI, HARVEY JULIO"/>
        <s v="HOLGUIN LOAIZA, CESAR AUGUSTO"/>
        <s v="HUILCA FLORES, INDIRA ISABEL"/>
        <s v="MANRIQUE OLIVERA, BERNARDINO JAIR"/>
        <s v="MARCELO SALAZAR, JOSE MIGUEL"/>
        <s v="MUEDAS BALBIESE, CESAR AUGUSTO"/>
        <s v="SONCO VILLANUEVA, HELARD BLADIMIR"/>
        <s v="ABENSUR PINASCO, JAIME AMERICO"/>
        <s v="ALEGRIA GARCIA, LUIS ARTURO"/>
        <s v="ANDRADE SALGUERO DE ALVAREZ, GLADYS GRISELDA"/>
        <s v="BARBARAN REYES, ROSANGELLA ANDREA"/>
        <s v="BETETA RUBIN, KARINA JULIZA"/>
        <s v="BOBADILLA GALINDO, ANGEL BRUNO"/>
        <s v="CASTILLO RIVAS, EDUARDO ENRIQUE"/>
        <s v="CASTRO CRUZ, JAVIER ALEJANDRO"/>
        <s v="CASTRO GRANDEZ, ROYSER"/>
        <s v="CELIZ CASTILLO, RAFAEL ALDO"/>
        <s v="CHACON DE VETTORI, CECILIA ISABEL"/>
        <s v="COLUMBUS MURATA, DIETHELL"/>
        <s v="DODERO JOVICH, PIERANGELI DANIELA"/>
        <s v="FIGARI MENDOZA, PIER PAOLO"/>
        <s v="GAMARRA PITA, LUZMILA MARIA DEL CARMEN"/>
        <s v="INFANTES CASTAÑEDA, MERY ELIANA"/>
        <s v="LEIVA BAYLON, LETICIA MARUJA"/>
        <s v="MENDOZA BERNEDO, LIZ HULI"/>
        <s v="NAVAS SANCHEZ, JESSICA LIZBETH"/>
        <s v="OBANDO MORGAN, AURISTELA ANA"/>
        <s v="PACHECO QUISPE, MARCO ANTONIO"/>
        <s v="PALMA MENDOZA, JOSE MARVIN"/>
        <s v="PATIÑO URCO, ANA BERTHA"/>
        <s v="PAUCARA PAXI, CARMELA"/>
        <s v="PINASCO MONTENEGRO, NARY BENVINDA"/>
        <s v="REVILLA VILLANUEVA, CESAR MANUEL"/>
        <s v="SALAS RIVERA, ALEXANDER"/>
        <s v="TICLLA RAFAEL, SEGUNDO SENOVIO"/>
        <s v="TORRES MORALES, MIGUEL ANGEL"/>
        <s v="TRUJILLO ZEGARRA, GILMER"/>
        <s v="VALQUI ORDOÑEZ, JHONN BRAYAM"/>
        <s v="VIDAURRE FLORIDAS, CESAR MANUEL"/>
        <s v="ZEGARRA SANCHEZ, CARLOS ALBERTO"/>
        <s v="AGUIRRE RAMOS, MARLON ALBERTO"/>
        <s v="AMBROSIO DOMINGUEZ, YULI LILIANA"/>
        <s v="AVENDAÑO VILCA, GIANNINA IRIS"/>
        <s v="CONDORI FLORES, REMIGIO"/>
        <s v="FLORES VALDIZAN, MARCO ANTONIO"/>
        <s v="GONZALES DELGADO, GABRIEL ROBERTINO"/>
        <s v="HOLGUIN AGUIRRE, JAMES ARTURO"/>
        <s v="MARQUEZ HUANCA, ANALI"/>
        <s v="PALOMINO PACHECO, AMALIA EMILIA"/>
        <s v="PAREDES NAVARRO, YENIFER NOELIA"/>
        <s v="PEÑA CORDOVA, OLVER"/>
        <s v="PEREZ MALLQUI, JULIAN LUIS"/>
        <s v="PEREZ QUISPE, JESSICA SADITH"/>
        <s v="POMA HUAMANI, HAYDEE CELINDA"/>
        <s v="TAPULLIMA INSAPILLO, JACQUELINE VIVIANA"/>
        <s v="TITO ROJAS, CESAR HUGO"/>
        <s v="ZUNINI YERREN, ERNESTO ALONZO"/>
        <s v="ALBAÑIL CARMONA, HENRY ANTONIO"/>
        <s v="ALVARON DE LA CRUZ, EDGAR ADRIAN"/>
        <s v="CABRERA NIETO, JUAN CESAR"/>
        <s v="EUSEBIO PADILLA, ARTURO CESAR"/>
        <s v="HANCCO HANCCO, DINA IRENE"/>
        <s v="LOPEZ LETONA, HEBER"/>
        <s v="MASCO CACERES, LUIS AURELIO"/>
        <s v="MEDINA STEIN, ANDREA DAYNA"/>
        <s v="PERALTA JORPA, MAXIMO"/>
        <s v="PIÑAN MAMANI, VICTOR EDUARDO"/>
        <s v="SAMANEZ GONZALES VIGIL, JEENNY CRISTINA"/>
        <s v="VALQUI CALDERON, DEMETRIO FLAVIO"/>
        <s v="YATACO TORREALVA, JOSE RICARDO"/>
        <s v="ALAYZA MACCERA, ROSSANA HERMINIA"/>
        <s v="BENITEZ BARRIONUEVO, JESSICA"/>
        <s v="CASTREJON FERNANDEZ, SEGUNDO JUAN"/>
        <s v="DUARTE PATIÑO DE PEZET, CARMEN GEORGINA"/>
        <s v="FERNANDEZ DE LA TORRE, HILDA JUDIT"/>
        <s v="GARCIA HUBY, FERNANDO ALBERTO"/>
        <s v="GONZALES POLAR, EDGAR DEMBER"/>
        <s v="HIRACHE PIZARRO, GLORIA CHARITO"/>
        <s v="HUAMAN CORNEJO, MIGUEL FELIX"/>
        <s v="LLAQUE LINARES, NORA MARIA"/>
        <s v="MOLINA SOTO, NATHALY MILAGROS"/>
        <s v="PRADO VALLEJOS, LILA MARIANELA"/>
        <s v="QUISPE CANDIA, LUIS ELISEO"/>
        <s v="RETO OTERO, OSCAR DE JESUS"/>
        <s v="ARANDA VASQUEZ, CHRISTIAN"/>
        <s v="BAELLA MALCA, JOSE ISIDRO"/>
        <s v="BAZAN CALDERON, DIEGO ALONSO FERNANDO"/>
        <s v="CHANG APUY, FELIX SEE HUNG"/>
        <s v="CIPRIANI THORNE, JAVIER JOSE MARIA"/>
        <s v="DE PAZ LANCHO, LEO MIGUEL"/>
        <s v="KRKLEC TORRES, FRANK"/>
        <s v="MARTINEZ PAITAN, PAOLA ISABEL"/>
        <s v="ROCHA GALLEGOS, ROXANA MARIA"/>
        <s v="SEGURA FIGUEROA, GUSTAVO ALEXANDER"/>
        <s v="YALTA SOTELO, CARLOS ALBERTO"/>
        <s v="YARROW LUMBRERAS, NORMA MARTINA"/>
        <s v="YONZ NUÑEZ, MADY VERONICA"/>
        <s v="ZEBALLOS APONTE, JORGE ARTURO"/>
        <m/>
      </sharedItems>
    </cacheField>
    <cacheField name="TIENE_INGRESOS" numFmtId="0">
      <sharedItems containsBlank="1">
        <s v="SI"/>
        <s v="NO"/>
        <m/>
      </sharedItems>
    </cacheField>
    <cacheField name="AÑO" numFmtId="0">
      <sharedItems containsBlank="1">
        <s v="2024"/>
        <m/>
      </sharedItems>
    </cacheField>
    <cacheField name="REMUNERACION_BRUTA_PUBLICA" numFmtId="0">
      <sharedItems containsString="0" containsBlank="1" containsNumber="1">
        <n v="0.0"/>
        <n v="119920.0"/>
        <n v="286851.01"/>
        <n v="419852.12"/>
        <n v="105730.94"/>
        <n v="312206.4"/>
        <n v="389981.98"/>
        <n v="427249.6"/>
        <n v="234043.22"/>
        <n v="302919.79"/>
        <n v="187200.0"/>
        <n v="191612.38"/>
        <m/>
        <n v="1098.0"/>
        <n v="411650.0"/>
        <n v="121208.44"/>
        <n v="168165.0"/>
        <n v="499484.0"/>
        <n v="319383.9"/>
        <n v="248592.18"/>
        <n v="136500.0"/>
        <n v="120000.0"/>
        <n v="138000.0"/>
        <n v="11363.0"/>
        <n v="96127.79"/>
        <n v="43000.0"/>
        <n v="44000.0"/>
        <n v="12000.0"/>
        <n v="40920.0"/>
        <n v="112316.0"/>
        <n v="43448.4"/>
        <n v="48000.0"/>
        <n v="66000.0"/>
        <n v="54000.0"/>
        <n v="60000.0"/>
        <n v="26400.0"/>
        <n v="127560.0"/>
        <n v="258624.57"/>
        <n v="293089.03"/>
        <n v="140906.67"/>
        <n v="218400.0"/>
      </sharedItems>
    </cacheField>
    <cacheField name="REMUNERACION_BRUTA_PRIVADA" numFmtId="0">
      <sharedItems containsString="0" containsBlank="1" containsNumber="1">
        <n v="0.0"/>
        <n v="18000.0"/>
        <n v="26643.0"/>
        <n v="20000.0"/>
        <n v="6150.0"/>
        <n v="22550.0"/>
        <n v="56958.0"/>
        <n v="55458.21"/>
        <n v="48000.0"/>
        <n v="19230.0"/>
        <m/>
        <n v="21270.0"/>
        <n v="27990.0"/>
        <n v="13500.0"/>
        <n v="263509.97"/>
        <n v="61500.0"/>
        <n v="24000.0"/>
        <n v="3400.0"/>
        <n v="20100.0"/>
        <n v="18235.0"/>
        <n v="40000.0"/>
        <n v="5000.0"/>
        <n v="84000.0"/>
        <n v="10338.0"/>
        <n v="67500.0"/>
        <n v="12300.0"/>
        <n v="12668.43"/>
        <n v="30000.0"/>
      </sharedItems>
    </cacheField>
    <cacheField name="RENTA_INDIVIDUAL_PUBLICA" numFmtId="0">
      <sharedItems containsString="0" containsBlank="1" containsNumber="1">
        <n v="0.0"/>
        <n v="76000.0"/>
        <n v="60000.0"/>
        <m/>
        <n v="112256.09"/>
        <n v="253500.0"/>
        <n v="54000.0"/>
        <n v="60166.33"/>
        <n v="47700.0"/>
        <n v="21333.0"/>
        <n v="78000.0"/>
        <n v="23200.0"/>
        <n v="48000.0"/>
        <n v="7500.0"/>
        <n v="51480.0"/>
        <n v="51840.0"/>
      </sharedItems>
    </cacheField>
    <cacheField name="RENTA_INDIVIDUAL_PRIVADA" numFmtId="0">
      <sharedItems containsString="0" containsBlank="1" containsNumber="1">
        <n v="0.0"/>
        <n v="12000.0"/>
        <n v="44000.0"/>
        <n v="14799.0"/>
        <n v="70000.0"/>
        <n v="30000.0"/>
        <n v="24000.0"/>
        <n v="25850.0"/>
        <n v="37862.0"/>
        <n v="66511.0"/>
        <n v="2274.0"/>
        <n v="8508.0"/>
        <n v="36848.0"/>
        <m/>
        <n v="8000.0"/>
        <n v="41200.0"/>
        <n v="30700.0"/>
        <n v="48000.0"/>
        <n v="80000.0"/>
        <n v="7000.0"/>
        <n v="20000.0"/>
        <n v="34736.0"/>
        <n v="84000.0"/>
        <n v="97260.0"/>
        <n v="301000.0"/>
        <n v="50000.0"/>
        <n v="106676.09"/>
        <n v="6000.0"/>
        <n v="500.0"/>
        <n v="10000.0"/>
        <n v="3600.0"/>
        <n v="55000.0"/>
        <n v="9640.0"/>
        <n v="36000.0"/>
        <n v="22500.0"/>
        <n v="3000.0"/>
        <n v="212500.0"/>
        <n v="127000.0"/>
      </sharedItems>
    </cacheField>
    <cacheField name="OTRO_INGRESO_PUBLICO" numFmtId="0">
      <sharedItems containsString="0" containsBlank="1" containsNumber="1">
        <n v="51480.0"/>
        <n v="0.0"/>
        <n v="164983.22"/>
        <n v="250256.64"/>
        <m/>
        <n v="2792.0"/>
        <n v="52400.0"/>
        <n v="108000.0"/>
        <n v="1000.0"/>
        <n v="249779.97"/>
        <n v="30600.0"/>
        <n v="38122.5"/>
        <n v="200648.64"/>
      </sharedItems>
    </cacheField>
    <cacheField name="OTRO_INGRESO_PRIVADO" numFmtId="0">
      <sharedItems containsString="0" containsBlank="1" containsNumber="1" containsInteger="1">
        <n v="11200.0"/>
        <n v="0.0"/>
        <n v="5200.0"/>
        <n v="10000.0"/>
        <n v="244068.0"/>
        <n v="63200.0"/>
        <m/>
        <n v="30946.0"/>
        <n v="93500.0"/>
        <n v="111720.0"/>
        <n v="40000.0"/>
        <n v="3600.0"/>
        <n v="15000.0"/>
        <n v="3000000.0"/>
        <n v="33600.0"/>
        <n v="36000.0"/>
        <n v="12000.0"/>
        <n v="20232.0"/>
        <n v="168000.0"/>
        <n v="19000.0"/>
        <n v="90490.0"/>
        <n v="3300.0"/>
        <n v="29400.0"/>
      </sharedItems>
    </cacheField>
    <cacheField name="INGRESO TOTAL" numFmtId="0">
      <sharedItems containsString="0" containsBlank="1" containsNumber="1">
        <n v="62680.0"/>
        <n v="30000.0"/>
        <n v="125120.0"/>
        <n v="70643.0"/>
        <n v="14799.0"/>
        <n v="70000.0"/>
        <n v="76000.0"/>
        <n v="60000.0"/>
        <n v="24000.0"/>
        <n v="451834.23"/>
        <n v="419852.12"/>
        <n v="131580.94"/>
        <n v="312206.4"/>
        <n v="634049.98"/>
        <n v="427249.6"/>
        <n v="44012.0"/>
        <n v="85750.0"/>
        <n v="234043.22"/>
        <n v="123469.0"/>
        <n v="360652.0"/>
        <n v="8508.0"/>
        <n v="84848.0"/>
        <n v="19230.0"/>
        <n v="437456.64"/>
        <n v="191612.38"/>
        <n v="0.0"/>
        <n v="116146.09"/>
        <n v="442596.0"/>
        <n v="173608.44"/>
        <n v="114770.0"/>
        <n v="253500.0"/>
        <n v="168165.0"/>
        <n v="147710.0"/>
        <n v="499484.0"/>
        <n v="41200.0"/>
        <n v="121500.0"/>
        <n v="613593.87"/>
        <n v="259792.18"/>
        <n v="102000.0"/>
        <n v="136500.0"/>
        <n v="120000.0"/>
        <n v="141500.0"/>
        <n v="138000.0"/>
        <n v="67166.33"/>
        <n v="11363.0"/>
        <n v="96127.79"/>
        <n v="43000.0"/>
        <n v="3400.0"/>
        <n v="45000.0"/>
        <n v="40000.0"/>
        <n v="47700.0"/>
        <n v="12000.0"/>
        <n v="45520.0"/>
        <n v="112316.0"/>
        <n v="41333.0"/>
        <n v="34736.0"/>
        <n v="84000.0"/>
        <n v="97260.0"/>
        <n v="58448.4"/>
        <n v="20100.0"/>
        <n v="3319000.0"/>
        <n v="50000.0"/>
        <n v="48000.0"/>
        <n v="106676.09"/>
        <n v="90000.0"/>
        <n v="6000.0"/>
        <n v="41935.0"/>
        <n v="71000.0"/>
        <n v="57600.0"/>
        <n v="33600.0"/>
        <n v="36000.0"/>
        <n v="67000.0"/>
        <n v="19978.0"/>
        <n v="110232.0"/>
        <n v="10500.0"/>
        <n v="63000.0"/>
        <n v="168000.0"/>
        <n v="38700.0"/>
        <n v="127560.0"/>
        <n v="455979.97"/>
        <n v="90490.0"/>
        <n v="212500.0"/>
        <n v="51480.0"/>
        <n v="271293.0"/>
        <n v="296389.03"/>
        <n v="81240.0"/>
        <n v="157600.0"/>
        <n v="179029.17"/>
        <n v="419048.64"/>
        <n v="187200.0"/>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_DP_ORG" cacheId="0" dataCaption="" compact="0" compactData="0">
  <location ref="A1:D9" firstHeaderRow="0" firstDataRow="1" firstDataCol="1"/>
  <pivotFields>
    <pivotField name="ORGANIZACION_POLITICA" axis="axisRow" compact="0" outline="0" multipleItemSelectionAllowed="1" showAll="0" sortType="ascending">
      <items>
        <item x="0"/>
        <item x="1"/>
        <item x="2"/>
        <item x="3"/>
        <item x="4"/>
        <item x="5"/>
        <item t="default"/>
      </items>
    </pivotField>
    <pivotField name="DNI_CANDIDAT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CANDIDA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DOCUMENTO_IDENTIDA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APELLIDO_PATER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APELLIDO_MATER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NOMB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SEXO" compact="0" outline="0" multipleItemSelectionAllowed="1" showAll="0">
      <items>
        <item x="0"/>
        <item x="1"/>
        <item t="default"/>
      </items>
    </pivotField>
    <pivotField name="FECHA_NAC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PAIS_NACIMIENTO" compact="0" outline="0" multipleItemSelectionAllowed="1" showAll="0">
      <items>
        <item x="0"/>
        <item x="1"/>
        <item x="2"/>
        <item t="default"/>
      </items>
    </pivotField>
    <pivotField name="DEPARTAMENTO_NAC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ROVINCIA_NAC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DISTRITO_NAC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PRIMER_CARGO_ELECCION" compact="0" outline="0" multipleItemSelectionAllowed="1" showAll="0">
      <items>
        <item x="0"/>
        <item x="1"/>
        <item x="2"/>
        <item t="default"/>
      </items>
    </pivotField>
    <pivotField name="SEGUNDO_CARGO_ELECION" compact="0" outline="0" multipleItemSelectionAllowed="1" showAll="0">
      <items>
        <item x="0"/>
        <item x="1"/>
        <item x="2"/>
        <item t="default"/>
      </items>
    </pivotField>
    <pivotField name="DISTRITO_ELE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INFORMACION_COMPLEMENTARIA" compact="0" outline="0" multipleItemSelectionAllowed="1" showAll="0">
      <items>
        <item x="0"/>
        <item x="1"/>
        <item t="default"/>
      </items>
    </pivotField>
    <pivotField name="URL_FO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TXRUTAVIRTU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TXNOMBREDOCUMENTO" compact="0" outline="0" multipleItemSelectionAllowed="1" showAll="0">
      <items>
        <item x="0"/>
        <item x="1"/>
        <item x="2"/>
        <item x="3"/>
        <item t="default"/>
      </items>
    </pivotField>
    <pivotField name="EDA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RANGO_EDAD" compact="0" outline="0" multipleItemSelectionAllowed="1" showAll="0">
      <items>
        <item x="0"/>
        <item x="1"/>
        <item x="2"/>
        <item x="3"/>
        <item x="4"/>
        <item t="default"/>
      </items>
    </pivotField>
    <pivotField name="PAÍS_LIMPIO" compact="0" outline="0" multipleItemSelectionAllowed="1" showAll="0">
      <items>
        <item x="0"/>
        <item x="1"/>
        <item t="default"/>
      </items>
    </pivotField>
    <pivotField name="SEXO_LIMPIO" axis="axisCol" compact="0" outline="0" multipleItemSelectionAllowed="1" showAll="0" sortType="ascending">
      <items>
        <item x="0"/>
        <item x="1"/>
        <item t="default"/>
      </items>
    </pivotField>
    <pivotField name="DEP_NAC_LIMP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DISTRITO_ELEC_LIMP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s>
  <rowFields>
    <field x="0"/>
  </rowFields>
  <colFields>
    <field x="23"/>
  </colFields>
  <dataFields>
    <dataField name="COUNTA of DNI_CANDIDATO" fld="1" subtotal="count" baseField="0"/>
  </dataFields>
</pivotTableDefinition>
</file>

<file path=xl/pivotTables/pivotTable2.xml><?xml version="1.0" encoding="utf-8"?>
<pivotTableDefinition xmlns="http://schemas.openxmlformats.org/spreadsheetml/2006/main" name="PIVOT_DP_ORG 2" cacheId="0" dataCaption="" compact="0" compactData="0">
  <location ref="A11:D18" firstHeaderRow="0" firstDataRow="2" firstDataCol="0"/>
  <pivotFields>
    <pivotField name="ORGANIZACION_POLITICA" axis="axisRow" compact="0" outline="0" multipleItemSelectionAllowed="1" showAll="0" sortType="ascending">
      <items>
        <item x="0"/>
        <item x="1"/>
        <item x="2"/>
        <item x="3"/>
        <item x="4"/>
        <item x="5"/>
        <item t="default"/>
      </items>
    </pivotField>
    <pivotField name="DNI_CANDIDA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CANDIDA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DOCUMENTO_IDENTIDA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APELLIDO_PATER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APELLIDO_MATER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t="default"/>
      </items>
    </pivotField>
    <pivotField name="NOMB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SEXO" compact="0" outline="0" multipleItemSelectionAllowed="1" showAll="0">
      <items>
        <item x="0"/>
        <item x="1"/>
        <item t="default"/>
      </items>
    </pivotField>
    <pivotField name="FECHA_NAC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PAIS_NACIMIENTO" compact="0" outline="0" multipleItemSelectionAllowed="1" showAll="0">
      <items>
        <item x="0"/>
        <item x="1"/>
        <item x="2"/>
        <item t="default"/>
      </items>
    </pivotField>
    <pivotField name="DEPARTAMENTO_NAC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PROVINCIA_NAC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DISTRITO_NACIMIEN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PRIMER_CARGO_ELECCION" compact="0" outline="0" multipleItemSelectionAllowed="1" showAll="0">
      <items>
        <item x="0"/>
        <item x="1"/>
        <item x="2"/>
        <item t="default"/>
      </items>
    </pivotField>
    <pivotField name="SEGUNDO_CARGO_ELECION" compact="0" outline="0" multipleItemSelectionAllowed="1" showAll="0">
      <items>
        <item x="0"/>
        <item x="1"/>
        <item x="2"/>
        <item t="default"/>
      </items>
    </pivotField>
    <pivotField name="DISTRITO_ELE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INFORMACION_COMPLEMENTARIA" compact="0" outline="0" multipleItemSelectionAllowed="1" showAll="0">
      <items>
        <item x="0"/>
        <item x="1"/>
        <item t="default"/>
      </items>
    </pivotField>
    <pivotField name="URL_FO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TXRUTAVIRTU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TXNOMBREDOCUMENTO" compact="0" outline="0" multipleItemSelectionAllowed="1" showAll="0">
      <items>
        <item x="0"/>
        <item x="1"/>
        <item x="2"/>
        <item x="3"/>
        <item t="default"/>
      </items>
    </pivotField>
    <pivotField name="EDA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RANGO_EDAD" compact="0" outline="0" multipleItemSelectionAllowed="1" showAll="0">
      <items>
        <item x="0"/>
        <item x="1"/>
        <item x="2"/>
        <item x="3"/>
        <item x="4"/>
        <item t="default"/>
      </items>
    </pivotField>
    <pivotField name="PAÍS_LIMPIO" compact="0" outline="0" multipleItemSelectionAllowed="1" showAll="0">
      <items>
        <item x="0"/>
        <item x="1"/>
        <item t="default"/>
      </items>
    </pivotField>
    <pivotField name="SEXO_LIMPIO" compact="0" outline="0" multipleItemSelectionAllowed="1" showAll="0">
      <items>
        <item x="0"/>
        <item x="1"/>
        <item t="default"/>
      </items>
    </pivotField>
    <pivotField name="DEP_NAC_LIMP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DISTRITO_ELEC_LIMPI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s>
  <rowFields>
    <field x="0"/>
  </rowFields>
  <colFields>
    <field x="-2"/>
  </colFields>
  <dataFields>
    <dataField name="AVERAGE of EDAD" fld="20" subtotal="average" baseField="0"/>
    <dataField name="MIN of EDAD" fld="20" subtotal="min" baseField="0"/>
    <dataField name="MAX of EDAD" fld="20" subtotal="max" baseField="0"/>
  </dataFields>
</pivotTableDefinition>
</file>

<file path=xl/pivotTables/pivotTable3.xml><?xml version="1.0" encoding="utf-8"?>
<pivotTableDefinition xmlns="http://schemas.openxmlformats.org/spreadsheetml/2006/main" name="Pivot Table 5" cacheId="1" dataCaption="" compact="0" compactData="0">
  <location ref="A1:H103" firstHeaderRow="0" firstDataRow="2" firstDataCol="0"/>
  <pivotFields>
    <pivotField name="ORGANIZACION_POLITICA" compact="0" outline="0" multipleItemSelectionAllowed="1" showAll="0">
      <items>
        <item x="0"/>
        <item x="1"/>
        <item x="2"/>
        <item x="3"/>
        <item x="4"/>
        <item x="5"/>
        <item x="6"/>
        <item t="default"/>
      </items>
    </pivotField>
    <pivotField name="DNI_CANDIDA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CANDIDATO" axis="axisRow" compact="0" outline="0" multipleItemSelectionAllowed="1" showAll="0" sortType="ascending">
      <items>
        <item x="100"/>
        <item x="9"/>
        <item x="42"/>
        <item x="72"/>
        <item x="59"/>
        <item x="10"/>
        <item x="60"/>
        <item x="43"/>
        <item x="11"/>
        <item x="86"/>
        <item x="0"/>
        <item x="44"/>
        <item x="87"/>
        <item x="12"/>
        <item x="88"/>
        <item x="73"/>
        <item x="13"/>
        <item x="14"/>
        <item x="1"/>
        <item x="61"/>
        <item x="15"/>
        <item x="74"/>
        <item x="16"/>
        <item x="17"/>
        <item x="18"/>
        <item x="19"/>
        <item x="89"/>
        <item x="90"/>
        <item x="2"/>
        <item x="20"/>
        <item x="45"/>
        <item x="91"/>
        <item x="21"/>
        <item x="75"/>
        <item x="62"/>
        <item x="76"/>
        <item x="22"/>
        <item x="46"/>
        <item x="23"/>
        <item x="77"/>
        <item x="47"/>
        <item x="78"/>
        <item x="63"/>
        <item x="79"/>
        <item x="48"/>
        <item x="3"/>
        <item x="80"/>
        <item x="4"/>
        <item x="24"/>
        <item x="92"/>
        <item x="25"/>
        <item x="81"/>
        <item x="64"/>
        <item x="5"/>
        <item x="6"/>
        <item x="49"/>
        <item x="93"/>
        <item x="65"/>
        <item x="66"/>
        <item x="26"/>
        <item x="82"/>
        <item x="7"/>
        <item x="27"/>
        <item x="28"/>
        <item x="29"/>
        <item x="30"/>
        <item x="50"/>
        <item x="51"/>
        <item x="31"/>
        <item x="32"/>
        <item x="52"/>
        <item x="67"/>
        <item x="53"/>
        <item x="54"/>
        <item x="68"/>
        <item x="33"/>
        <item x="55"/>
        <item x="83"/>
        <item x="84"/>
        <item x="85"/>
        <item x="34"/>
        <item x="94"/>
        <item x="35"/>
        <item x="69"/>
        <item x="95"/>
        <item x="8"/>
        <item x="56"/>
        <item x="36"/>
        <item x="57"/>
        <item x="37"/>
        <item x="38"/>
        <item x="70"/>
        <item x="39"/>
        <item x="40"/>
        <item x="96"/>
        <item x="97"/>
        <item x="71"/>
        <item x="98"/>
        <item x="99"/>
        <item x="41"/>
        <item x="58"/>
        <item t="default"/>
      </items>
    </pivotField>
    <pivotField name="TIENE_INGRESOS" compact="0" outline="0" multipleItemSelectionAllowed="1" showAll="0">
      <items>
        <item x="0"/>
        <item x="1"/>
        <item x="2"/>
        <item t="default"/>
      </items>
    </pivotField>
    <pivotField name="AÑO" compact="0" outline="0" multipleItemSelectionAllowed="1" showAll="0">
      <items>
        <item x="0"/>
        <item x="1"/>
        <item t="default"/>
      </items>
    </pivotField>
    <pivotField name="REMUNERACION_BRUTA_PUBLIC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REMUNERACION_BRUTA_PRIVAD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RENTA_INDIVIDUAL_PUBLICA" dataField="1" compact="0" outline="0" multipleItemSelectionAllowed="1" showAll="0">
      <items>
        <item x="0"/>
        <item x="1"/>
        <item x="2"/>
        <item x="3"/>
        <item x="4"/>
        <item x="5"/>
        <item x="6"/>
        <item x="7"/>
        <item x="8"/>
        <item x="9"/>
        <item x="10"/>
        <item x="11"/>
        <item x="12"/>
        <item x="13"/>
        <item x="14"/>
        <item x="15"/>
        <item t="default"/>
      </items>
    </pivotField>
    <pivotField name="RENTA_INDIVIDUAL_PRIVAD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OTRO_INGRESO_PUBLICO" dataField="1" compact="0" outline="0" multipleItemSelectionAllowed="1" showAll="0">
      <items>
        <item x="0"/>
        <item x="1"/>
        <item x="2"/>
        <item x="3"/>
        <item x="4"/>
        <item x="5"/>
        <item x="6"/>
        <item x="7"/>
        <item x="8"/>
        <item x="9"/>
        <item x="10"/>
        <item x="11"/>
        <item x="12"/>
        <item t="default"/>
      </items>
    </pivotField>
    <pivotField name="OTRO_INGRESO_PRIVADO" dataField="1"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INGRESO 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2"/>
  </rowFields>
  <colFields>
    <field x="-2"/>
  </colFields>
  <dataFields>
    <dataField name="SUM of INGRESO TOTAL" fld="11" baseField="0"/>
    <dataField name="SUM of REMUNERACION_BRUTA_PUBLICA" fld="5" baseField="0"/>
    <dataField name="SUM of REMUNERACION_BRUTA_PRIVADA" fld="6" baseField="0"/>
    <dataField name="SUM of RENTA_INDIVIDUAL_PUBLICA" fld="7" baseField="0"/>
    <dataField name="SUM of RENTA_INDIVIDUAL_PRIVADA" fld="8" baseField="0"/>
    <dataField name="SUM of OTRO_INGRESO_PUBLICO" fld="9" baseField="0"/>
    <dataField name="SUM of OTRO_INGRESO_PRIVADO" fld="10"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8.71"/>
    <col customWidth="1" min="23" max="24" width="16.29"/>
    <col customWidth="1" min="25" max="27"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3" t="s">
        <v>21</v>
      </c>
      <c r="W1" s="3" t="s">
        <v>22</v>
      </c>
      <c r="X1" s="3" t="s">
        <v>23</v>
      </c>
      <c r="Y1" s="3" t="s">
        <v>24</v>
      </c>
      <c r="Z1" s="3" t="s">
        <v>25</v>
      </c>
      <c r="AA1" s="4"/>
    </row>
    <row r="2">
      <c r="A2" s="5" t="s">
        <v>26</v>
      </c>
      <c r="B2" s="5" t="s">
        <v>27</v>
      </c>
      <c r="C2" s="5" t="s">
        <v>28</v>
      </c>
      <c r="D2" s="5" t="s">
        <v>27</v>
      </c>
      <c r="E2" s="5" t="s">
        <v>29</v>
      </c>
      <c r="F2" s="5" t="s">
        <v>30</v>
      </c>
      <c r="G2" s="5" t="s">
        <v>31</v>
      </c>
      <c r="H2" s="5" t="s">
        <v>32</v>
      </c>
      <c r="I2" s="5" t="s">
        <v>33</v>
      </c>
      <c r="J2" s="5" t="s">
        <v>34</v>
      </c>
      <c r="K2" s="5" t="s">
        <v>35</v>
      </c>
      <c r="L2" s="5" t="s">
        <v>35</v>
      </c>
      <c r="M2" s="5" t="s">
        <v>35</v>
      </c>
      <c r="N2" s="5" t="s">
        <v>36</v>
      </c>
      <c r="P2" s="5" t="s">
        <v>35</v>
      </c>
      <c r="R2" s="5" t="s">
        <v>37</v>
      </c>
      <c r="S2" s="5" t="s">
        <v>38</v>
      </c>
      <c r="T2" s="5" t="str">
        <f>CONCATENATE(A20," - ",B20,".pdf")</f>
        <v>FUERZA POPULAR - 07750373.pdf</v>
      </c>
      <c r="U2" s="4">
        <f t="shared" ref="U2:U101" si="1">IF(I2="","",DATEDIF(DATE(VALUE(RIGHT(I2,4)),VALUE(MID(I2,4,2)),VALUE(LEFT(I2,2))),TODAY(),"Y"))</f>
        <v>58</v>
      </c>
      <c r="V2" s="4" t="str">
        <f t="shared" ref="V2:V101" si="2">IF(U2="","",IF(U2&lt;30,"18-29",IF(U2&lt;40,"30-39",IF(U2&lt;50,"40-49",IF(U2&lt;60,"50-59","60+")))))</f>
        <v>50-59</v>
      </c>
      <c r="W2" s="4" t="str">
        <f t="shared" ref="W2:W101" si="3">IF(UPPER(TRIM(J2))="PERU","PERÚ",UPPER(TRIM(J2)))</f>
        <v>PERÚ</v>
      </c>
      <c r="X2" s="4" t="str">
        <f t="shared" ref="X2:X101" si="4">UPPER(TRIM(H2))</f>
        <v>FEMENINO</v>
      </c>
      <c r="Y2" s="4" t="str">
        <f t="shared" ref="Y2:Y100" si="5">UPPER(TRIM(K2))</f>
        <v>AREQUIPA</v>
      </c>
      <c r="Z2" s="4" t="str">
        <f t="shared" ref="Z2:Z107" si="6">UPPER(TRIM(P2))</f>
        <v>AREQUIPA</v>
      </c>
      <c r="AA2" s="4"/>
    </row>
    <row r="3">
      <c r="A3" s="5" t="s">
        <v>26</v>
      </c>
      <c r="B3" s="5" t="s">
        <v>39</v>
      </c>
      <c r="C3" s="5" t="s">
        <v>40</v>
      </c>
      <c r="D3" s="5" t="s">
        <v>39</v>
      </c>
      <c r="E3" s="5" t="s">
        <v>41</v>
      </c>
      <c r="F3" s="5" t="s">
        <v>42</v>
      </c>
      <c r="G3" s="5" t="s">
        <v>43</v>
      </c>
      <c r="H3" s="5" t="s">
        <v>44</v>
      </c>
      <c r="I3" s="5" t="s">
        <v>45</v>
      </c>
      <c r="J3" s="5" t="s">
        <v>34</v>
      </c>
      <c r="K3" s="5" t="s">
        <v>46</v>
      </c>
      <c r="L3" s="5" t="s">
        <v>47</v>
      </c>
      <c r="M3" s="5" t="s">
        <v>47</v>
      </c>
      <c r="N3" s="5" t="s">
        <v>36</v>
      </c>
      <c r="P3" s="5" t="s">
        <v>46</v>
      </c>
      <c r="R3" s="5" t="s">
        <v>48</v>
      </c>
      <c r="S3" s="5" t="s">
        <v>49</v>
      </c>
      <c r="T3" s="5" t="str">
        <f>CONCATENATE(A40," - ",B40,".pdf")</f>
        <v>FUERZA POPULAR - 08571708.pdf</v>
      </c>
      <c r="U3" s="4">
        <f t="shared" si="1"/>
        <v>43</v>
      </c>
      <c r="V3" s="4" t="str">
        <f t="shared" si="2"/>
        <v>40-49</v>
      </c>
      <c r="W3" s="4" t="str">
        <f t="shared" si="3"/>
        <v>PERÚ</v>
      </c>
      <c r="X3" s="4" t="str">
        <f t="shared" si="4"/>
        <v>MASCULINO</v>
      </c>
      <c r="Y3" s="4" t="str">
        <f t="shared" si="5"/>
        <v>AYACUCHO</v>
      </c>
      <c r="Z3" s="4" t="str">
        <f t="shared" si="6"/>
        <v>AYACUCHO</v>
      </c>
      <c r="AA3" s="4"/>
    </row>
    <row r="4">
      <c r="A4" s="5" t="s">
        <v>26</v>
      </c>
      <c r="B4" s="5" t="s">
        <v>50</v>
      </c>
      <c r="C4" s="5" t="s">
        <v>51</v>
      </c>
      <c r="D4" s="5" t="s">
        <v>50</v>
      </c>
      <c r="E4" s="5" t="s">
        <v>52</v>
      </c>
      <c r="F4" s="5" t="s">
        <v>53</v>
      </c>
      <c r="G4" s="5" t="s">
        <v>54</v>
      </c>
      <c r="H4" s="5" t="s">
        <v>44</v>
      </c>
      <c r="I4" s="5" t="s">
        <v>55</v>
      </c>
      <c r="J4" s="5" t="s">
        <v>34</v>
      </c>
      <c r="K4" s="5" t="s">
        <v>56</v>
      </c>
      <c r="L4" s="5" t="s">
        <v>56</v>
      </c>
      <c r="M4" s="5" t="s">
        <v>56</v>
      </c>
      <c r="N4" s="5" t="s">
        <v>36</v>
      </c>
      <c r="P4" s="5" t="s">
        <v>57</v>
      </c>
      <c r="R4" s="5" t="s">
        <v>58</v>
      </c>
      <c r="S4" s="5" t="s">
        <v>59</v>
      </c>
      <c r="T4" s="5" t="str">
        <f>CONCATENATE(A72," - ",B72,".pdf")</f>
        <v>PARTIDO CIVICO OBRAS - 17930730.pdf</v>
      </c>
      <c r="U4" s="4">
        <f t="shared" si="1"/>
        <v>52</v>
      </c>
      <c r="V4" s="4" t="str">
        <f t="shared" si="2"/>
        <v>50-59</v>
      </c>
      <c r="W4" s="4" t="str">
        <f t="shared" si="3"/>
        <v>PERÚ</v>
      </c>
      <c r="X4" s="4" t="str">
        <f t="shared" si="4"/>
        <v>MASCULINO</v>
      </c>
      <c r="Y4" s="4" t="str">
        <f t="shared" si="5"/>
        <v>LIMA</v>
      </c>
      <c r="Z4" s="4" t="str">
        <f t="shared" si="6"/>
        <v>LIMA METROPOLITANA</v>
      </c>
      <c r="AA4" s="4"/>
    </row>
    <row r="5">
      <c r="A5" s="5" t="s">
        <v>26</v>
      </c>
      <c r="B5" s="5" t="s">
        <v>60</v>
      </c>
      <c r="C5" s="5" t="s">
        <v>61</v>
      </c>
      <c r="D5" s="5" t="s">
        <v>60</v>
      </c>
      <c r="E5" s="5" t="s">
        <v>62</v>
      </c>
      <c r="F5" s="5" t="s">
        <v>63</v>
      </c>
      <c r="G5" s="5" t="s">
        <v>64</v>
      </c>
      <c r="H5" s="5" t="s">
        <v>44</v>
      </c>
      <c r="I5" s="5" t="s">
        <v>65</v>
      </c>
      <c r="J5" s="5" t="s">
        <v>34</v>
      </c>
      <c r="K5" s="5" t="s">
        <v>66</v>
      </c>
      <c r="L5" s="5" t="s">
        <v>67</v>
      </c>
      <c r="M5" s="5" t="s">
        <v>68</v>
      </c>
      <c r="N5" s="5" t="s">
        <v>36</v>
      </c>
      <c r="P5" s="5" t="s">
        <v>66</v>
      </c>
      <c r="R5" s="5" t="s">
        <v>69</v>
      </c>
      <c r="S5" s="5" t="s">
        <v>70</v>
      </c>
      <c r="T5" s="5" t="str">
        <f>CONCATENATE(A110," - ",B110,".pdf")</f>
        <v> - .pdf</v>
      </c>
      <c r="U5" s="4">
        <f t="shared" si="1"/>
        <v>41</v>
      </c>
      <c r="V5" s="4" t="str">
        <f t="shared" si="2"/>
        <v>40-49</v>
      </c>
      <c r="W5" s="4" t="str">
        <f t="shared" si="3"/>
        <v>PERÚ</v>
      </c>
      <c r="X5" s="4" t="str">
        <f t="shared" si="4"/>
        <v>MASCULINO</v>
      </c>
      <c r="Y5" s="4" t="str">
        <f t="shared" si="5"/>
        <v>CUSCO</v>
      </c>
      <c r="Z5" s="4" t="str">
        <f t="shared" si="6"/>
        <v>CUSCO</v>
      </c>
      <c r="AA5" s="4"/>
    </row>
    <row r="6">
      <c r="A6" s="5" t="s">
        <v>26</v>
      </c>
      <c r="B6" s="5" t="s">
        <v>71</v>
      </c>
      <c r="C6" s="5" t="s">
        <v>72</v>
      </c>
      <c r="D6" s="5" t="s">
        <v>71</v>
      </c>
      <c r="E6" s="5" t="s">
        <v>73</v>
      </c>
      <c r="F6" s="5" t="s">
        <v>74</v>
      </c>
      <c r="G6" s="5" t="s">
        <v>75</v>
      </c>
      <c r="H6" s="5" t="s">
        <v>32</v>
      </c>
      <c r="I6" s="5" t="s">
        <v>76</v>
      </c>
      <c r="J6" s="5" t="s">
        <v>34</v>
      </c>
      <c r="K6" s="5" t="s">
        <v>56</v>
      </c>
      <c r="L6" s="5" t="s">
        <v>56</v>
      </c>
      <c r="M6" s="5" t="s">
        <v>77</v>
      </c>
      <c r="N6" s="5" t="s">
        <v>36</v>
      </c>
      <c r="P6" s="5" t="s">
        <v>57</v>
      </c>
      <c r="R6" s="5" t="s">
        <v>78</v>
      </c>
      <c r="S6" s="5" t="s">
        <v>79</v>
      </c>
      <c r="T6" s="5" t="str">
        <f>CONCATENATE(A113," - ",B113,".pdf")</f>
        <v> - .pdf</v>
      </c>
      <c r="U6" s="4">
        <f t="shared" si="1"/>
        <v>37</v>
      </c>
      <c r="V6" s="4" t="str">
        <f t="shared" si="2"/>
        <v>30-39</v>
      </c>
      <c r="W6" s="4" t="str">
        <f t="shared" si="3"/>
        <v>PERÚ</v>
      </c>
      <c r="X6" s="4" t="str">
        <f t="shared" si="4"/>
        <v>FEMENINO</v>
      </c>
      <c r="Y6" s="4" t="str">
        <f t="shared" si="5"/>
        <v>LIMA</v>
      </c>
      <c r="Z6" s="4" t="str">
        <f t="shared" si="6"/>
        <v>LIMA METROPOLITANA</v>
      </c>
      <c r="AA6" s="4"/>
    </row>
    <row r="7">
      <c r="A7" s="5" t="s">
        <v>26</v>
      </c>
      <c r="B7" s="5" t="s">
        <v>80</v>
      </c>
      <c r="C7" s="5" t="s">
        <v>81</v>
      </c>
      <c r="D7" s="5" t="s">
        <v>80</v>
      </c>
      <c r="E7" s="5" t="s">
        <v>82</v>
      </c>
      <c r="F7" s="5" t="s">
        <v>83</v>
      </c>
      <c r="G7" s="5" t="s">
        <v>84</v>
      </c>
      <c r="H7" s="5" t="s">
        <v>44</v>
      </c>
      <c r="I7" s="5" t="s">
        <v>85</v>
      </c>
      <c r="J7" s="5" t="s">
        <v>34</v>
      </c>
      <c r="K7" s="5" t="s">
        <v>86</v>
      </c>
      <c r="L7" s="5" t="s">
        <v>87</v>
      </c>
      <c r="M7" s="5" t="s">
        <v>88</v>
      </c>
      <c r="N7" s="5" t="s">
        <v>36</v>
      </c>
      <c r="P7" s="5" t="s">
        <v>57</v>
      </c>
      <c r="R7" s="5" t="s">
        <v>89</v>
      </c>
      <c r="S7" s="5" t="s">
        <v>90</v>
      </c>
      <c r="T7" s="5" t="str">
        <f>CONCATENATE(A146," - ",B146,".pdf")</f>
        <v> - .pdf</v>
      </c>
      <c r="U7" s="4">
        <f t="shared" si="1"/>
        <v>29</v>
      </c>
      <c r="V7" s="4" t="str">
        <f t="shared" si="2"/>
        <v>18-29</v>
      </c>
      <c r="W7" s="4" t="str">
        <f t="shared" si="3"/>
        <v>PERÚ</v>
      </c>
      <c r="X7" s="4" t="str">
        <f t="shared" si="4"/>
        <v>MASCULINO</v>
      </c>
      <c r="Y7" s="4" t="str">
        <f t="shared" si="5"/>
        <v>ANCASH</v>
      </c>
      <c r="Z7" s="4" t="str">
        <f t="shared" si="6"/>
        <v>LIMA METROPOLITANA</v>
      </c>
      <c r="AA7" s="4"/>
    </row>
    <row r="8">
      <c r="A8" s="5" t="s">
        <v>26</v>
      </c>
      <c r="B8" s="5" t="s">
        <v>91</v>
      </c>
      <c r="C8" s="5" t="s">
        <v>92</v>
      </c>
      <c r="D8" s="5" t="s">
        <v>91</v>
      </c>
      <c r="E8" s="5" t="s">
        <v>93</v>
      </c>
      <c r="F8" s="5" t="s">
        <v>94</v>
      </c>
      <c r="G8" s="5" t="s">
        <v>95</v>
      </c>
      <c r="H8" s="5" t="s">
        <v>44</v>
      </c>
      <c r="I8" s="5" t="s">
        <v>96</v>
      </c>
      <c r="J8" s="5" t="s">
        <v>34</v>
      </c>
      <c r="K8" s="5" t="s">
        <v>56</v>
      </c>
      <c r="L8" s="5" t="s">
        <v>56</v>
      </c>
      <c r="M8" s="5" t="s">
        <v>97</v>
      </c>
      <c r="N8" s="5" t="s">
        <v>36</v>
      </c>
      <c r="P8" s="5" t="s">
        <v>86</v>
      </c>
      <c r="R8" s="5" t="s">
        <v>98</v>
      </c>
      <c r="S8" s="5" t="s">
        <v>99</v>
      </c>
      <c r="T8" s="5" t="str">
        <f>CONCATENATE(A149," - ",B149,".pdf")</f>
        <v> - .pdf</v>
      </c>
      <c r="U8" s="4">
        <f t="shared" si="1"/>
        <v>44</v>
      </c>
      <c r="V8" s="4" t="str">
        <f t="shared" si="2"/>
        <v>40-49</v>
      </c>
      <c r="W8" s="4" t="str">
        <f t="shared" si="3"/>
        <v>PERÚ</v>
      </c>
      <c r="X8" s="4" t="str">
        <f t="shared" si="4"/>
        <v>MASCULINO</v>
      </c>
      <c r="Y8" s="4" t="str">
        <f t="shared" si="5"/>
        <v>LIMA</v>
      </c>
      <c r="Z8" s="4" t="str">
        <f t="shared" si="6"/>
        <v>ANCASH</v>
      </c>
      <c r="AA8" s="4"/>
    </row>
    <row r="9">
      <c r="A9" s="5" t="s">
        <v>26</v>
      </c>
      <c r="B9" s="5" t="s">
        <v>100</v>
      </c>
      <c r="C9" s="5" t="s">
        <v>101</v>
      </c>
      <c r="D9" s="5" t="s">
        <v>100</v>
      </c>
      <c r="E9" s="5" t="s">
        <v>102</v>
      </c>
      <c r="F9" s="5" t="s">
        <v>103</v>
      </c>
      <c r="G9" s="5" t="s">
        <v>64</v>
      </c>
      <c r="H9" s="5" t="s">
        <v>44</v>
      </c>
      <c r="I9" s="5" t="s">
        <v>104</v>
      </c>
      <c r="J9" s="5" t="s">
        <v>34</v>
      </c>
      <c r="K9" s="5" t="s">
        <v>105</v>
      </c>
      <c r="L9" s="5" t="s">
        <v>106</v>
      </c>
      <c r="M9" s="5" t="s">
        <v>107</v>
      </c>
      <c r="N9" s="5" t="s">
        <v>36</v>
      </c>
      <c r="P9" s="5" t="s">
        <v>105</v>
      </c>
      <c r="R9" s="5" t="s">
        <v>108</v>
      </c>
      <c r="S9" s="5" t="s">
        <v>109</v>
      </c>
      <c r="T9" s="5" t="str">
        <f>CONCATENATE(A163," - ",B163,".pdf")</f>
        <v> - .pdf</v>
      </c>
      <c r="U9" s="4">
        <f t="shared" si="1"/>
        <v>49</v>
      </c>
      <c r="V9" s="4" t="str">
        <f t="shared" si="2"/>
        <v>40-49</v>
      </c>
      <c r="W9" s="4" t="str">
        <f t="shared" si="3"/>
        <v>PERÚ</v>
      </c>
      <c r="X9" s="4" t="str">
        <f t="shared" si="4"/>
        <v>MASCULINO</v>
      </c>
      <c r="Y9" s="4" t="str">
        <f t="shared" si="5"/>
        <v>JUNIN</v>
      </c>
      <c r="Z9" s="4" t="str">
        <f t="shared" si="6"/>
        <v>JUNIN</v>
      </c>
      <c r="AA9" s="4"/>
    </row>
    <row r="10">
      <c r="A10" s="5" t="s">
        <v>26</v>
      </c>
      <c r="B10" s="5" t="s">
        <v>110</v>
      </c>
      <c r="C10" s="5" t="s">
        <v>111</v>
      </c>
      <c r="D10" s="5" t="s">
        <v>110</v>
      </c>
      <c r="E10" s="5" t="s">
        <v>112</v>
      </c>
      <c r="F10" s="5" t="s">
        <v>113</v>
      </c>
      <c r="G10" s="5" t="s">
        <v>114</v>
      </c>
      <c r="H10" s="5" t="s">
        <v>44</v>
      </c>
      <c r="I10" s="5" t="s">
        <v>115</v>
      </c>
      <c r="J10" s="5" t="s">
        <v>34</v>
      </c>
      <c r="K10" s="5" t="s">
        <v>116</v>
      </c>
      <c r="L10" s="5" t="s">
        <v>117</v>
      </c>
      <c r="M10" s="5" t="s">
        <v>118</v>
      </c>
      <c r="N10" s="5" t="s">
        <v>36</v>
      </c>
      <c r="P10" s="5" t="s">
        <v>116</v>
      </c>
      <c r="R10" s="5" t="s">
        <v>119</v>
      </c>
      <c r="S10" s="5" t="s">
        <v>120</v>
      </c>
      <c r="T10" s="5" t="str">
        <f>CONCATENATE(A215," - ",B215,".pdf")</f>
        <v> - .pdf</v>
      </c>
      <c r="U10" s="4">
        <f t="shared" si="1"/>
        <v>36</v>
      </c>
      <c r="V10" s="4" t="str">
        <f t="shared" si="2"/>
        <v>30-39</v>
      </c>
      <c r="W10" s="4" t="str">
        <f t="shared" si="3"/>
        <v>PERÚ</v>
      </c>
      <c r="X10" s="4" t="str">
        <f t="shared" si="4"/>
        <v>MASCULINO</v>
      </c>
      <c r="Y10" s="4" t="str">
        <f t="shared" si="5"/>
        <v>PUNO</v>
      </c>
      <c r="Z10" s="4" t="str">
        <f t="shared" si="6"/>
        <v>PUNO</v>
      </c>
      <c r="AA10" s="4"/>
    </row>
    <row r="11">
      <c r="A11" s="5" t="s">
        <v>121</v>
      </c>
      <c r="B11" s="5" t="s">
        <v>122</v>
      </c>
      <c r="C11" s="5" t="s">
        <v>123</v>
      </c>
      <c r="D11" s="5" t="s">
        <v>122</v>
      </c>
      <c r="E11" s="5" t="s">
        <v>124</v>
      </c>
      <c r="F11" s="5" t="s">
        <v>125</v>
      </c>
      <c r="G11" s="5" t="s">
        <v>126</v>
      </c>
      <c r="H11" s="5" t="s">
        <v>44</v>
      </c>
      <c r="I11" s="5" t="s">
        <v>127</v>
      </c>
      <c r="J11" s="5" t="s">
        <v>34</v>
      </c>
      <c r="K11" s="5" t="s">
        <v>128</v>
      </c>
      <c r="L11" s="5" t="s">
        <v>129</v>
      </c>
      <c r="M11" s="5" t="s">
        <v>130</v>
      </c>
      <c r="N11" s="5" t="s">
        <v>36</v>
      </c>
      <c r="P11" s="5" t="s">
        <v>128</v>
      </c>
      <c r="R11" s="5" t="s">
        <v>131</v>
      </c>
      <c r="S11" s="5" t="s">
        <v>132</v>
      </c>
      <c r="T11" s="5" t="str">
        <f>CONCATENATE(A1485," - ",B1485,".pdf")</f>
        <v> - .pdf</v>
      </c>
      <c r="U11" s="4">
        <f t="shared" si="1"/>
        <v>55</v>
      </c>
      <c r="V11" s="4" t="str">
        <f t="shared" si="2"/>
        <v>50-59</v>
      </c>
      <c r="W11" s="4" t="str">
        <f t="shared" si="3"/>
        <v>PERÚ</v>
      </c>
      <c r="X11" s="4" t="str">
        <f t="shared" si="4"/>
        <v>MASCULINO</v>
      </c>
      <c r="Y11" s="4" t="str">
        <f t="shared" si="5"/>
        <v>UCAYALI</v>
      </c>
      <c r="Z11" s="4" t="str">
        <f t="shared" si="6"/>
        <v>UCAYALI</v>
      </c>
      <c r="AA11" s="4"/>
    </row>
    <row r="12">
      <c r="A12" s="5" t="s">
        <v>121</v>
      </c>
      <c r="B12" s="5" t="s">
        <v>133</v>
      </c>
      <c r="C12" s="5" t="s">
        <v>134</v>
      </c>
      <c r="D12" s="5" t="s">
        <v>133</v>
      </c>
      <c r="E12" s="5" t="s">
        <v>135</v>
      </c>
      <c r="F12" s="5" t="s">
        <v>136</v>
      </c>
      <c r="G12" s="5" t="s">
        <v>137</v>
      </c>
      <c r="H12" s="5" t="s">
        <v>44</v>
      </c>
      <c r="I12" s="5" t="s">
        <v>138</v>
      </c>
      <c r="J12" s="5" t="s">
        <v>34</v>
      </c>
      <c r="K12" s="5" t="s">
        <v>56</v>
      </c>
      <c r="L12" s="5" t="s">
        <v>56</v>
      </c>
      <c r="M12" s="5" t="s">
        <v>56</v>
      </c>
      <c r="N12" s="5" t="s">
        <v>36</v>
      </c>
      <c r="P12" s="5" t="s">
        <v>139</v>
      </c>
      <c r="R12" s="5" t="s">
        <v>140</v>
      </c>
      <c r="S12" s="5" t="s">
        <v>141</v>
      </c>
      <c r="T12" s="5" t="str">
        <f>CONCATENATE(A1494," - ",B1494,".pdf")</f>
        <v> - .pdf</v>
      </c>
      <c r="U12" s="4">
        <f t="shared" si="1"/>
        <v>37</v>
      </c>
      <c r="V12" s="4" t="str">
        <f t="shared" si="2"/>
        <v>30-39</v>
      </c>
      <c r="W12" s="4" t="str">
        <f t="shared" si="3"/>
        <v>PERÚ</v>
      </c>
      <c r="X12" s="4" t="str">
        <f t="shared" si="4"/>
        <v>MASCULINO</v>
      </c>
      <c r="Y12" s="4" t="str">
        <f t="shared" si="5"/>
        <v>LIMA</v>
      </c>
      <c r="Z12" s="4" t="str">
        <f t="shared" si="6"/>
        <v>SAN MARTIN</v>
      </c>
      <c r="AA12" s="4"/>
    </row>
    <row r="13">
      <c r="A13" s="5" t="s">
        <v>121</v>
      </c>
      <c r="B13" s="5" t="s">
        <v>142</v>
      </c>
      <c r="C13" s="5" t="s">
        <v>143</v>
      </c>
      <c r="D13" s="5" t="s">
        <v>142</v>
      </c>
      <c r="E13" s="5" t="s">
        <v>144</v>
      </c>
      <c r="F13" s="5" t="s">
        <v>145</v>
      </c>
      <c r="G13" s="5" t="s">
        <v>146</v>
      </c>
      <c r="H13" s="5" t="s">
        <v>32</v>
      </c>
      <c r="I13" s="5" t="s">
        <v>147</v>
      </c>
      <c r="J13" s="5" t="s">
        <v>34</v>
      </c>
      <c r="K13" s="5" t="s">
        <v>56</v>
      </c>
      <c r="L13" s="5" t="s">
        <v>148</v>
      </c>
      <c r="M13" s="5" t="s">
        <v>149</v>
      </c>
      <c r="N13" s="5" t="s">
        <v>36</v>
      </c>
      <c r="P13" s="5" t="s">
        <v>150</v>
      </c>
      <c r="R13" s="5" t="s">
        <v>151</v>
      </c>
      <c r="S13" s="5" t="s">
        <v>152</v>
      </c>
      <c r="T13" s="5" t="str">
        <f>CONCATENATE(A1499," - ",B1499,".pdf")</f>
        <v> - .pdf</v>
      </c>
      <c r="U13" s="4">
        <f t="shared" si="1"/>
        <v>62</v>
      </c>
      <c r="V13" s="4" t="str">
        <f t="shared" si="2"/>
        <v>60+</v>
      </c>
      <c r="W13" s="4" t="str">
        <f t="shared" si="3"/>
        <v>PERÚ</v>
      </c>
      <c r="X13" s="4" t="str">
        <f t="shared" si="4"/>
        <v>FEMENINO</v>
      </c>
      <c r="Y13" s="4" t="str">
        <f t="shared" si="5"/>
        <v>LIMA</v>
      </c>
      <c r="Z13" s="4" t="str">
        <f t="shared" si="6"/>
        <v>LIMA PROVINCIAS</v>
      </c>
      <c r="AA13" s="4"/>
    </row>
    <row r="14">
      <c r="A14" s="5" t="s">
        <v>121</v>
      </c>
      <c r="B14" s="5" t="s">
        <v>153</v>
      </c>
      <c r="C14" s="5" t="s">
        <v>154</v>
      </c>
      <c r="D14" s="5" t="s">
        <v>153</v>
      </c>
      <c r="E14" s="5" t="s">
        <v>155</v>
      </c>
      <c r="F14" s="5" t="s">
        <v>156</v>
      </c>
      <c r="G14" s="5" t="s">
        <v>157</v>
      </c>
      <c r="H14" s="5" t="s">
        <v>32</v>
      </c>
      <c r="I14" s="5" t="s">
        <v>158</v>
      </c>
      <c r="J14" s="5" t="s">
        <v>34</v>
      </c>
      <c r="K14" s="5" t="s">
        <v>56</v>
      </c>
      <c r="L14" s="5" t="s">
        <v>56</v>
      </c>
      <c r="M14" s="5" t="s">
        <v>56</v>
      </c>
      <c r="N14" s="5" t="s">
        <v>36</v>
      </c>
      <c r="P14" s="5" t="s">
        <v>57</v>
      </c>
      <c r="R14" s="5" t="s">
        <v>159</v>
      </c>
      <c r="S14" s="5" t="s">
        <v>160</v>
      </c>
      <c r="T14" s="5" t="str">
        <f>CONCATENATE(A1511," - ",B1511,".pdf")</f>
        <v> - .pdf</v>
      </c>
      <c r="U14" s="4">
        <f t="shared" si="1"/>
        <v>31</v>
      </c>
      <c r="V14" s="4" t="str">
        <f t="shared" si="2"/>
        <v>30-39</v>
      </c>
      <c r="W14" s="4" t="str">
        <f t="shared" si="3"/>
        <v>PERÚ</v>
      </c>
      <c r="X14" s="4" t="str">
        <f t="shared" si="4"/>
        <v>FEMENINO</v>
      </c>
      <c r="Y14" s="4" t="str">
        <f t="shared" si="5"/>
        <v>LIMA</v>
      </c>
      <c r="Z14" s="4" t="str">
        <f t="shared" si="6"/>
        <v>LIMA METROPOLITANA</v>
      </c>
      <c r="AA14" s="4"/>
    </row>
    <row r="15">
      <c r="A15" s="5" t="s">
        <v>121</v>
      </c>
      <c r="B15" s="5" t="s">
        <v>161</v>
      </c>
      <c r="C15" s="5" t="s">
        <v>162</v>
      </c>
      <c r="D15" s="5" t="s">
        <v>161</v>
      </c>
      <c r="E15" s="5" t="s">
        <v>163</v>
      </c>
      <c r="F15" s="5" t="s">
        <v>164</v>
      </c>
      <c r="G15" s="5" t="s">
        <v>165</v>
      </c>
      <c r="H15" s="5" t="s">
        <v>32</v>
      </c>
      <c r="I15" s="5" t="s">
        <v>166</v>
      </c>
      <c r="J15" s="5" t="s">
        <v>34</v>
      </c>
      <c r="K15" s="5" t="s">
        <v>167</v>
      </c>
      <c r="L15" s="5" t="s">
        <v>167</v>
      </c>
      <c r="M15" s="5" t="s">
        <v>167</v>
      </c>
      <c r="N15" s="5" t="s">
        <v>36</v>
      </c>
      <c r="P15" s="5" t="s">
        <v>167</v>
      </c>
      <c r="R15" s="5" t="s">
        <v>168</v>
      </c>
      <c r="S15" s="5" t="s">
        <v>169</v>
      </c>
      <c r="T15" s="5" t="str">
        <f>CONCATENATE(A1514," - ",B1514,".pdf")</f>
        <v> - .pdf</v>
      </c>
      <c r="U15" s="4">
        <f t="shared" si="1"/>
        <v>51</v>
      </c>
      <c r="V15" s="4" t="str">
        <f t="shared" si="2"/>
        <v>50-59</v>
      </c>
      <c r="W15" s="4" t="str">
        <f t="shared" si="3"/>
        <v>PERÚ</v>
      </c>
      <c r="X15" s="4" t="str">
        <f t="shared" si="4"/>
        <v>FEMENINO</v>
      </c>
      <c r="Y15" s="4" t="str">
        <f t="shared" si="5"/>
        <v>HUANUCO</v>
      </c>
      <c r="Z15" s="4" t="str">
        <f t="shared" si="6"/>
        <v>HUANUCO</v>
      </c>
      <c r="AA15" s="4"/>
    </row>
    <row r="16">
      <c r="A16" s="5" t="s">
        <v>121</v>
      </c>
      <c r="B16" s="5" t="s">
        <v>170</v>
      </c>
      <c r="C16" s="5" t="s">
        <v>171</v>
      </c>
      <c r="D16" s="5" t="s">
        <v>170</v>
      </c>
      <c r="E16" s="5" t="s">
        <v>172</v>
      </c>
      <c r="F16" s="5" t="s">
        <v>173</v>
      </c>
      <c r="G16" s="5" t="s">
        <v>174</v>
      </c>
      <c r="H16" s="5" t="s">
        <v>44</v>
      </c>
      <c r="I16" s="5" t="s">
        <v>175</v>
      </c>
      <c r="J16" s="5" t="s">
        <v>34</v>
      </c>
      <c r="K16" s="5" t="s">
        <v>56</v>
      </c>
      <c r="L16" s="5" t="s">
        <v>56</v>
      </c>
      <c r="M16" s="5" t="s">
        <v>176</v>
      </c>
      <c r="N16" s="5" t="s">
        <v>36</v>
      </c>
      <c r="P16" s="5" t="s">
        <v>177</v>
      </c>
      <c r="R16" s="5" t="s">
        <v>178</v>
      </c>
      <c r="S16" s="5" t="s">
        <v>179</v>
      </c>
      <c r="T16" s="5" t="str">
        <f>CONCATENATE(A1516," - ",B1516,".pdf")</f>
        <v> - .pdf</v>
      </c>
      <c r="U16" s="4">
        <f t="shared" si="1"/>
        <v>49</v>
      </c>
      <c r="V16" s="4" t="str">
        <f t="shared" si="2"/>
        <v>40-49</v>
      </c>
      <c r="W16" s="4" t="str">
        <f t="shared" si="3"/>
        <v>PERÚ</v>
      </c>
      <c r="X16" s="4" t="str">
        <f t="shared" si="4"/>
        <v>MASCULINO</v>
      </c>
      <c r="Y16" s="4" t="str">
        <f t="shared" si="5"/>
        <v>LIMA</v>
      </c>
      <c r="Z16" s="4" t="str">
        <f t="shared" si="6"/>
        <v>CALLAO</v>
      </c>
      <c r="AA16" s="4"/>
    </row>
    <row r="17">
      <c r="A17" s="5" t="s">
        <v>121</v>
      </c>
      <c r="B17" s="5" t="s">
        <v>180</v>
      </c>
      <c r="C17" s="5" t="s">
        <v>181</v>
      </c>
      <c r="D17" s="5" t="s">
        <v>180</v>
      </c>
      <c r="E17" s="5" t="s">
        <v>182</v>
      </c>
      <c r="F17" s="5" t="s">
        <v>183</v>
      </c>
      <c r="G17" s="5" t="s">
        <v>184</v>
      </c>
      <c r="H17" s="5" t="s">
        <v>44</v>
      </c>
      <c r="I17" s="5" t="s">
        <v>185</v>
      </c>
      <c r="J17" s="5" t="s">
        <v>34</v>
      </c>
      <c r="K17" s="5" t="s">
        <v>186</v>
      </c>
      <c r="L17" s="5" t="s">
        <v>186</v>
      </c>
      <c r="M17" s="5" t="s">
        <v>187</v>
      </c>
      <c r="N17" s="5" t="s">
        <v>36</v>
      </c>
      <c r="P17" s="5" t="s">
        <v>186</v>
      </c>
      <c r="R17" s="5" t="s">
        <v>188</v>
      </c>
      <c r="S17" s="5" t="s">
        <v>189</v>
      </c>
      <c r="T17" s="5" t="str">
        <f>CONCATENATE(A1534," - ",B1534,".pdf")</f>
        <v> - .pdf</v>
      </c>
      <c r="U17" s="4">
        <f t="shared" si="1"/>
        <v>38</v>
      </c>
      <c r="V17" s="4" t="str">
        <f t="shared" si="2"/>
        <v>30-39</v>
      </c>
      <c r="W17" s="4" t="str">
        <f t="shared" si="3"/>
        <v>PERÚ</v>
      </c>
      <c r="X17" s="4" t="str">
        <f t="shared" si="4"/>
        <v>MASCULINO</v>
      </c>
      <c r="Y17" s="4" t="str">
        <f t="shared" si="5"/>
        <v>PIURA</v>
      </c>
      <c r="Z17" s="4" t="str">
        <f t="shared" si="6"/>
        <v>PIURA</v>
      </c>
      <c r="AA17" s="4"/>
    </row>
    <row r="18">
      <c r="A18" s="5" t="s">
        <v>121</v>
      </c>
      <c r="B18" s="5" t="s">
        <v>190</v>
      </c>
      <c r="C18" s="5" t="s">
        <v>191</v>
      </c>
      <c r="D18" s="5" t="s">
        <v>190</v>
      </c>
      <c r="E18" s="5" t="s">
        <v>192</v>
      </c>
      <c r="F18" s="5" t="s">
        <v>193</v>
      </c>
      <c r="G18" s="5" t="s">
        <v>194</v>
      </c>
      <c r="H18" s="5" t="s">
        <v>44</v>
      </c>
      <c r="I18" s="5" t="s">
        <v>195</v>
      </c>
      <c r="J18" s="5" t="s">
        <v>34</v>
      </c>
      <c r="K18" s="5" t="s">
        <v>196</v>
      </c>
      <c r="L18" s="5" t="s">
        <v>197</v>
      </c>
      <c r="M18" s="5" t="s">
        <v>198</v>
      </c>
      <c r="N18" s="5" t="s">
        <v>36</v>
      </c>
      <c r="P18" s="5" t="s">
        <v>196</v>
      </c>
      <c r="R18" s="5" t="s">
        <v>199</v>
      </c>
      <c r="S18" s="5" t="s">
        <v>200</v>
      </c>
      <c r="T18" s="5" t="str">
        <f t="shared" ref="T18:T19" si="7">CONCATENATE(A1537," - ",B1537,".pdf")</f>
        <v> - .pdf</v>
      </c>
      <c r="U18" s="4">
        <f t="shared" si="1"/>
        <v>59</v>
      </c>
      <c r="V18" s="4" t="str">
        <f t="shared" si="2"/>
        <v>50-59</v>
      </c>
      <c r="W18" s="4" t="str">
        <f t="shared" si="3"/>
        <v>PERÚ</v>
      </c>
      <c r="X18" s="4" t="str">
        <f t="shared" si="4"/>
        <v>MASCULINO</v>
      </c>
      <c r="Y18" s="4" t="str">
        <f t="shared" si="5"/>
        <v>LAMBAYEQUE</v>
      </c>
      <c r="Z18" s="4" t="str">
        <f t="shared" si="6"/>
        <v>LAMBAYEQUE</v>
      </c>
      <c r="AA18" s="4"/>
    </row>
    <row r="19">
      <c r="A19" s="5" t="s">
        <v>121</v>
      </c>
      <c r="B19" s="5" t="s">
        <v>201</v>
      </c>
      <c r="C19" s="5" t="s">
        <v>202</v>
      </c>
      <c r="D19" s="5" t="s">
        <v>201</v>
      </c>
      <c r="E19" s="5" t="s">
        <v>192</v>
      </c>
      <c r="F19" s="5" t="s">
        <v>203</v>
      </c>
      <c r="G19" s="5" t="s">
        <v>204</v>
      </c>
      <c r="H19" s="5" t="s">
        <v>44</v>
      </c>
      <c r="I19" s="5" t="s">
        <v>205</v>
      </c>
      <c r="J19" s="5" t="s">
        <v>34</v>
      </c>
      <c r="K19" s="5" t="s">
        <v>206</v>
      </c>
      <c r="L19" s="5" t="s">
        <v>207</v>
      </c>
      <c r="M19" s="5" t="s">
        <v>208</v>
      </c>
      <c r="N19" s="5" t="s">
        <v>36</v>
      </c>
      <c r="P19" s="5" t="s">
        <v>206</v>
      </c>
      <c r="R19" s="5" t="s">
        <v>209</v>
      </c>
      <c r="S19" s="5" t="s">
        <v>210</v>
      </c>
      <c r="T19" s="5" t="str">
        <f t="shared" si="7"/>
        <v> - .pdf</v>
      </c>
      <c r="U19" s="4">
        <f t="shared" si="1"/>
        <v>48</v>
      </c>
      <c r="V19" s="4" t="str">
        <f t="shared" si="2"/>
        <v>40-49</v>
      </c>
      <c r="W19" s="4" t="str">
        <f t="shared" si="3"/>
        <v>PERÚ</v>
      </c>
      <c r="X19" s="4" t="str">
        <f t="shared" si="4"/>
        <v>MASCULINO</v>
      </c>
      <c r="Y19" s="4" t="str">
        <f t="shared" si="5"/>
        <v>AMAZONAS</v>
      </c>
      <c r="Z19" s="4" t="str">
        <f t="shared" si="6"/>
        <v>AMAZONAS</v>
      </c>
      <c r="AA19" s="4"/>
    </row>
    <row r="20">
      <c r="A20" s="5" t="s">
        <v>121</v>
      </c>
      <c r="B20" s="5" t="s">
        <v>211</v>
      </c>
      <c r="C20" s="5" t="s">
        <v>212</v>
      </c>
      <c r="D20" s="5" t="s">
        <v>211</v>
      </c>
      <c r="E20" s="5" t="s">
        <v>213</v>
      </c>
      <c r="F20" s="5" t="s">
        <v>182</v>
      </c>
      <c r="G20" s="5" t="s">
        <v>214</v>
      </c>
      <c r="H20" s="5" t="s">
        <v>44</v>
      </c>
      <c r="I20" s="5" t="s">
        <v>215</v>
      </c>
      <c r="J20" s="5" t="s">
        <v>34</v>
      </c>
      <c r="K20" s="5" t="s">
        <v>56</v>
      </c>
      <c r="L20" s="5" t="s">
        <v>56</v>
      </c>
      <c r="M20" s="5" t="s">
        <v>176</v>
      </c>
      <c r="N20" s="5" t="s">
        <v>36</v>
      </c>
      <c r="P20" s="5" t="s">
        <v>216</v>
      </c>
      <c r="R20" s="5" t="s">
        <v>217</v>
      </c>
      <c r="S20" s="5" t="s">
        <v>218</v>
      </c>
      <c r="T20" s="5" t="str">
        <f>CONCATENATE(A1541," - ",B1541,".pdf")</f>
        <v> - .pdf</v>
      </c>
      <c r="U20" s="4">
        <f t="shared" si="1"/>
        <v>57</v>
      </c>
      <c r="V20" s="4" t="str">
        <f t="shared" si="2"/>
        <v>50-59</v>
      </c>
      <c r="W20" s="4" t="str">
        <f t="shared" si="3"/>
        <v>PERÚ</v>
      </c>
      <c r="X20" s="4" t="str">
        <f t="shared" si="4"/>
        <v>MASCULINO</v>
      </c>
      <c r="Y20" s="4" t="str">
        <f t="shared" si="5"/>
        <v>LIMA</v>
      </c>
      <c r="Z20" s="4" t="str">
        <f t="shared" si="6"/>
        <v>TUMBES</v>
      </c>
      <c r="AA20" s="4"/>
    </row>
    <row r="21" ht="15.75" customHeight="1">
      <c r="A21" s="5" t="s">
        <v>121</v>
      </c>
      <c r="B21" s="5" t="s">
        <v>219</v>
      </c>
      <c r="C21" s="5" t="s">
        <v>220</v>
      </c>
      <c r="D21" s="5" t="s">
        <v>219</v>
      </c>
      <c r="E21" s="5" t="s">
        <v>221</v>
      </c>
      <c r="F21" s="5" t="s">
        <v>222</v>
      </c>
      <c r="G21" s="5" t="s">
        <v>223</v>
      </c>
      <c r="H21" s="5" t="s">
        <v>32</v>
      </c>
      <c r="I21" s="5" t="s">
        <v>224</v>
      </c>
      <c r="J21" s="5" t="s">
        <v>34</v>
      </c>
      <c r="K21" s="5" t="s">
        <v>196</v>
      </c>
      <c r="L21" s="5" t="s">
        <v>197</v>
      </c>
      <c r="M21" s="5" t="s">
        <v>197</v>
      </c>
      <c r="N21" s="5" t="s">
        <v>36</v>
      </c>
      <c r="P21" s="5" t="s">
        <v>57</v>
      </c>
      <c r="R21" s="5" t="s">
        <v>225</v>
      </c>
      <c r="S21" s="5" t="s">
        <v>226</v>
      </c>
      <c r="T21" s="5" t="str">
        <f>CONCATENATE(A1543," - ",B1543,".pdf")</f>
        <v> - .pdf</v>
      </c>
      <c r="U21" s="4">
        <f t="shared" si="1"/>
        <v>55</v>
      </c>
      <c r="V21" s="4" t="str">
        <f t="shared" si="2"/>
        <v>50-59</v>
      </c>
      <c r="W21" s="4" t="str">
        <f t="shared" si="3"/>
        <v>PERÚ</v>
      </c>
      <c r="X21" s="4" t="str">
        <f t="shared" si="4"/>
        <v>FEMENINO</v>
      </c>
      <c r="Y21" s="4" t="str">
        <f t="shared" si="5"/>
        <v>LAMBAYEQUE</v>
      </c>
      <c r="Z21" s="4" t="str">
        <f t="shared" si="6"/>
        <v>LIMA METROPOLITANA</v>
      </c>
      <c r="AA21" s="4"/>
    </row>
    <row r="22" ht="15.75" customHeight="1">
      <c r="A22" s="5" t="s">
        <v>121</v>
      </c>
      <c r="B22" s="5" t="s">
        <v>227</v>
      </c>
      <c r="C22" s="5" t="s">
        <v>228</v>
      </c>
      <c r="D22" s="5" t="s">
        <v>227</v>
      </c>
      <c r="E22" s="5" t="s">
        <v>229</v>
      </c>
      <c r="F22" s="5" t="s">
        <v>230</v>
      </c>
      <c r="G22" s="5" t="s">
        <v>231</v>
      </c>
      <c r="H22" s="5" t="s">
        <v>44</v>
      </c>
      <c r="I22" s="5" t="s">
        <v>232</v>
      </c>
      <c r="J22" s="5" t="s">
        <v>34</v>
      </c>
      <c r="K22" s="5" t="s">
        <v>56</v>
      </c>
      <c r="L22" s="5" t="s">
        <v>56</v>
      </c>
      <c r="M22" s="5" t="s">
        <v>233</v>
      </c>
      <c r="N22" s="5" t="s">
        <v>36</v>
      </c>
      <c r="P22" s="5" t="s">
        <v>57</v>
      </c>
      <c r="R22" s="5" t="s">
        <v>234</v>
      </c>
      <c r="S22" s="5" t="s">
        <v>235</v>
      </c>
      <c r="T22" s="5" t="str">
        <f>CONCATENATE(A1553," - ",B1553,".pdf")</f>
        <v> - .pdf</v>
      </c>
      <c r="U22" s="4">
        <f t="shared" si="1"/>
        <v>45</v>
      </c>
      <c r="V22" s="4" t="str">
        <f t="shared" si="2"/>
        <v>40-49</v>
      </c>
      <c r="W22" s="4" t="str">
        <f t="shared" si="3"/>
        <v>PERÚ</v>
      </c>
      <c r="X22" s="4" t="str">
        <f t="shared" si="4"/>
        <v>MASCULINO</v>
      </c>
      <c r="Y22" s="4" t="str">
        <f t="shared" si="5"/>
        <v>LIMA</v>
      </c>
      <c r="Z22" s="4" t="str">
        <f t="shared" si="6"/>
        <v>LIMA METROPOLITANA</v>
      </c>
      <c r="AA22" s="4"/>
    </row>
    <row r="23" ht="15.75" customHeight="1">
      <c r="A23" s="5" t="s">
        <v>121</v>
      </c>
      <c r="B23" s="5" t="s">
        <v>236</v>
      </c>
      <c r="C23" s="5" t="s">
        <v>237</v>
      </c>
      <c r="D23" s="5" t="s">
        <v>236</v>
      </c>
      <c r="E23" s="5" t="s">
        <v>238</v>
      </c>
      <c r="F23" s="5" t="s">
        <v>239</v>
      </c>
      <c r="G23" s="5" t="s">
        <v>240</v>
      </c>
      <c r="H23" s="5" t="s">
        <v>32</v>
      </c>
      <c r="I23" s="5" t="s">
        <v>241</v>
      </c>
      <c r="J23" s="5" t="s">
        <v>34</v>
      </c>
      <c r="K23" s="5" t="s">
        <v>35</v>
      </c>
      <c r="L23" s="5" t="s">
        <v>35</v>
      </c>
      <c r="M23" s="5" t="s">
        <v>35</v>
      </c>
      <c r="N23" s="5" t="s">
        <v>36</v>
      </c>
      <c r="P23" s="5" t="s">
        <v>57</v>
      </c>
      <c r="R23" s="5" t="s">
        <v>242</v>
      </c>
      <c r="S23" s="5" t="s">
        <v>243</v>
      </c>
      <c r="T23" s="5" t="str">
        <f>CONCATENATE(A1564," - ",B1564,".pdf")</f>
        <v> - .pdf</v>
      </c>
      <c r="U23" s="4">
        <f t="shared" si="1"/>
        <v>42</v>
      </c>
      <c r="V23" s="4" t="str">
        <f t="shared" si="2"/>
        <v>40-49</v>
      </c>
      <c r="W23" s="4" t="str">
        <f t="shared" si="3"/>
        <v>PERÚ</v>
      </c>
      <c r="X23" s="4" t="str">
        <f t="shared" si="4"/>
        <v>FEMENINO</v>
      </c>
      <c r="Y23" s="4" t="str">
        <f t="shared" si="5"/>
        <v>AREQUIPA</v>
      </c>
      <c r="Z23" s="4" t="str">
        <f t="shared" si="6"/>
        <v>LIMA METROPOLITANA</v>
      </c>
      <c r="AA23" s="4"/>
    </row>
    <row r="24" ht="15.75" customHeight="1">
      <c r="A24" s="5" t="s">
        <v>121</v>
      </c>
      <c r="B24" s="5" t="s">
        <v>244</v>
      </c>
      <c r="C24" s="5" t="s">
        <v>245</v>
      </c>
      <c r="D24" s="5" t="s">
        <v>244</v>
      </c>
      <c r="E24" s="5" t="s">
        <v>246</v>
      </c>
      <c r="F24" s="5" t="s">
        <v>247</v>
      </c>
      <c r="G24" s="5" t="s">
        <v>248</v>
      </c>
      <c r="H24" s="5" t="s">
        <v>44</v>
      </c>
      <c r="I24" s="5" t="s">
        <v>249</v>
      </c>
      <c r="J24" s="5" t="s">
        <v>34</v>
      </c>
      <c r="K24" s="5" t="s">
        <v>56</v>
      </c>
      <c r="L24" s="5" t="s">
        <v>56</v>
      </c>
      <c r="M24" s="5" t="s">
        <v>250</v>
      </c>
      <c r="N24" s="5" t="s">
        <v>36</v>
      </c>
      <c r="P24" s="5" t="s">
        <v>57</v>
      </c>
      <c r="R24" s="5" t="s">
        <v>251</v>
      </c>
      <c r="S24" s="5" t="s">
        <v>252</v>
      </c>
      <c r="T24" s="5" t="str">
        <f>CONCATENATE(A1574," - ",B1574,".pdf")</f>
        <v> - .pdf</v>
      </c>
      <c r="U24" s="4">
        <f t="shared" si="1"/>
        <v>52</v>
      </c>
      <c r="V24" s="4" t="str">
        <f t="shared" si="2"/>
        <v>50-59</v>
      </c>
      <c r="W24" s="4" t="str">
        <f t="shared" si="3"/>
        <v>PERÚ</v>
      </c>
      <c r="X24" s="4" t="str">
        <f t="shared" si="4"/>
        <v>MASCULINO</v>
      </c>
      <c r="Y24" s="4" t="str">
        <f t="shared" si="5"/>
        <v>LIMA</v>
      </c>
      <c r="Z24" s="4" t="str">
        <f t="shared" si="6"/>
        <v>LIMA METROPOLITANA</v>
      </c>
      <c r="AA24" s="4"/>
    </row>
    <row r="25" ht="15.75" customHeight="1">
      <c r="A25" s="5" t="s">
        <v>121</v>
      </c>
      <c r="B25" s="5" t="s">
        <v>253</v>
      </c>
      <c r="C25" s="5" t="s">
        <v>254</v>
      </c>
      <c r="D25" s="5" t="s">
        <v>253</v>
      </c>
      <c r="E25" s="5" t="s">
        <v>255</v>
      </c>
      <c r="F25" s="5" t="s">
        <v>256</v>
      </c>
      <c r="G25" s="5" t="s">
        <v>257</v>
      </c>
      <c r="H25" s="5" t="s">
        <v>32</v>
      </c>
      <c r="I25" s="5" t="s">
        <v>258</v>
      </c>
      <c r="J25" s="5" t="s">
        <v>34</v>
      </c>
      <c r="K25" s="5" t="s">
        <v>56</v>
      </c>
      <c r="L25" s="5" t="s">
        <v>56</v>
      </c>
      <c r="M25" s="5" t="s">
        <v>176</v>
      </c>
      <c r="N25" s="5" t="s">
        <v>36</v>
      </c>
      <c r="P25" s="5" t="s">
        <v>86</v>
      </c>
      <c r="R25" s="5" t="s">
        <v>259</v>
      </c>
      <c r="S25" s="5" t="s">
        <v>260</v>
      </c>
      <c r="T25" s="5" t="str">
        <f>CONCATENATE(A1585," - ",B1585,".pdf")</f>
        <v> - .pdf</v>
      </c>
      <c r="U25" s="4">
        <f t="shared" si="1"/>
        <v>41</v>
      </c>
      <c r="V25" s="4" t="str">
        <f t="shared" si="2"/>
        <v>40-49</v>
      </c>
      <c r="W25" s="4" t="str">
        <f t="shared" si="3"/>
        <v>PERÚ</v>
      </c>
      <c r="X25" s="4" t="str">
        <f t="shared" si="4"/>
        <v>FEMENINO</v>
      </c>
      <c r="Y25" s="4" t="str">
        <f t="shared" si="5"/>
        <v>LIMA</v>
      </c>
      <c r="Z25" s="4" t="str">
        <f t="shared" si="6"/>
        <v>ANCASH</v>
      </c>
      <c r="AA25" s="4"/>
    </row>
    <row r="26" ht="15.75" customHeight="1">
      <c r="A26" s="5" t="s">
        <v>121</v>
      </c>
      <c r="B26" s="5" t="s">
        <v>261</v>
      </c>
      <c r="C26" s="5" t="s">
        <v>262</v>
      </c>
      <c r="D26" s="5" t="s">
        <v>261</v>
      </c>
      <c r="E26" s="5" t="s">
        <v>263</v>
      </c>
      <c r="F26" s="5" t="s">
        <v>264</v>
      </c>
      <c r="G26" s="5" t="s">
        <v>265</v>
      </c>
      <c r="H26" s="5" t="s">
        <v>32</v>
      </c>
      <c r="I26" s="5" t="s">
        <v>266</v>
      </c>
      <c r="J26" s="5" t="s">
        <v>34</v>
      </c>
      <c r="K26" s="5" t="s">
        <v>196</v>
      </c>
      <c r="L26" s="5" t="s">
        <v>197</v>
      </c>
      <c r="M26" s="5" t="s">
        <v>267</v>
      </c>
      <c r="N26" s="5" t="s">
        <v>36</v>
      </c>
      <c r="P26" s="5" t="s">
        <v>206</v>
      </c>
      <c r="R26" s="5" t="s">
        <v>268</v>
      </c>
      <c r="S26" s="5" t="s">
        <v>269</v>
      </c>
      <c r="T26" s="5" t="str">
        <f>CONCATENATE(A1600," - ",B1600,".pdf")</f>
        <v> - .pdf</v>
      </c>
      <c r="U26" s="4">
        <f t="shared" si="1"/>
        <v>62</v>
      </c>
      <c r="V26" s="4" t="str">
        <f t="shared" si="2"/>
        <v>60+</v>
      </c>
      <c r="W26" s="4" t="str">
        <f t="shared" si="3"/>
        <v>PERÚ</v>
      </c>
      <c r="X26" s="4" t="str">
        <f t="shared" si="4"/>
        <v>FEMENINO</v>
      </c>
      <c r="Y26" s="4" t="str">
        <f t="shared" si="5"/>
        <v>LAMBAYEQUE</v>
      </c>
      <c r="Z26" s="4" t="str">
        <f t="shared" si="6"/>
        <v>AMAZONAS</v>
      </c>
      <c r="AA26" s="4"/>
    </row>
    <row r="27" ht="15.75" customHeight="1">
      <c r="A27" s="5" t="s">
        <v>121</v>
      </c>
      <c r="B27" s="5" t="s">
        <v>270</v>
      </c>
      <c r="C27" s="5" t="s">
        <v>271</v>
      </c>
      <c r="D27" s="5" t="s">
        <v>270</v>
      </c>
      <c r="E27" s="5" t="s">
        <v>272</v>
      </c>
      <c r="F27" s="5" t="s">
        <v>273</v>
      </c>
      <c r="G27" s="5" t="s">
        <v>274</v>
      </c>
      <c r="H27" s="5" t="s">
        <v>32</v>
      </c>
      <c r="I27" s="5" t="s">
        <v>275</v>
      </c>
      <c r="J27" s="5" t="s">
        <v>34</v>
      </c>
      <c r="K27" s="5" t="s">
        <v>56</v>
      </c>
      <c r="L27" s="5" t="s">
        <v>56</v>
      </c>
      <c r="M27" s="5" t="s">
        <v>56</v>
      </c>
      <c r="N27" s="5" t="s">
        <v>36</v>
      </c>
      <c r="P27" s="5" t="s">
        <v>276</v>
      </c>
      <c r="R27" s="5" t="s">
        <v>277</v>
      </c>
      <c r="S27" s="5" t="s">
        <v>278</v>
      </c>
      <c r="T27" s="5" t="str">
        <f>CONCATENATE(A1607," - ",B1607,".pdf")</f>
        <v> - .pdf</v>
      </c>
      <c r="U27" s="4">
        <f t="shared" si="1"/>
        <v>43</v>
      </c>
      <c r="V27" s="4" t="str">
        <f t="shared" si="2"/>
        <v>40-49</v>
      </c>
      <c r="W27" s="4" t="str">
        <f t="shared" si="3"/>
        <v>PERÚ</v>
      </c>
      <c r="X27" s="4" t="str">
        <f t="shared" si="4"/>
        <v>FEMENINO</v>
      </c>
      <c r="Y27" s="4" t="str">
        <f t="shared" si="5"/>
        <v>LIMA</v>
      </c>
      <c r="Z27" s="4" t="str">
        <f t="shared" si="6"/>
        <v>LA LIBERTAD</v>
      </c>
      <c r="AA27" s="4"/>
    </row>
    <row r="28" ht="15.75" customHeight="1">
      <c r="A28" s="5" t="s">
        <v>121</v>
      </c>
      <c r="B28" s="5" t="s">
        <v>279</v>
      </c>
      <c r="C28" s="5" t="s">
        <v>280</v>
      </c>
      <c r="D28" s="5" t="s">
        <v>279</v>
      </c>
      <c r="E28" s="5" t="s">
        <v>247</v>
      </c>
      <c r="F28" s="5" t="s">
        <v>281</v>
      </c>
      <c r="G28" s="5" t="s">
        <v>282</v>
      </c>
      <c r="H28" s="5" t="s">
        <v>32</v>
      </c>
      <c r="I28" s="5" t="s">
        <v>283</v>
      </c>
      <c r="J28" s="5" t="s">
        <v>34</v>
      </c>
      <c r="K28" s="5" t="s">
        <v>56</v>
      </c>
      <c r="L28" s="5" t="s">
        <v>56</v>
      </c>
      <c r="M28" s="5" t="s">
        <v>284</v>
      </c>
      <c r="N28" s="5" t="s">
        <v>36</v>
      </c>
      <c r="P28" s="5" t="s">
        <v>285</v>
      </c>
      <c r="R28" s="5" t="s">
        <v>286</v>
      </c>
      <c r="S28" s="5" t="s">
        <v>287</v>
      </c>
      <c r="T28" s="5" t="str">
        <f>CONCATENATE(A1624," - ",B1624,".pdf")</f>
        <v> - .pdf</v>
      </c>
      <c r="U28" s="4">
        <f t="shared" si="1"/>
        <v>51</v>
      </c>
      <c r="V28" s="4" t="str">
        <f t="shared" si="2"/>
        <v>50-59</v>
      </c>
      <c r="W28" s="4" t="str">
        <f t="shared" si="3"/>
        <v>PERÚ</v>
      </c>
      <c r="X28" s="4" t="str">
        <f t="shared" si="4"/>
        <v>FEMENINO</v>
      </c>
      <c r="Y28" s="4" t="str">
        <f t="shared" si="5"/>
        <v>LIMA</v>
      </c>
      <c r="Z28" s="4" t="str">
        <f t="shared" si="6"/>
        <v>PERUANOS RESIDENTES EN EL EXTRANJERO</v>
      </c>
      <c r="AA28" s="4"/>
    </row>
    <row r="29" ht="15.75" customHeight="1">
      <c r="A29" s="5" t="s">
        <v>121</v>
      </c>
      <c r="B29" s="5" t="s">
        <v>288</v>
      </c>
      <c r="C29" s="5" t="s">
        <v>289</v>
      </c>
      <c r="D29" s="5" t="s">
        <v>288</v>
      </c>
      <c r="E29" s="5" t="s">
        <v>290</v>
      </c>
      <c r="F29" s="5" t="s">
        <v>291</v>
      </c>
      <c r="G29" s="5" t="s">
        <v>292</v>
      </c>
      <c r="H29" s="5" t="s">
        <v>32</v>
      </c>
      <c r="I29" s="5" t="s">
        <v>293</v>
      </c>
      <c r="J29" s="5" t="s">
        <v>34</v>
      </c>
      <c r="K29" s="5" t="s">
        <v>128</v>
      </c>
      <c r="L29" s="5" t="s">
        <v>129</v>
      </c>
      <c r="M29" s="5" t="s">
        <v>130</v>
      </c>
      <c r="N29" s="5" t="s">
        <v>36</v>
      </c>
      <c r="P29" s="5" t="s">
        <v>128</v>
      </c>
      <c r="R29" s="5" t="s">
        <v>294</v>
      </c>
      <c r="S29" s="5" t="s">
        <v>295</v>
      </c>
      <c r="T29" s="5" t="str">
        <f>CONCATENATE(A1634," - ",B1634,".pdf")</f>
        <v> - .pdf</v>
      </c>
      <c r="U29" s="4">
        <f t="shared" si="1"/>
        <v>52</v>
      </c>
      <c r="V29" s="4" t="str">
        <f t="shared" si="2"/>
        <v>50-59</v>
      </c>
      <c r="W29" s="4" t="str">
        <f t="shared" si="3"/>
        <v>PERÚ</v>
      </c>
      <c r="X29" s="4" t="str">
        <f t="shared" si="4"/>
        <v>FEMENINO</v>
      </c>
      <c r="Y29" s="4" t="str">
        <f t="shared" si="5"/>
        <v>UCAYALI</v>
      </c>
      <c r="Z29" s="4" t="str">
        <f t="shared" si="6"/>
        <v>UCAYALI</v>
      </c>
      <c r="AA29" s="4"/>
    </row>
    <row r="30" ht="15.75" customHeight="1">
      <c r="A30" s="5" t="s">
        <v>121</v>
      </c>
      <c r="B30" s="5" t="s">
        <v>296</v>
      </c>
      <c r="C30" s="5" t="s">
        <v>297</v>
      </c>
      <c r="D30" s="5" t="s">
        <v>296</v>
      </c>
      <c r="E30" s="5" t="s">
        <v>298</v>
      </c>
      <c r="F30" s="5" t="s">
        <v>299</v>
      </c>
      <c r="G30" s="5" t="s">
        <v>300</v>
      </c>
      <c r="H30" s="5" t="s">
        <v>32</v>
      </c>
      <c r="I30" s="5" t="s">
        <v>301</v>
      </c>
      <c r="J30" s="5" t="s">
        <v>34</v>
      </c>
      <c r="K30" s="5" t="s">
        <v>196</v>
      </c>
      <c r="L30" s="5" t="s">
        <v>197</v>
      </c>
      <c r="M30" s="5" t="s">
        <v>197</v>
      </c>
      <c r="N30" s="5" t="s">
        <v>36</v>
      </c>
      <c r="P30" s="5" t="s">
        <v>177</v>
      </c>
      <c r="R30" s="5" t="s">
        <v>302</v>
      </c>
      <c r="S30" s="5" t="s">
        <v>303</v>
      </c>
      <c r="T30" s="5" t="str">
        <f>CONCATENATE(A1637," - ",B1637,".pdf")</f>
        <v> - .pdf</v>
      </c>
      <c r="U30" s="4">
        <f t="shared" si="1"/>
        <v>72</v>
      </c>
      <c r="V30" s="4" t="str">
        <f t="shared" si="2"/>
        <v>60+</v>
      </c>
      <c r="W30" s="4" t="str">
        <f t="shared" si="3"/>
        <v>PERÚ</v>
      </c>
      <c r="X30" s="4" t="str">
        <f t="shared" si="4"/>
        <v>FEMENINO</v>
      </c>
      <c r="Y30" s="4" t="str">
        <f t="shared" si="5"/>
        <v>LAMBAYEQUE</v>
      </c>
      <c r="Z30" s="4" t="str">
        <f t="shared" si="6"/>
        <v>CALLAO</v>
      </c>
      <c r="AA30" s="4"/>
    </row>
    <row r="31" ht="15.75" customHeight="1">
      <c r="A31" s="5" t="s">
        <v>121</v>
      </c>
      <c r="B31" s="5" t="s">
        <v>304</v>
      </c>
      <c r="C31" s="5" t="s">
        <v>305</v>
      </c>
      <c r="D31" s="5" t="s">
        <v>304</v>
      </c>
      <c r="E31" s="5" t="s">
        <v>306</v>
      </c>
      <c r="F31" s="5" t="s">
        <v>307</v>
      </c>
      <c r="G31" s="5" t="s">
        <v>308</v>
      </c>
      <c r="H31" s="5" t="s">
        <v>44</v>
      </c>
      <c r="I31" s="5" t="s">
        <v>309</v>
      </c>
      <c r="J31" s="5" t="s">
        <v>34</v>
      </c>
      <c r="K31" s="5" t="s">
        <v>56</v>
      </c>
      <c r="L31" s="5" t="s">
        <v>56</v>
      </c>
      <c r="M31" s="5" t="s">
        <v>310</v>
      </c>
      <c r="N31" s="5" t="s">
        <v>36</v>
      </c>
      <c r="P31" s="5" t="s">
        <v>57</v>
      </c>
      <c r="R31" s="5" t="s">
        <v>311</v>
      </c>
      <c r="S31" s="5" t="s">
        <v>312</v>
      </c>
      <c r="T31" s="5" t="str">
        <f t="shared" ref="T31:T32" si="8">CONCATENATE(A1646," - ",B1646,".pdf")</f>
        <v> - .pdf</v>
      </c>
      <c r="U31" s="4">
        <f t="shared" si="1"/>
        <v>34</v>
      </c>
      <c r="V31" s="4" t="str">
        <f t="shared" si="2"/>
        <v>30-39</v>
      </c>
      <c r="W31" s="4" t="str">
        <f t="shared" si="3"/>
        <v>PERÚ</v>
      </c>
      <c r="X31" s="4" t="str">
        <f t="shared" si="4"/>
        <v>MASCULINO</v>
      </c>
      <c r="Y31" s="4" t="str">
        <f t="shared" si="5"/>
        <v>LIMA</v>
      </c>
      <c r="Z31" s="4" t="str">
        <f t="shared" si="6"/>
        <v>LIMA METROPOLITANA</v>
      </c>
      <c r="AA31" s="4"/>
    </row>
    <row r="32" ht="15.75" customHeight="1">
      <c r="A32" s="5" t="s">
        <v>121</v>
      </c>
      <c r="B32" s="5" t="s">
        <v>313</v>
      </c>
      <c r="C32" s="5" t="s">
        <v>314</v>
      </c>
      <c r="D32" s="5" t="s">
        <v>313</v>
      </c>
      <c r="E32" s="5" t="s">
        <v>315</v>
      </c>
      <c r="F32" s="5" t="s">
        <v>247</v>
      </c>
      <c r="G32" s="5" t="s">
        <v>316</v>
      </c>
      <c r="H32" s="5" t="s">
        <v>44</v>
      </c>
      <c r="I32" s="5" t="s">
        <v>317</v>
      </c>
      <c r="J32" s="5" t="s">
        <v>34</v>
      </c>
      <c r="K32" s="5" t="s">
        <v>196</v>
      </c>
      <c r="L32" s="5" t="s">
        <v>197</v>
      </c>
      <c r="M32" s="5" t="s">
        <v>318</v>
      </c>
      <c r="N32" s="5" t="s">
        <v>36</v>
      </c>
      <c r="P32" s="5" t="s">
        <v>196</v>
      </c>
      <c r="R32" s="5" t="s">
        <v>319</v>
      </c>
      <c r="S32" s="5" t="s">
        <v>320</v>
      </c>
      <c r="T32" s="5" t="str">
        <f t="shared" si="8"/>
        <v> - .pdf</v>
      </c>
      <c r="U32" s="4">
        <f t="shared" si="1"/>
        <v>37</v>
      </c>
      <c r="V32" s="4" t="str">
        <f t="shared" si="2"/>
        <v>30-39</v>
      </c>
      <c r="W32" s="4" t="str">
        <f t="shared" si="3"/>
        <v>PERÚ</v>
      </c>
      <c r="X32" s="4" t="str">
        <f t="shared" si="4"/>
        <v>MASCULINO</v>
      </c>
      <c r="Y32" s="4" t="str">
        <f t="shared" si="5"/>
        <v>LAMBAYEQUE</v>
      </c>
      <c r="Z32" s="4" t="str">
        <f t="shared" si="6"/>
        <v>LAMBAYEQUE</v>
      </c>
      <c r="AA32" s="4"/>
    </row>
    <row r="33" ht="15.75" customHeight="1">
      <c r="A33" s="5" t="s">
        <v>121</v>
      </c>
      <c r="B33" s="5" t="s">
        <v>321</v>
      </c>
      <c r="C33" s="5" t="s">
        <v>322</v>
      </c>
      <c r="D33" s="5" t="s">
        <v>321</v>
      </c>
      <c r="E33" s="5" t="s">
        <v>323</v>
      </c>
      <c r="F33" s="5" t="s">
        <v>324</v>
      </c>
      <c r="G33" s="5" t="s">
        <v>325</v>
      </c>
      <c r="H33" s="5" t="s">
        <v>32</v>
      </c>
      <c r="I33" s="5" t="s">
        <v>326</v>
      </c>
      <c r="J33" s="5" t="s">
        <v>34</v>
      </c>
      <c r="K33" s="5" t="s">
        <v>105</v>
      </c>
      <c r="L33" s="5" t="s">
        <v>327</v>
      </c>
      <c r="M33" s="5" t="s">
        <v>327</v>
      </c>
      <c r="N33" s="5" t="s">
        <v>36</v>
      </c>
      <c r="P33" s="5" t="s">
        <v>105</v>
      </c>
      <c r="R33" s="5" t="s">
        <v>328</v>
      </c>
      <c r="S33" s="5" t="s">
        <v>329</v>
      </c>
      <c r="T33" s="5" t="str">
        <f t="shared" ref="T33:T34" si="9">CONCATENATE(A1653," - ",B1653,".pdf")</f>
        <v> - .pdf</v>
      </c>
      <c r="U33" s="4">
        <f t="shared" si="1"/>
        <v>59</v>
      </c>
      <c r="V33" s="4" t="str">
        <f t="shared" si="2"/>
        <v>50-59</v>
      </c>
      <c r="W33" s="4" t="str">
        <f t="shared" si="3"/>
        <v>PERÚ</v>
      </c>
      <c r="X33" s="4" t="str">
        <f t="shared" si="4"/>
        <v>FEMENINO</v>
      </c>
      <c r="Y33" s="4" t="str">
        <f t="shared" si="5"/>
        <v>JUNIN</v>
      </c>
      <c r="Z33" s="4" t="str">
        <f t="shared" si="6"/>
        <v>JUNIN</v>
      </c>
      <c r="AA33" s="4"/>
    </row>
    <row r="34" ht="15.75" customHeight="1">
      <c r="A34" s="5" t="s">
        <v>121</v>
      </c>
      <c r="B34" s="5" t="s">
        <v>330</v>
      </c>
      <c r="C34" s="5" t="s">
        <v>331</v>
      </c>
      <c r="D34" s="5" t="s">
        <v>330</v>
      </c>
      <c r="E34" s="5" t="s">
        <v>332</v>
      </c>
      <c r="F34" s="5" t="s">
        <v>333</v>
      </c>
      <c r="G34" s="5" t="s">
        <v>334</v>
      </c>
      <c r="H34" s="5" t="s">
        <v>32</v>
      </c>
      <c r="I34" s="5" t="s">
        <v>335</v>
      </c>
      <c r="J34" s="5" t="s">
        <v>34</v>
      </c>
      <c r="K34" s="5" t="s">
        <v>56</v>
      </c>
      <c r="L34" s="5" t="s">
        <v>56</v>
      </c>
      <c r="M34" s="5" t="s">
        <v>310</v>
      </c>
      <c r="N34" s="5" t="s">
        <v>36</v>
      </c>
      <c r="P34" s="5" t="s">
        <v>186</v>
      </c>
      <c r="R34" s="5" t="s">
        <v>336</v>
      </c>
      <c r="S34" s="5" t="s">
        <v>337</v>
      </c>
      <c r="T34" s="5" t="str">
        <f t="shared" si="9"/>
        <v> - .pdf</v>
      </c>
      <c r="U34" s="4">
        <f t="shared" si="1"/>
        <v>46</v>
      </c>
      <c r="V34" s="4" t="str">
        <f t="shared" si="2"/>
        <v>40-49</v>
      </c>
      <c r="W34" s="4" t="str">
        <f t="shared" si="3"/>
        <v>PERÚ</v>
      </c>
      <c r="X34" s="4" t="str">
        <f t="shared" si="4"/>
        <v>FEMENINO</v>
      </c>
      <c r="Y34" s="4" t="str">
        <f t="shared" si="5"/>
        <v>LIMA</v>
      </c>
      <c r="Z34" s="4" t="str">
        <f t="shared" si="6"/>
        <v>PIURA</v>
      </c>
      <c r="AA34" s="4"/>
    </row>
    <row r="35" ht="15.75" customHeight="1">
      <c r="A35" s="5" t="s">
        <v>121</v>
      </c>
      <c r="B35" s="5" t="s">
        <v>338</v>
      </c>
      <c r="C35" s="5" t="s">
        <v>339</v>
      </c>
      <c r="D35" s="5" t="s">
        <v>338</v>
      </c>
      <c r="E35" s="5" t="s">
        <v>125</v>
      </c>
      <c r="F35" s="5" t="s">
        <v>340</v>
      </c>
      <c r="G35" s="5" t="s">
        <v>341</v>
      </c>
      <c r="H35" s="5" t="s">
        <v>32</v>
      </c>
      <c r="I35" s="5" t="s">
        <v>342</v>
      </c>
      <c r="J35" s="5" t="s">
        <v>34</v>
      </c>
      <c r="K35" s="5" t="s">
        <v>343</v>
      </c>
      <c r="L35" s="5" t="s">
        <v>344</v>
      </c>
      <c r="M35" s="5" t="s">
        <v>345</v>
      </c>
      <c r="N35" s="5" t="s">
        <v>36</v>
      </c>
      <c r="P35" s="5" t="s">
        <v>343</v>
      </c>
      <c r="R35" s="5" t="s">
        <v>346</v>
      </c>
      <c r="S35" s="5" t="s">
        <v>347</v>
      </c>
      <c r="T35" s="5" t="str">
        <f>CONCATENATE(A1658," - ",B1658,".pdf")</f>
        <v> - .pdf</v>
      </c>
      <c r="U35" s="4">
        <f t="shared" si="1"/>
        <v>48</v>
      </c>
      <c r="V35" s="4" t="str">
        <f t="shared" si="2"/>
        <v>40-49</v>
      </c>
      <c r="W35" s="4" t="str">
        <f t="shared" si="3"/>
        <v>PERÚ</v>
      </c>
      <c r="X35" s="4" t="str">
        <f t="shared" si="4"/>
        <v>FEMENINO</v>
      </c>
      <c r="Y35" s="4" t="str">
        <f t="shared" si="5"/>
        <v>LORETO</v>
      </c>
      <c r="Z35" s="4" t="str">
        <f t="shared" si="6"/>
        <v>LORETO</v>
      </c>
      <c r="AA35" s="4"/>
    </row>
    <row r="36" ht="15.75" customHeight="1">
      <c r="A36" s="5" t="s">
        <v>121</v>
      </c>
      <c r="B36" s="5" t="s">
        <v>348</v>
      </c>
      <c r="C36" s="5" t="s">
        <v>349</v>
      </c>
      <c r="D36" s="5" t="s">
        <v>348</v>
      </c>
      <c r="E36" s="5" t="s">
        <v>350</v>
      </c>
      <c r="F36" s="5" t="s">
        <v>113</v>
      </c>
      <c r="G36" s="5" t="s">
        <v>351</v>
      </c>
      <c r="H36" s="5" t="s">
        <v>44</v>
      </c>
      <c r="I36" s="5" t="s">
        <v>352</v>
      </c>
      <c r="J36" s="5" t="s">
        <v>34</v>
      </c>
      <c r="K36" s="5" t="s">
        <v>196</v>
      </c>
      <c r="L36" s="5" t="s">
        <v>197</v>
      </c>
      <c r="M36" s="5" t="s">
        <v>197</v>
      </c>
      <c r="N36" s="5" t="s">
        <v>36</v>
      </c>
      <c r="P36" s="5" t="s">
        <v>186</v>
      </c>
      <c r="R36" s="5" t="s">
        <v>353</v>
      </c>
      <c r="S36" s="5" t="s">
        <v>354</v>
      </c>
      <c r="T36" s="5" t="str">
        <f>CONCATENATE(A1671," - ",B1671,".pdf")</f>
        <v> - .pdf</v>
      </c>
      <c r="U36" s="4">
        <f t="shared" si="1"/>
        <v>39</v>
      </c>
      <c r="V36" s="4" t="str">
        <f t="shared" si="2"/>
        <v>30-39</v>
      </c>
      <c r="W36" s="4" t="str">
        <f t="shared" si="3"/>
        <v>PERÚ</v>
      </c>
      <c r="X36" s="4" t="str">
        <f t="shared" si="4"/>
        <v>MASCULINO</v>
      </c>
      <c r="Y36" s="4" t="str">
        <f t="shared" si="5"/>
        <v>LAMBAYEQUE</v>
      </c>
      <c r="Z36" s="4" t="str">
        <f t="shared" si="6"/>
        <v>PIURA</v>
      </c>
      <c r="AA36" s="4"/>
    </row>
    <row r="37" ht="15.75" customHeight="1">
      <c r="A37" s="5" t="s">
        <v>121</v>
      </c>
      <c r="B37" s="5" t="s">
        <v>355</v>
      </c>
      <c r="C37" s="5" t="s">
        <v>356</v>
      </c>
      <c r="D37" s="5" t="s">
        <v>355</v>
      </c>
      <c r="E37" s="5" t="s">
        <v>357</v>
      </c>
      <c r="F37" s="5" t="s">
        <v>358</v>
      </c>
      <c r="G37" s="5" t="s">
        <v>359</v>
      </c>
      <c r="H37" s="5" t="s">
        <v>44</v>
      </c>
      <c r="I37" s="5" t="s">
        <v>360</v>
      </c>
      <c r="J37" s="5" t="s">
        <v>34</v>
      </c>
      <c r="K37" s="5" t="s">
        <v>56</v>
      </c>
      <c r="L37" s="5" t="s">
        <v>361</v>
      </c>
      <c r="M37" s="5" t="s">
        <v>362</v>
      </c>
      <c r="N37" s="5" t="s">
        <v>36</v>
      </c>
      <c r="P37" s="5" t="s">
        <v>150</v>
      </c>
      <c r="R37" s="5" t="s">
        <v>363</v>
      </c>
      <c r="S37" s="5" t="s">
        <v>364</v>
      </c>
      <c r="T37" s="5" t="str">
        <f>CONCATENATE(A1687," - ",B1687,".pdf")</f>
        <v> - .pdf</v>
      </c>
      <c r="U37" s="4">
        <f t="shared" si="1"/>
        <v>47</v>
      </c>
      <c r="V37" s="4" t="str">
        <f t="shared" si="2"/>
        <v>40-49</v>
      </c>
      <c r="W37" s="4" t="str">
        <f t="shared" si="3"/>
        <v>PERÚ</v>
      </c>
      <c r="X37" s="4" t="str">
        <f t="shared" si="4"/>
        <v>MASCULINO</v>
      </c>
      <c r="Y37" s="4" t="str">
        <f t="shared" si="5"/>
        <v>LIMA</v>
      </c>
      <c r="Z37" s="4" t="str">
        <f t="shared" si="6"/>
        <v>LIMA PROVINCIAS</v>
      </c>
      <c r="AA37" s="4"/>
    </row>
    <row r="38" ht="15.75" customHeight="1">
      <c r="A38" s="5" t="s">
        <v>121</v>
      </c>
      <c r="B38" s="5" t="s">
        <v>365</v>
      </c>
      <c r="C38" s="5" t="s">
        <v>366</v>
      </c>
      <c r="D38" s="5" t="s">
        <v>365</v>
      </c>
      <c r="E38" s="5" t="s">
        <v>367</v>
      </c>
      <c r="F38" s="5" t="s">
        <v>368</v>
      </c>
      <c r="G38" s="5" t="s">
        <v>369</v>
      </c>
      <c r="H38" s="5" t="s">
        <v>44</v>
      </c>
      <c r="I38" s="5" t="s">
        <v>370</v>
      </c>
      <c r="J38" s="5" t="s">
        <v>34</v>
      </c>
      <c r="K38" s="5" t="s">
        <v>371</v>
      </c>
      <c r="L38" s="5" t="s">
        <v>372</v>
      </c>
      <c r="M38" s="5" t="s">
        <v>372</v>
      </c>
      <c r="N38" s="5" t="s">
        <v>36</v>
      </c>
      <c r="P38" s="5" t="s">
        <v>371</v>
      </c>
      <c r="R38" s="5" t="s">
        <v>373</v>
      </c>
      <c r="S38" s="5" t="s">
        <v>374</v>
      </c>
      <c r="T38" s="5" t="str">
        <f>CONCATENATE(A1705," - ",B1705,".pdf")</f>
        <v> - .pdf</v>
      </c>
      <c r="U38" s="4">
        <f t="shared" si="1"/>
        <v>52</v>
      </c>
      <c r="V38" s="4" t="str">
        <f t="shared" si="2"/>
        <v>50-59</v>
      </c>
      <c r="W38" s="4" t="str">
        <f t="shared" si="3"/>
        <v>PERÚ</v>
      </c>
      <c r="X38" s="4" t="str">
        <f t="shared" si="4"/>
        <v>MASCULINO</v>
      </c>
      <c r="Y38" s="4" t="str">
        <f t="shared" si="5"/>
        <v>CAJAMARCA</v>
      </c>
      <c r="Z38" s="4" t="str">
        <f t="shared" si="6"/>
        <v>CAJAMARCA</v>
      </c>
      <c r="AA38" s="4"/>
    </row>
    <row r="39" ht="15.75" customHeight="1">
      <c r="A39" s="5" t="s">
        <v>121</v>
      </c>
      <c r="B39" s="5" t="s">
        <v>375</v>
      </c>
      <c r="C39" s="5" t="s">
        <v>376</v>
      </c>
      <c r="D39" s="5" t="s">
        <v>375</v>
      </c>
      <c r="E39" s="5" t="s">
        <v>377</v>
      </c>
      <c r="F39" s="5" t="s">
        <v>378</v>
      </c>
      <c r="G39" s="5" t="s">
        <v>379</v>
      </c>
      <c r="H39" s="5" t="s">
        <v>44</v>
      </c>
      <c r="I39" s="5" t="s">
        <v>380</v>
      </c>
      <c r="J39" s="5" t="s">
        <v>34</v>
      </c>
      <c r="K39" s="5" t="s">
        <v>56</v>
      </c>
      <c r="L39" s="5" t="s">
        <v>56</v>
      </c>
      <c r="M39" s="5" t="s">
        <v>381</v>
      </c>
      <c r="N39" s="5" t="s">
        <v>382</v>
      </c>
      <c r="O39" s="5" t="s">
        <v>383</v>
      </c>
      <c r="P39" s="5" t="s">
        <v>384</v>
      </c>
      <c r="R39" s="5" t="s">
        <v>385</v>
      </c>
      <c r="S39" s="5" t="s">
        <v>386</v>
      </c>
      <c r="T39" s="5" t="str">
        <f t="shared" ref="T39:T40" si="10">CONCATENATE(A1709," - ",B1709,".pdf")</f>
        <v> - .pdf</v>
      </c>
      <c r="U39" s="4">
        <f t="shared" si="1"/>
        <v>46</v>
      </c>
      <c r="V39" s="4" t="str">
        <f t="shared" si="2"/>
        <v>40-49</v>
      </c>
      <c r="W39" s="4" t="str">
        <f t="shared" si="3"/>
        <v>PERÚ</v>
      </c>
      <c r="X39" s="4" t="str">
        <f t="shared" si="4"/>
        <v>MASCULINO</v>
      </c>
      <c r="Y39" s="4" t="str">
        <f t="shared" si="5"/>
        <v>LIMA</v>
      </c>
      <c r="Z39" s="4" t="str">
        <f t="shared" si="6"/>
        <v>ÚNICO NACIONAL</v>
      </c>
      <c r="AA39" s="4"/>
    </row>
    <row r="40" ht="15.75" customHeight="1">
      <c r="A40" s="5" t="s">
        <v>121</v>
      </c>
      <c r="B40" s="5" t="s">
        <v>387</v>
      </c>
      <c r="C40" s="5" t="s">
        <v>388</v>
      </c>
      <c r="D40" s="5" t="s">
        <v>387</v>
      </c>
      <c r="E40" s="5" t="s">
        <v>389</v>
      </c>
      <c r="F40" s="5" t="s">
        <v>390</v>
      </c>
      <c r="G40" s="5" t="s">
        <v>391</v>
      </c>
      <c r="H40" s="5" t="s">
        <v>44</v>
      </c>
      <c r="I40" s="5" t="s">
        <v>392</v>
      </c>
      <c r="J40" s="5" t="s">
        <v>34</v>
      </c>
      <c r="K40" s="5" t="s">
        <v>56</v>
      </c>
      <c r="L40" s="5" t="s">
        <v>56</v>
      </c>
      <c r="M40" s="5" t="s">
        <v>56</v>
      </c>
      <c r="N40" s="5" t="s">
        <v>36</v>
      </c>
      <c r="P40" s="5" t="s">
        <v>276</v>
      </c>
      <c r="R40" s="5" t="s">
        <v>393</v>
      </c>
      <c r="S40" s="5" t="s">
        <v>394</v>
      </c>
      <c r="T40" s="5" t="str">
        <f t="shared" si="10"/>
        <v> - .pdf</v>
      </c>
      <c r="U40" s="4">
        <f t="shared" si="1"/>
        <v>59</v>
      </c>
      <c r="V40" s="4" t="str">
        <f t="shared" si="2"/>
        <v>50-59</v>
      </c>
      <c r="W40" s="4" t="str">
        <f t="shared" si="3"/>
        <v>PERÚ</v>
      </c>
      <c r="X40" s="4" t="str">
        <f t="shared" si="4"/>
        <v>MASCULINO</v>
      </c>
      <c r="Y40" s="4" t="str">
        <f t="shared" si="5"/>
        <v>LIMA</v>
      </c>
      <c r="Z40" s="4" t="str">
        <f t="shared" si="6"/>
        <v>LA LIBERTAD</v>
      </c>
      <c r="AA40" s="4"/>
    </row>
    <row r="41" ht="15.75" customHeight="1">
      <c r="A41" s="5" t="s">
        <v>121</v>
      </c>
      <c r="B41" s="5" t="s">
        <v>395</v>
      </c>
      <c r="C41" s="5" t="s">
        <v>396</v>
      </c>
      <c r="D41" s="5" t="s">
        <v>395</v>
      </c>
      <c r="E41" s="5" t="s">
        <v>397</v>
      </c>
      <c r="F41" s="5" t="s">
        <v>398</v>
      </c>
      <c r="G41" s="5" t="s">
        <v>399</v>
      </c>
      <c r="H41" s="5" t="s">
        <v>44</v>
      </c>
      <c r="I41" s="5" t="s">
        <v>400</v>
      </c>
      <c r="J41" s="5" t="s">
        <v>34</v>
      </c>
      <c r="K41" s="5" t="s">
        <v>401</v>
      </c>
      <c r="L41" s="5" t="s">
        <v>401</v>
      </c>
      <c r="M41" s="5" t="s">
        <v>402</v>
      </c>
      <c r="N41" s="5" t="s">
        <v>36</v>
      </c>
      <c r="P41" s="5" t="s">
        <v>401</v>
      </c>
      <c r="R41" s="5" t="s">
        <v>403</v>
      </c>
      <c r="S41" s="5" t="s">
        <v>404</v>
      </c>
      <c r="T41" s="5" t="str">
        <f>CONCATENATE(A1717," - ",B1717,".pdf")</f>
        <v> - .pdf</v>
      </c>
      <c r="U41" s="4">
        <f t="shared" si="1"/>
        <v>33</v>
      </c>
      <c r="V41" s="4" t="str">
        <f t="shared" si="2"/>
        <v>30-39</v>
      </c>
      <c r="W41" s="4" t="str">
        <f t="shared" si="3"/>
        <v>PERÚ</v>
      </c>
      <c r="X41" s="4" t="str">
        <f t="shared" si="4"/>
        <v>MASCULINO</v>
      </c>
      <c r="Y41" s="4" t="str">
        <f t="shared" si="5"/>
        <v>PASCO</v>
      </c>
      <c r="Z41" s="4" t="str">
        <f t="shared" si="6"/>
        <v>PASCO</v>
      </c>
      <c r="AA41" s="4"/>
    </row>
    <row r="42" ht="15.75" customHeight="1">
      <c r="A42" s="5" t="s">
        <v>121</v>
      </c>
      <c r="B42" s="5" t="s">
        <v>405</v>
      </c>
      <c r="C42" s="5" t="s">
        <v>406</v>
      </c>
      <c r="D42" s="5" t="s">
        <v>405</v>
      </c>
      <c r="E42" s="5" t="s">
        <v>407</v>
      </c>
      <c r="F42" s="5" t="s">
        <v>408</v>
      </c>
      <c r="G42" s="5" t="s">
        <v>351</v>
      </c>
      <c r="H42" s="5" t="s">
        <v>44</v>
      </c>
      <c r="I42" s="5" t="s">
        <v>409</v>
      </c>
      <c r="J42" s="5" t="s">
        <v>34</v>
      </c>
      <c r="K42" s="5" t="s">
        <v>343</v>
      </c>
      <c r="L42" s="5" t="s">
        <v>344</v>
      </c>
      <c r="M42" s="5" t="s">
        <v>345</v>
      </c>
      <c r="N42" s="5" t="s">
        <v>36</v>
      </c>
      <c r="P42" s="5" t="s">
        <v>343</v>
      </c>
      <c r="R42" s="5" t="s">
        <v>410</v>
      </c>
      <c r="S42" s="5" t="s">
        <v>411</v>
      </c>
      <c r="T42" s="5" t="str">
        <f>CONCATENATE(A1728," - ",B1728,".pdf")</f>
        <v> - .pdf</v>
      </c>
      <c r="U42" s="4">
        <f t="shared" si="1"/>
        <v>41</v>
      </c>
      <c r="V42" s="4" t="str">
        <f t="shared" si="2"/>
        <v>40-49</v>
      </c>
      <c r="W42" s="4" t="str">
        <f t="shared" si="3"/>
        <v>PERÚ</v>
      </c>
      <c r="X42" s="4" t="str">
        <f t="shared" si="4"/>
        <v>MASCULINO</v>
      </c>
      <c r="Y42" s="4" t="str">
        <f t="shared" si="5"/>
        <v>LORETO</v>
      </c>
      <c r="Z42" s="4" t="str">
        <f t="shared" si="6"/>
        <v>LORETO</v>
      </c>
      <c r="AA42" s="4"/>
    </row>
    <row r="43" ht="15.75" customHeight="1">
      <c r="A43" s="5" t="s">
        <v>121</v>
      </c>
      <c r="B43" s="5" t="s">
        <v>412</v>
      </c>
      <c r="C43" s="5" t="s">
        <v>413</v>
      </c>
      <c r="D43" s="5" t="s">
        <v>412</v>
      </c>
      <c r="E43" s="5" t="s">
        <v>390</v>
      </c>
      <c r="F43" s="5" t="s">
        <v>291</v>
      </c>
      <c r="G43" s="5" t="s">
        <v>414</v>
      </c>
      <c r="H43" s="5" t="s">
        <v>44</v>
      </c>
      <c r="I43" s="5" t="s">
        <v>415</v>
      </c>
      <c r="J43" s="5" t="s">
        <v>34</v>
      </c>
      <c r="K43" s="5" t="s">
        <v>56</v>
      </c>
      <c r="L43" s="5" t="s">
        <v>56</v>
      </c>
      <c r="M43" s="5" t="s">
        <v>56</v>
      </c>
      <c r="N43" s="5" t="s">
        <v>36</v>
      </c>
      <c r="P43" s="5" t="s">
        <v>416</v>
      </c>
      <c r="R43" s="5" t="s">
        <v>417</v>
      </c>
      <c r="S43" s="5" t="s">
        <v>418</v>
      </c>
      <c r="T43" s="5" t="str">
        <f>CONCATENATE(A1740," - ",B1740,".pdf")</f>
        <v> - .pdf</v>
      </c>
      <c r="U43" s="4">
        <f t="shared" si="1"/>
        <v>48</v>
      </c>
      <c r="V43" s="4" t="str">
        <f t="shared" si="2"/>
        <v>40-49</v>
      </c>
      <c r="W43" s="4" t="str">
        <f t="shared" si="3"/>
        <v>PERÚ</v>
      </c>
      <c r="X43" s="4" t="str">
        <f t="shared" si="4"/>
        <v>MASCULINO</v>
      </c>
      <c r="Y43" s="4" t="str">
        <f t="shared" si="5"/>
        <v>LIMA</v>
      </c>
      <c r="Z43" s="4" t="str">
        <f t="shared" si="6"/>
        <v>ICA</v>
      </c>
      <c r="AA43" s="4"/>
    </row>
    <row r="44" ht="15.75" customHeight="1">
      <c r="A44" s="5" t="s">
        <v>419</v>
      </c>
      <c r="B44" s="5" t="s">
        <v>420</v>
      </c>
      <c r="C44" s="5" t="s">
        <v>421</v>
      </c>
      <c r="D44" s="5" t="s">
        <v>420</v>
      </c>
      <c r="E44" s="5" t="s">
        <v>422</v>
      </c>
      <c r="F44" s="5" t="s">
        <v>423</v>
      </c>
      <c r="G44" s="5" t="s">
        <v>424</v>
      </c>
      <c r="H44" s="5" t="s">
        <v>44</v>
      </c>
      <c r="I44" s="5" t="s">
        <v>425</v>
      </c>
      <c r="J44" s="5" t="s">
        <v>34</v>
      </c>
      <c r="K44" s="5" t="s">
        <v>105</v>
      </c>
      <c r="L44" s="5" t="s">
        <v>426</v>
      </c>
      <c r="M44" s="5" t="s">
        <v>427</v>
      </c>
      <c r="N44" s="5" t="s">
        <v>36</v>
      </c>
      <c r="P44" s="5" t="s">
        <v>105</v>
      </c>
      <c r="R44" s="5" t="s">
        <v>428</v>
      </c>
      <c r="S44" s="5" t="s">
        <v>429</v>
      </c>
      <c r="T44" s="5" t="str">
        <f>CONCATENATE(A2006," - ",B2006,".pdf")</f>
        <v> - .pdf</v>
      </c>
      <c r="U44" s="4">
        <f t="shared" si="1"/>
        <v>35</v>
      </c>
      <c r="V44" s="4" t="str">
        <f t="shared" si="2"/>
        <v>30-39</v>
      </c>
      <c r="W44" s="4" t="str">
        <f t="shared" si="3"/>
        <v>PERÚ</v>
      </c>
      <c r="X44" s="4" t="str">
        <f t="shared" si="4"/>
        <v>MASCULINO</v>
      </c>
      <c r="Y44" s="4" t="str">
        <f t="shared" si="5"/>
        <v>JUNIN</v>
      </c>
      <c r="Z44" s="4" t="str">
        <f t="shared" si="6"/>
        <v>JUNIN</v>
      </c>
      <c r="AA44" s="4"/>
    </row>
    <row r="45" ht="15.75" customHeight="1">
      <c r="A45" s="5" t="s">
        <v>419</v>
      </c>
      <c r="B45" s="5" t="s">
        <v>430</v>
      </c>
      <c r="C45" s="5" t="s">
        <v>431</v>
      </c>
      <c r="D45" s="5" t="s">
        <v>430</v>
      </c>
      <c r="E45" s="5" t="s">
        <v>432</v>
      </c>
      <c r="F45" s="5" t="s">
        <v>433</v>
      </c>
      <c r="G45" s="5" t="s">
        <v>434</v>
      </c>
      <c r="H45" s="5" t="s">
        <v>32</v>
      </c>
      <c r="I45" s="5" t="s">
        <v>435</v>
      </c>
      <c r="J45" s="5" t="s">
        <v>34</v>
      </c>
      <c r="K45" s="5" t="s">
        <v>167</v>
      </c>
      <c r="L45" s="5" t="s">
        <v>167</v>
      </c>
      <c r="M45" s="5" t="s">
        <v>167</v>
      </c>
      <c r="N45" s="5" t="s">
        <v>36</v>
      </c>
      <c r="P45" s="5" t="s">
        <v>167</v>
      </c>
      <c r="R45" s="5" t="s">
        <v>436</v>
      </c>
      <c r="S45" s="5" t="s">
        <v>437</v>
      </c>
      <c r="T45" s="5" t="str">
        <f>CONCATENATE(A2009," - ",B2009,".pdf")</f>
        <v> - .pdf</v>
      </c>
      <c r="U45" s="4">
        <f t="shared" si="1"/>
        <v>39</v>
      </c>
      <c r="V45" s="4" t="str">
        <f t="shared" si="2"/>
        <v>30-39</v>
      </c>
      <c r="W45" s="4" t="str">
        <f t="shared" si="3"/>
        <v>PERÚ</v>
      </c>
      <c r="X45" s="4" t="str">
        <f t="shared" si="4"/>
        <v>FEMENINO</v>
      </c>
      <c r="Y45" s="4" t="str">
        <f t="shared" si="5"/>
        <v>HUANUCO</v>
      </c>
      <c r="Z45" s="4" t="str">
        <f t="shared" si="6"/>
        <v>HUANUCO</v>
      </c>
      <c r="AA45" s="4"/>
    </row>
    <row r="46" ht="15.75" customHeight="1">
      <c r="A46" s="5" t="s">
        <v>419</v>
      </c>
      <c r="B46" s="5" t="s">
        <v>438</v>
      </c>
      <c r="C46" s="5" t="s">
        <v>439</v>
      </c>
      <c r="D46" s="5" t="s">
        <v>438</v>
      </c>
      <c r="E46" s="5" t="s">
        <v>440</v>
      </c>
      <c r="F46" s="5" t="s">
        <v>441</v>
      </c>
      <c r="G46" s="5" t="s">
        <v>442</v>
      </c>
      <c r="H46" s="5" t="s">
        <v>32</v>
      </c>
      <c r="I46" s="5" t="s">
        <v>443</v>
      </c>
      <c r="J46" s="5" t="s">
        <v>34</v>
      </c>
      <c r="K46" s="5" t="s">
        <v>56</v>
      </c>
      <c r="L46" s="5" t="s">
        <v>56</v>
      </c>
      <c r="M46" s="5" t="s">
        <v>176</v>
      </c>
      <c r="N46" s="5" t="s">
        <v>36</v>
      </c>
      <c r="P46" s="5" t="s">
        <v>57</v>
      </c>
      <c r="R46" s="5" t="s">
        <v>444</v>
      </c>
      <c r="S46" s="5" t="s">
        <v>445</v>
      </c>
      <c r="T46" s="5" t="str">
        <f>CONCATENATE(A2019," - ",B2019,".pdf")</f>
        <v> - .pdf</v>
      </c>
      <c r="U46" s="4">
        <f t="shared" si="1"/>
        <v>45</v>
      </c>
      <c r="V46" s="4" t="str">
        <f t="shared" si="2"/>
        <v>40-49</v>
      </c>
      <c r="W46" s="4" t="str">
        <f t="shared" si="3"/>
        <v>PERÚ</v>
      </c>
      <c r="X46" s="4" t="str">
        <f t="shared" si="4"/>
        <v>FEMENINO</v>
      </c>
      <c r="Y46" s="4" t="str">
        <f t="shared" si="5"/>
        <v>LIMA</v>
      </c>
      <c r="Z46" s="4" t="str">
        <f t="shared" si="6"/>
        <v>LIMA METROPOLITANA</v>
      </c>
      <c r="AA46" s="4"/>
    </row>
    <row r="47" ht="15.75" customHeight="1">
      <c r="A47" s="5" t="s">
        <v>419</v>
      </c>
      <c r="B47" s="5" t="s">
        <v>446</v>
      </c>
      <c r="C47" s="5" t="s">
        <v>447</v>
      </c>
      <c r="D47" s="5" t="s">
        <v>446</v>
      </c>
      <c r="E47" s="5" t="s">
        <v>448</v>
      </c>
      <c r="F47" s="5" t="s">
        <v>74</v>
      </c>
      <c r="G47" s="5" t="s">
        <v>449</v>
      </c>
      <c r="H47" s="5" t="s">
        <v>44</v>
      </c>
      <c r="I47" s="5" t="s">
        <v>450</v>
      </c>
      <c r="J47" s="5" t="s">
        <v>34</v>
      </c>
      <c r="K47" s="5" t="s">
        <v>116</v>
      </c>
      <c r="L47" s="5" t="s">
        <v>116</v>
      </c>
      <c r="M47" s="5" t="s">
        <v>116</v>
      </c>
      <c r="N47" s="5" t="s">
        <v>36</v>
      </c>
      <c r="P47" s="5" t="s">
        <v>116</v>
      </c>
      <c r="R47" s="5" t="s">
        <v>451</v>
      </c>
      <c r="S47" s="5" t="s">
        <v>452</v>
      </c>
      <c r="T47" s="5" t="str">
        <f>CONCATENATE(A2051," - ",B2051,".pdf")</f>
        <v> - .pdf</v>
      </c>
      <c r="U47" s="4">
        <f t="shared" si="1"/>
        <v>59</v>
      </c>
      <c r="V47" s="4" t="str">
        <f t="shared" si="2"/>
        <v>50-59</v>
      </c>
      <c r="W47" s="4" t="str">
        <f t="shared" si="3"/>
        <v>PERÚ</v>
      </c>
      <c r="X47" s="4" t="str">
        <f t="shared" si="4"/>
        <v>MASCULINO</v>
      </c>
      <c r="Y47" s="4" t="str">
        <f t="shared" si="5"/>
        <v>PUNO</v>
      </c>
      <c r="Z47" s="4" t="str">
        <f t="shared" si="6"/>
        <v>PUNO</v>
      </c>
      <c r="AA47" s="4"/>
    </row>
    <row r="48" ht="15.75" customHeight="1">
      <c r="A48" s="5" t="s">
        <v>419</v>
      </c>
      <c r="B48" s="5" t="s">
        <v>453</v>
      </c>
      <c r="C48" s="5" t="s">
        <v>454</v>
      </c>
      <c r="D48" s="5" t="s">
        <v>453</v>
      </c>
      <c r="E48" s="5" t="s">
        <v>74</v>
      </c>
      <c r="F48" s="5" t="s">
        <v>455</v>
      </c>
      <c r="G48" s="5" t="s">
        <v>308</v>
      </c>
      <c r="H48" s="5" t="s">
        <v>44</v>
      </c>
      <c r="I48" s="5" t="s">
        <v>456</v>
      </c>
      <c r="J48" s="5" t="s">
        <v>34</v>
      </c>
      <c r="K48" s="5" t="s">
        <v>167</v>
      </c>
      <c r="L48" s="5" t="s">
        <v>457</v>
      </c>
      <c r="M48" s="5" t="s">
        <v>458</v>
      </c>
      <c r="N48" s="5" t="s">
        <v>36</v>
      </c>
      <c r="P48" s="5" t="s">
        <v>167</v>
      </c>
      <c r="R48" s="5" t="s">
        <v>459</v>
      </c>
      <c r="S48" s="5" t="s">
        <v>460</v>
      </c>
      <c r="T48" s="5" t="str">
        <f>CONCATENATE(A2071," - ",B2071,".pdf")</f>
        <v> - .pdf</v>
      </c>
      <c r="U48" s="4">
        <f t="shared" si="1"/>
        <v>44</v>
      </c>
      <c r="V48" s="4" t="str">
        <f t="shared" si="2"/>
        <v>40-49</v>
      </c>
      <c r="W48" s="4" t="str">
        <f t="shared" si="3"/>
        <v>PERÚ</v>
      </c>
      <c r="X48" s="4" t="str">
        <f t="shared" si="4"/>
        <v>MASCULINO</v>
      </c>
      <c r="Y48" s="4" t="str">
        <f t="shared" si="5"/>
        <v>HUANUCO</v>
      </c>
      <c r="Z48" s="4" t="str">
        <f t="shared" si="6"/>
        <v>HUANUCO</v>
      </c>
      <c r="AA48" s="4"/>
    </row>
    <row r="49" ht="15.75" customHeight="1">
      <c r="A49" s="5" t="s">
        <v>419</v>
      </c>
      <c r="B49" s="5" t="s">
        <v>461</v>
      </c>
      <c r="C49" s="5" t="s">
        <v>462</v>
      </c>
      <c r="D49" s="5" t="s">
        <v>461</v>
      </c>
      <c r="E49" s="5" t="s">
        <v>463</v>
      </c>
      <c r="F49" s="5" t="s">
        <v>464</v>
      </c>
      <c r="G49" s="5" t="s">
        <v>465</v>
      </c>
      <c r="H49" s="5" t="s">
        <v>44</v>
      </c>
      <c r="I49" s="5" t="s">
        <v>466</v>
      </c>
      <c r="J49" s="5" t="s">
        <v>34</v>
      </c>
      <c r="K49" s="5" t="s">
        <v>371</v>
      </c>
      <c r="L49" s="5" t="s">
        <v>371</v>
      </c>
      <c r="M49" s="5" t="s">
        <v>371</v>
      </c>
      <c r="N49" s="5" t="s">
        <v>36</v>
      </c>
      <c r="P49" s="5" t="s">
        <v>371</v>
      </c>
      <c r="R49" s="5" t="s">
        <v>467</v>
      </c>
      <c r="S49" s="5" t="s">
        <v>468</v>
      </c>
      <c r="T49" s="5" t="str">
        <f>CONCATENATE(A2075," - ",B2075,".pdf")</f>
        <v> - .pdf</v>
      </c>
      <c r="U49" s="4">
        <f t="shared" si="1"/>
        <v>52</v>
      </c>
      <c r="V49" s="4" t="str">
        <f t="shared" si="2"/>
        <v>50-59</v>
      </c>
      <c r="W49" s="4" t="str">
        <f t="shared" si="3"/>
        <v>PERÚ</v>
      </c>
      <c r="X49" s="4" t="str">
        <f t="shared" si="4"/>
        <v>MASCULINO</v>
      </c>
      <c r="Y49" s="4" t="str">
        <f t="shared" si="5"/>
        <v>CAJAMARCA</v>
      </c>
      <c r="Z49" s="4" t="str">
        <f t="shared" si="6"/>
        <v>CAJAMARCA</v>
      </c>
      <c r="AA49" s="4"/>
    </row>
    <row r="50" ht="15.75" customHeight="1">
      <c r="A50" s="5" t="s">
        <v>419</v>
      </c>
      <c r="B50" s="5" t="s">
        <v>469</v>
      </c>
      <c r="C50" s="5" t="s">
        <v>470</v>
      </c>
      <c r="D50" s="5" t="s">
        <v>469</v>
      </c>
      <c r="E50" s="5" t="s">
        <v>62</v>
      </c>
      <c r="F50" s="5" t="s">
        <v>422</v>
      </c>
      <c r="G50" s="5" t="s">
        <v>471</v>
      </c>
      <c r="H50" s="5" t="s">
        <v>44</v>
      </c>
      <c r="I50" s="5" t="s">
        <v>472</v>
      </c>
      <c r="J50" s="5" t="s">
        <v>34</v>
      </c>
      <c r="K50" s="5" t="s">
        <v>473</v>
      </c>
      <c r="L50" s="5" t="s">
        <v>474</v>
      </c>
      <c r="M50" s="5" t="s">
        <v>474</v>
      </c>
      <c r="N50" s="5" t="s">
        <v>36</v>
      </c>
      <c r="P50" s="5" t="s">
        <v>473</v>
      </c>
      <c r="R50" s="5" t="s">
        <v>475</v>
      </c>
      <c r="S50" s="5" t="s">
        <v>476</v>
      </c>
      <c r="T50" s="5" t="str">
        <f>CONCATENATE(A2085," - ",B2085,".pdf")</f>
        <v> - .pdf</v>
      </c>
      <c r="U50" s="4">
        <f t="shared" si="1"/>
        <v>69</v>
      </c>
      <c r="V50" s="4" t="str">
        <f t="shared" si="2"/>
        <v>60+</v>
      </c>
      <c r="W50" s="4" t="str">
        <f t="shared" si="3"/>
        <v>PERÚ</v>
      </c>
      <c r="X50" s="4" t="str">
        <f t="shared" si="4"/>
        <v>MASCULINO</v>
      </c>
      <c r="Y50" s="4" t="str">
        <f t="shared" si="5"/>
        <v>MADRE DE DIOS</v>
      </c>
      <c r="Z50" s="4" t="str">
        <f t="shared" si="6"/>
        <v>MADRE DE DIOS</v>
      </c>
      <c r="AA50" s="4"/>
    </row>
    <row r="51" ht="15.75" customHeight="1">
      <c r="A51" s="5" t="s">
        <v>419</v>
      </c>
      <c r="B51" s="5" t="s">
        <v>477</v>
      </c>
      <c r="C51" s="5" t="s">
        <v>478</v>
      </c>
      <c r="D51" s="5" t="s">
        <v>477</v>
      </c>
      <c r="E51" s="5" t="s">
        <v>479</v>
      </c>
      <c r="F51" s="5" t="s">
        <v>480</v>
      </c>
      <c r="G51" s="5" t="s">
        <v>481</v>
      </c>
      <c r="H51" s="5" t="s">
        <v>32</v>
      </c>
      <c r="I51" s="5" t="s">
        <v>482</v>
      </c>
      <c r="J51" s="5" t="s">
        <v>34</v>
      </c>
      <c r="K51" s="5" t="s">
        <v>66</v>
      </c>
      <c r="L51" s="5" t="s">
        <v>483</v>
      </c>
      <c r="M51" s="5" t="s">
        <v>484</v>
      </c>
      <c r="N51" s="5" t="s">
        <v>485</v>
      </c>
      <c r="O51" s="5" t="s">
        <v>36</v>
      </c>
      <c r="P51" s="5" t="s">
        <v>66</v>
      </c>
      <c r="R51" s="5" t="s">
        <v>486</v>
      </c>
      <c r="S51" s="5" t="s">
        <v>487</v>
      </c>
      <c r="T51" s="5" t="str">
        <f>CONCATENATE(A2106," - ",B2106,".pdf")</f>
        <v> - .pdf</v>
      </c>
      <c r="U51" s="4">
        <f t="shared" si="1"/>
        <v>37</v>
      </c>
      <c r="V51" s="4" t="str">
        <f t="shared" si="2"/>
        <v>30-39</v>
      </c>
      <c r="W51" s="4" t="str">
        <f t="shared" si="3"/>
        <v>PERÚ</v>
      </c>
      <c r="X51" s="4" t="str">
        <f t="shared" si="4"/>
        <v>FEMENINO</v>
      </c>
      <c r="Y51" s="4" t="str">
        <f t="shared" si="5"/>
        <v>CUSCO</v>
      </c>
      <c r="Z51" s="4" t="str">
        <f t="shared" si="6"/>
        <v>CUSCO</v>
      </c>
      <c r="AA51" s="4"/>
    </row>
    <row r="52" ht="15.75" customHeight="1">
      <c r="A52" s="5" t="s">
        <v>419</v>
      </c>
      <c r="B52" s="5" t="s">
        <v>488</v>
      </c>
      <c r="C52" s="5" t="s">
        <v>489</v>
      </c>
      <c r="D52" s="5" t="s">
        <v>488</v>
      </c>
      <c r="E52" s="5" t="s">
        <v>490</v>
      </c>
      <c r="F52" s="5" t="s">
        <v>306</v>
      </c>
      <c r="G52" s="5" t="s">
        <v>491</v>
      </c>
      <c r="H52" s="5" t="s">
        <v>32</v>
      </c>
      <c r="I52" s="5" t="s">
        <v>492</v>
      </c>
      <c r="J52" s="5" t="s">
        <v>34</v>
      </c>
      <c r="K52" s="5" t="s">
        <v>493</v>
      </c>
      <c r="L52" s="5" t="s">
        <v>494</v>
      </c>
      <c r="M52" s="5" t="s">
        <v>495</v>
      </c>
      <c r="N52" s="5" t="s">
        <v>36</v>
      </c>
      <c r="P52" s="5" t="s">
        <v>35</v>
      </c>
      <c r="R52" s="5" t="s">
        <v>496</v>
      </c>
      <c r="S52" s="5" t="s">
        <v>497</v>
      </c>
      <c r="T52" s="5" t="str">
        <f>CONCATENATE(A2129," - ",B2129,".pdf")</f>
        <v> - .pdf</v>
      </c>
      <c r="U52" s="4">
        <f t="shared" si="1"/>
        <v>58</v>
      </c>
      <c r="V52" s="4" t="str">
        <f t="shared" si="2"/>
        <v>50-59</v>
      </c>
      <c r="W52" s="4" t="str">
        <f t="shared" si="3"/>
        <v>PERÚ</v>
      </c>
      <c r="X52" s="4" t="str">
        <f t="shared" si="4"/>
        <v>FEMENINO</v>
      </c>
      <c r="Y52" s="4" t="str">
        <f t="shared" si="5"/>
        <v>MOQUEGUA</v>
      </c>
      <c r="Z52" s="4" t="str">
        <f t="shared" si="6"/>
        <v>AREQUIPA</v>
      </c>
      <c r="AA52" s="4"/>
    </row>
    <row r="53" ht="15.75" customHeight="1">
      <c r="A53" s="5" t="s">
        <v>419</v>
      </c>
      <c r="B53" s="5" t="s">
        <v>498</v>
      </c>
      <c r="C53" s="5" t="s">
        <v>499</v>
      </c>
      <c r="D53" s="5" t="s">
        <v>498</v>
      </c>
      <c r="E53" s="5" t="s">
        <v>500</v>
      </c>
      <c r="F53" s="5" t="s">
        <v>501</v>
      </c>
      <c r="G53" s="5" t="s">
        <v>502</v>
      </c>
      <c r="H53" s="5" t="s">
        <v>32</v>
      </c>
      <c r="I53" s="5" t="s">
        <v>503</v>
      </c>
      <c r="J53" s="5" t="s">
        <v>34</v>
      </c>
      <c r="K53" s="5" t="s">
        <v>371</v>
      </c>
      <c r="L53" s="5" t="s">
        <v>372</v>
      </c>
      <c r="M53" s="5" t="s">
        <v>504</v>
      </c>
      <c r="N53" s="5" t="s">
        <v>36</v>
      </c>
      <c r="P53" s="5" t="s">
        <v>371</v>
      </c>
      <c r="R53" s="5" t="s">
        <v>505</v>
      </c>
      <c r="S53" s="5" t="s">
        <v>506</v>
      </c>
      <c r="T53" s="5" t="str">
        <f t="shared" ref="T53:T56" si="11">CONCATENATE(A2131," - ",B2131,".pdf")</f>
        <v> - .pdf</v>
      </c>
      <c r="U53" s="4">
        <f t="shared" si="1"/>
        <v>30</v>
      </c>
      <c r="V53" s="4" t="str">
        <f t="shared" si="2"/>
        <v>30-39</v>
      </c>
      <c r="W53" s="4" t="str">
        <f t="shared" si="3"/>
        <v>PERÚ</v>
      </c>
      <c r="X53" s="4" t="str">
        <f t="shared" si="4"/>
        <v>FEMENINO</v>
      </c>
      <c r="Y53" s="4" t="str">
        <f t="shared" si="5"/>
        <v>CAJAMARCA</v>
      </c>
      <c r="Z53" s="4" t="str">
        <f t="shared" si="6"/>
        <v>CAJAMARCA</v>
      </c>
      <c r="AA53" s="4"/>
    </row>
    <row r="54" ht="15.75" customHeight="1">
      <c r="A54" s="5" t="s">
        <v>419</v>
      </c>
      <c r="B54" s="5" t="s">
        <v>507</v>
      </c>
      <c r="C54" s="5" t="s">
        <v>508</v>
      </c>
      <c r="D54" s="5" t="s">
        <v>507</v>
      </c>
      <c r="E54" s="5" t="s">
        <v>509</v>
      </c>
      <c r="F54" s="5" t="s">
        <v>510</v>
      </c>
      <c r="G54" s="5" t="s">
        <v>511</v>
      </c>
      <c r="H54" s="5" t="s">
        <v>44</v>
      </c>
      <c r="I54" s="5" t="s">
        <v>512</v>
      </c>
      <c r="J54" s="5" t="s">
        <v>34</v>
      </c>
      <c r="K54" s="5" t="s">
        <v>139</v>
      </c>
      <c r="L54" s="5" t="s">
        <v>513</v>
      </c>
      <c r="M54" s="5" t="s">
        <v>514</v>
      </c>
      <c r="N54" s="5" t="s">
        <v>36</v>
      </c>
      <c r="P54" s="5" t="s">
        <v>139</v>
      </c>
      <c r="R54" s="5" t="s">
        <v>515</v>
      </c>
      <c r="S54" s="5" t="s">
        <v>516</v>
      </c>
      <c r="T54" s="5" t="str">
        <f t="shared" si="11"/>
        <v> - .pdf</v>
      </c>
      <c r="U54" s="4">
        <f t="shared" si="1"/>
        <v>43</v>
      </c>
      <c r="V54" s="4" t="str">
        <f t="shared" si="2"/>
        <v>40-49</v>
      </c>
      <c r="W54" s="4" t="str">
        <f t="shared" si="3"/>
        <v>PERÚ</v>
      </c>
      <c r="X54" s="4" t="str">
        <f t="shared" si="4"/>
        <v>MASCULINO</v>
      </c>
      <c r="Y54" s="4" t="str">
        <f t="shared" si="5"/>
        <v>SAN MARTIN</v>
      </c>
      <c r="Z54" s="4" t="str">
        <f t="shared" si="6"/>
        <v>SAN MARTIN</v>
      </c>
      <c r="AA54" s="4"/>
    </row>
    <row r="55" ht="15.75" customHeight="1">
      <c r="A55" s="5" t="s">
        <v>419</v>
      </c>
      <c r="B55" s="5" t="s">
        <v>517</v>
      </c>
      <c r="C55" s="5" t="s">
        <v>518</v>
      </c>
      <c r="D55" s="5" t="s">
        <v>517</v>
      </c>
      <c r="E55" s="5" t="s">
        <v>519</v>
      </c>
      <c r="F55" s="5" t="s">
        <v>520</v>
      </c>
      <c r="G55" s="5" t="s">
        <v>521</v>
      </c>
      <c r="H55" s="5" t="s">
        <v>44</v>
      </c>
      <c r="I55" s="5" t="s">
        <v>522</v>
      </c>
      <c r="J55" s="5" t="s">
        <v>34</v>
      </c>
      <c r="K55" s="5" t="s">
        <v>46</v>
      </c>
      <c r="L55" s="5" t="s">
        <v>523</v>
      </c>
      <c r="M55" s="5" t="s">
        <v>524</v>
      </c>
      <c r="N55" s="5" t="s">
        <v>36</v>
      </c>
      <c r="P55" s="5" t="s">
        <v>66</v>
      </c>
      <c r="R55" s="5" t="s">
        <v>525</v>
      </c>
      <c r="S55" s="5" t="s">
        <v>526</v>
      </c>
      <c r="T55" s="5" t="str">
        <f t="shared" si="11"/>
        <v> - .pdf</v>
      </c>
      <c r="U55" s="4">
        <f t="shared" si="1"/>
        <v>51</v>
      </c>
      <c r="V55" s="4" t="str">
        <f t="shared" si="2"/>
        <v>50-59</v>
      </c>
      <c r="W55" s="4" t="str">
        <f t="shared" si="3"/>
        <v>PERÚ</v>
      </c>
      <c r="X55" s="4" t="str">
        <f t="shared" si="4"/>
        <v>MASCULINO</v>
      </c>
      <c r="Y55" s="4" t="str">
        <f t="shared" si="5"/>
        <v>AYACUCHO</v>
      </c>
      <c r="Z55" s="4" t="str">
        <f t="shared" si="6"/>
        <v>CUSCO</v>
      </c>
      <c r="AA55" s="4"/>
    </row>
    <row r="56" ht="15.75" customHeight="1">
      <c r="A56" s="5" t="s">
        <v>419</v>
      </c>
      <c r="B56" s="5" t="s">
        <v>527</v>
      </c>
      <c r="C56" s="5" t="s">
        <v>528</v>
      </c>
      <c r="D56" s="5" t="s">
        <v>527</v>
      </c>
      <c r="E56" s="5" t="s">
        <v>519</v>
      </c>
      <c r="F56" s="5" t="s">
        <v>307</v>
      </c>
      <c r="G56" s="5" t="s">
        <v>529</v>
      </c>
      <c r="H56" s="5" t="s">
        <v>32</v>
      </c>
      <c r="I56" s="5" t="s">
        <v>530</v>
      </c>
      <c r="J56" s="5" t="s">
        <v>34</v>
      </c>
      <c r="K56" s="5" t="s">
        <v>116</v>
      </c>
      <c r="L56" s="5" t="s">
        <v>116</v>
      </c>
      <c r="M56" s="5" t="s">
        <v>116</v>
      </c>
      <c r="N56" s="5" t="s">
        <v>36</v>
      </c>
      <c r="P56" s="5" t="s">
        <v>116</v>
      </c>
      <c r="R56" s="5" t="s">
        <v>531</v>
      </c>
      <c r="S56" s="5" t="s">
        <v>532</v>
      </c>
      <c r="T56" s="5" t="str">
        <f t="shared" si="11"/>
        <v> - .pdf</v>
      </c>
      <c r="U56" s="4">
        <f t="shared" si="1"/>
        <v>38</v>
      </c>
      <c r="V56" s="4" t="str">
        <f t="shared" si="2"/>
        <v>30-39</v>
      </c>
      <c r="W56" s="4" t="str">
        <f t="shared" si="3"/>
        <v>PERÚ</v>
      </c>
      <c r="X56" s="4" t="str">
        <f t="shared" si="4"/>
        <v>FEMENINO</v>
      </c>
      <c r="Y56" s="4" t="str">
        <f t="shared" si="5"/>
        <v>PUNO</v>
      </c>
      <c r="Z56" s="4" t="str">
        <f t="shared" si="6"/>
        <v>PUNO</v>
      </c>
      <c r="AA56" s="4"/>
    </row>
    <row r="57" ht="15.75" customHeight="1">
      <c r="A57" s="5" t="s">
        <v>419</v>
      </c>
      <c r="B57" s="5" t="s">
        <v>533</v>
      </c>
      <c r="C57" s="5" t="s">
        <v>534</v>
      </c>
      <c r="D57" s="5" t="s">
        <v>533</v>
      </c>
      <c r="E57" s="5" t="s">
        <v>535</v>
      </c>
      <c r="F57" s="5" t="s">
        <v>53</v>
      </c>
      <c r="G57" s="5" t="s">
        <v>536</v>
      </c>
      <c r="H57" s="5" t="s">
        <v>32</v>
      </c>
      <c r="I57" s="5" t="s">
        <v>537</v>
      </c>
      <c r="J57" s="5" t="s">
        <v>34</v>
      </c>
      <c r="K57" s="5" t="s">
        <v>66</v>
      </c>
      <c r="L57" s="5" t="s">
        <v>66</v>
      </c>
      <c r="M57" s="5" t="s">
        <v>538</v>
      </c>
      <c r="N57" s="5" t="s">
        <v>36</v>
      </c>
      <c r="P57" s="5" t="s">
        <v>473</v>
      </c>
      <c r="R57" s="5" t="s">
        <v>539</v>
      </c>
      <c r="S57" s="5" t="s">
        <v>540</v>
      </c>
      <c r="T57" s="5" t="str">
        <f>CONCATENATE(A2136," - ",B2136,".pdf")</f>
        <v> - .pdf</v>
      </c>
      <c r="U57" s="4">
        <f t="shared" si="1"/>
        <v>41</v>
      </c>
      <c r="V57" s="4" t="str">
        <f t="shared" si="2"/>
        <v>40-49</v>
      </c>
      <c r="W57" s="4" t="str">
        <f t="shared" si="3"/>
        <v>PERÚ</v>
      </c>
      <c r="X57" s="4" t="str">
        <f t="shared" si="4"/>
        <v>FEMENINO</v>
      </c>
      <c r="Y57" s="4" t="str">
        <f t="shared" si="5"/>
        <v>CUSCO</v>
      </c>
      <c r="Z57" s="4" t="str">
        <f t="shared" si="6"/>
        <v>MADRE DE DIOS</v>
      </c>
      <c r="AA57" s="4"/>
    </row>
    <row r="58" ht="15.75" customHeight="1">
      <c r="A58" s="5" t="s">
        <v>419</v>
      </c>
      <c r="B58" s="5" t="s">
        <v>541</v>
      </c>
      <c r="C58" s="5" t="s">
        <v>542</v>
      </c>
      <c r="D58" s="5" t="s">
        <v>541</v>
      </c>
      <c r="E58" s="5" t="s">
        <v>543</v>
      </c>
      <c r="F58" s="5" t="s">
        <v>544</v>
      </c>
      <c r="G58" s="5" t="s">
        <v>545</v>
      </c>
      <c r="H58" s="5" t="s">
        <v>32</v>
      </c>
      <c r="I58" s="5" t="s">
        <v>546</v>
      </c>
      <c r="J58" s="5" t="s">
        <v>34</v>
      </c>
      <c r="K58" s="5" t="s">
        <v>139</v>
      </c>
      <c r="L58" s="5" t="s">
        <v>139</v>
      </c>
      <c r="M58" s="5" t="s">
        <v>547</v>
      </c>
      <c r="N58" s="5" t="s">
        <v>36</v>
      </c>
      <c r="P58" s="5" t="s">
        <v>139</v>
      </c>
      <c r="R58" s="5" t="s">
        <v>548</v>
      </c>
      <c r="S58" s="5" t="s">
        <v>549</v>
      </c>
      <c r="T58" s="5" t="str">
        <f>CONCATENATE(A2164," - ",B2164,".pdf")</f>
        <v> - .pdf</v>
      </c>
      <c r="U58" s="4">
        <f t="shared" si="1"/>
        <v>37</v>
      </c>
      <c r="V58" s="4" t="str">
        <f t="shared" si="2"/>
        <v>30-39</v>
      </c>
      <c r="W58" s="4" t="str">
        <f t="shared" si="3"/>
        <v>PERÚ</v>
      </c>
      <c r="X58" s="4" t="str">
        <f t="shared" si="4"/>
        <v>FEMENINO</v>
      </c>
      <c r="Y58" s="4" t="str">
        <f t="shared" si="5"/>
        <v>SAN MARTIN</v>
      </c>
      <c r="Z58" s="4" t="str">
        <f t="shared" si="6"/>
        <v>SAN MARTIN</v>
      </c>
      <c r="AA58" s="4"/>
    </row>
    <row r="59" ht="15.75" customHeight="1">
      <c r="A59" s="5" t="s">
        <v>419</v>
      </c>
      <c r="B59" s="5" t="s">
        <v>550</v>
      </c>
      <c r="C59" s="5" t="s">
        <v>551</v>
      </c>
      <c r="D59" s="5" t="s">
        <v>550</v>
      </c>
      <c r="E59" s="5" t="s">
        <v>552</v>
      </c>
      <c r="F59" s="5" t="s">
        <v>553</v>
      </c>
      <c r="G59" s="5" t="s">
        <v>554</v>
      </c>
      <c r="H59" s="5" t="s">
        <v>44</v>
      </c>
      <c r="I59" s="5" t="s">
        <v>555</v>
      </c>
      <c r="J59" s="5" t="s">
        <v>34</v>
      </c>
      <c r="K59" s="5" t="s">
        <v>116</v>
      </c>
      <c r="L59" s="5" t="s">
        <v>116</v>
      </c>
      <c r="M59" s="5" t="s">
        <v>556</v>
      </c>
      <c r="N59" s="5" t="s">
        <v>36</v>
      </c>
      <c r="P59" s="5" t="s">
        <v>116</v>
      </c>
      <c r="R59" s="5" t="s">
        <v>557</v>
      </c>
      <c r="S59" s="5" t="s">
        <v>558</v>
      </c>
      <c r="T59" s="5" t="str">
        <f>CONCATENATE(A2167," - ",B2167,".pdf")</f>
        <v> - .pdf</v>
      </c>
      <c r="U59" s="4">
        <f t="shared" si="1"/>
        <v>55</v>
      </c>
      <c r="V59" s="4" t="str">
        <f t="shared" si="2"/>
        <v>50-59</v>
      </c>
      <c r="W59" s="4" t="str">
        <f t="shared" si="3"/>
        <v>PERÚ</v>
      </c>
      <c r="X59" s="4" t="str">
        <f t="shared" si="4"/>
        <v>MASCULINO</v>
      </c>
      <c r="Y59" s="4" t="str">
        <f t="shared" si="5"/>
        <v>PUNO</v>
      </c>
      <c r="Z59" s="4" t="str">
        <f t="shared" si="6"/>
        <v>PUNO</v>
      </c>
      <c r="AA59" s="4"/>
    </row>
    <row r="60" ht="15.75" customHeight="1">
      <c r="A60" s="5" t="s">
        <v>419</v>
      </c>
      <c r="B60" s="5" t="s">
        <v>559</v>
      </c>
      <c r="C60" s="5" t="s">
        <v>560</v>
      </c>
      <c r="D60" s="5" t="s">
        <v>559</v>
      </c>
      <c r="E60" s="5" t="s">
        <v>561</v>
      </c>
      <c r="F60" s="5" t="s">
        <v>562</v>
      </c>
      <c r="G60" s="5" t="s">
        <v>563</v>
      </c>
      <c r="H60" s="5" t="s">
        <v>44</v>
      </c>
      <c r="I60" s="5" t="s">
        <v>564</v>
      </c>
      <c r="J60" s="5" t="s">
        <v>34</v>
      </c>
      <c r="K60" s="5" t="s">
        <v>196</v>
      </c>
      <c r="L60" s="5" t="s">
        <v>197</v>
      </c>
      <c r="M60" s="5" t="s">
        <v>197</v>
      </c>
      <c r="N60" s="5" t="s">
        <v>36</v>
      </c>
      <c r="P60" s="5" t="s">
        <v>196</v>
      </c>
      <c r="R60" s="5" t="s">
        <v>565</v>
      </c>
      <c r="S60" s="5" t="s">
        <v>566</v>
      </c>
      <c r="T60" s="5" t="str">
        <f>CONCATENATE(A2187," - ",B2187,".pdf")</f>
        <v> - .pdf</v>
      </c>
      <c r="U60" s="4">
        <f t="shared" si="1"/>
        <v>38</v>
      </c>
      <c r="V60" s="4" t="str">
        <f t="shared" si="2"/>
        <v>30-39</v>
      </c>
      <c r="W60" s="4" t="str">
        <f t="shared" si="3"/>
        <v>PERÚ</v>
      </c>
      <c r="X60" s="4" t="str">
        <f t="shared" si="4"/>
        <v>MASCULINO</v>
      </c>
      <c r="Y60" s="4" t="str">
        <f t="shared" si="5"/>
        <v>LAMBAYEQUE</v>
      </c>
      <c r="Z60" s="4" t="str">
        <f t="shared" si="6"/>
        <v>LAMBAYEQUE</v>
      </c>
      <c r="AA60" s="4"/>
    </row>
    <row r="61" ht="15.75" customHeight="1">
      <c r="A61" s="5" t="s">
        <v>567</v>
      </c>
      <c r="B61" s="5" t="s">
        <v>568</v>
      </c>
      <c r="C61" s="5" t="s">
        <v>569</v>
      </c>
      <c r="D61" s="5" t="s">
        <v>568</v>
      </c>
      <c r="E61" s="5" t="s">
        <v>570</v>
      </c>
      <c r="F61" s="5" t="s">
        <v>571</v>
      </c>
      <c r="G61" s="5" t="s">
        <v>572</v>
      </c>
      <c r="H61" s="5" t="s">
        <v>44</v>
      </c>
      <c r="I61" s="5" t="s">
        <v>573</v>
      </c>
      <c r="J61" s="5" t="s">
        <v>34</v>
      </c>
      <c r="K61" s="5" t="s">
        <v>186</v>
      </c>
      <c r="L61" s="5" t="s">
        <v>186</v>
      </c>
      <c r="M61" s="5" t="s">
        <v>574</v>
      </c>
      <c r="N61" s="5" t="s">
        <v>36</v>
      </c>
      <c r="P61" s="5" t="s">
        <v>186</v>
      </c>
      <c r="R61" s="5" t="s">
        <v>575</v>
      </c>
      <c r="S61" s="5" t="s">
        <v>576</v>
      </c>
      <c r="T61" s="5" t="str">
        <f>CONCATENATE(A2792," - ",B2792,".pdf")</f>
        <v> - .pdf</v>
      </c>
      <c r="U61" s="4">
        <f t="shared" si="1"/>
        <v>35</v>
      </c>
      <c r="V61" s="4" t="str">
        <f t="shared" si="2"/>
        <v>30-39</v>
      </c>
      <c r="W61" s="4" t="str">
        <f t="shared" si="3"/>
        <v>PERÚ</v>
      </c>
      <c r="X61" s="4" t="str">
        <f t="shared" si="4"/>
        <v>MASCULINO</v>
      </c>
      <c r="Y61" s="4" t="str">
        <f t="shared" si="5"/>
        <v>PIURA</v>
      </c>
      <c r="Z61" s="4" t="str">
        <f t="shared" si="6"/>
        <v>PIURA</v>
      </c>
      <c r="AA61" s="4"/>
    </row>
    <row r="62" ht="15.75" customHeight="1">
      <c r="A62" s="5" t="s">
        <v>567</v>
      </c>
      <c r="B62" s="5" t="s">
        <v>577</v>
      </c>
      <c r="C62" s="5" t="s">
        <v>578</v>
      </c>
      <c r="D62" s="5" t="s">
        <v>577</v>
      </c>
      <c r="E62" s="5" t="s">
        <v>579</v>
      </c>
      <c r="F62" s="5" t="s">
        <v>580</v>
      </c>
      <c r="G62" s="5" t="s">
        <v>581</v>
      </c>
      <c r="H62" s="5" t="s">
        <v>44</v>
      </c>
      <c r="I62" s="5" t="s">
        <v>582</v>
      </c>
      <c r="J62" s="5" t="s">
        <v>34</v>
      </c>
      <c r="K62" s="5" t="s">
        <v>86</v>
      </c>
      <c r="L62" s="5" t="s">
        <v>583</v>
      </c>
      <c r="M62" s="5" t="s">
        <v>583</v>
      </c>
      <c r="N62" s="5" t="s">
        <v>36</v>
      </c>
      <c r="P62" s="5" t="s">
        <v>86</v>
      </c>
      <c r="R62" s="5" t="s">
        <v>584</v>
      </c>
      <c r="S62" s="5" t="s">
        <v>585</v>
      </c>
      <c r="T62" s="5" t="str">
        <f>CONCATENATE(A2796," - ",B2796,".pdf")</f>
        <v> - .pdf</v>
      </c>
      <c r="U62" s="4">
        <f t="shared" si="1"/>
        <v>40</v>
      </c>
      <c r="V62" s="4" t="str">
        <f t="shared" si="2"/>
        <v>40-49</v>
      </c>
      <c r="W62" s="4" t="str">
        <f t="shared" si="3"/>
        <v>PERÚ</v>
      </c>
      <c r="X62" s="4" t="str">
        <f t="shared" si="4"/>
        <v>MASCULINO</v>
      </c>
      <c r="Y62" s="4" t="str">
        <f t="shared" si="5"/>
        <v>ANCASH</v>
      </c>
      <c r="Z62" s="4" t="str">
        <f t="shared" si="6"/>
        <v>ANCASH</v>
      </c>
      <c r="AA62" s="4"/>
    </row>
    <row r="63" ht="15.75" customHeight="1">
      <c r="A63" s="5" t="s">
        <v>567</v>
      </c>
      <c r="B63" s="5" t="s">
        <v>586</v>
      </c>
      <c r="C63" s="5" t="s">
        <v>587</v>
      </c>
      <c r="D63" s="5" t="s">
        <v>586</v>
      </c>
      <c r="E63" s="5" t="s">
        <v>588</v>
      </c>
      <c r="F63" s="5" t="s">
        <v>589</v>
      </c>
      <c r="G63" s="5" t="s">
        <v>590</v>
      </c>
      <c r="H63" s="5" t="s">
        <v>44</v>
      </c>
      <c r="I63" s="5" t="s">
        <v>591</v>
      </c>
      <c r="J63" s="5" t="s">
        <v>34</v>
      </c>
      <c r="K63" s="5" t="s">
        <v>116</v>
      </c>
      <c r="L63" s="5" t="s">
        <v>592</v>
      </c>
      <c r="M63" s="5" t="s">
        <v>593</v>
      </c>
      <c r="N63" s="5" t="s">
        <v>36</v>
      </c>
      <c r="P63" s="5" t="s">
        <v>594</v>
      </c>
      <c r="R63" s="5" t="s">
        <v>595</v>
      </c>
      <c r="S63" s="5" t="s">
        <v>596</v>
      </c>
      <c r="T63" s="5" t="str">
        <f>CONCATENATE(A2819," - ",B2819,".pdf")</f>
        <v> - .pdf</v>
      </c>
      <c r="U63" s="4">
        <f t="shared" si="1"/>
        <v>62</v>
      </c>
      <c r="V63" s="4" t="str">
        <f t="shared" si="2"/>
        <v>60+</v>
      </c>
      <c r="W63" s="4" t="str">
        <f t="shared" si="3"/>
        <v>PERÚ</v>
      </c>
      <c r="X63" s="4" t="str">
        <f t="shared" si="4"/>
        <v>MASCULINO</v>
      </c>
      <c r="Y63" s="4" t="str">
        <f t="shared" si="5"/>
        <v>PUNO</v>
      </c>
      <c r="Z63" s="4" t="str">
        <f t="shared" si="6"/>
        <v>TACNA</v>
      </c>
      <c r="AA63" s="4"/>
    </row>
    <row r="64" ht="15.75" customHeight="1">
      <c r="A64" s="5" t="s">
        <v>567</v>
      </c>
      <c r="B64" s="5" t="s">
        <v>597</v>
      </c>
      <c r="C64" s="5" t="s">
        <v>598</v>
      </c>
      <c r="D64" s="5" t="s">
        <v>597</v>
      </c>
      <c r="E64" s="5" t="s">
        <v>599</v>
      </c>
      <c r="F64" s="5" t="s">
        <v>600</v>
      </c>
      <c r="G64" s="5" t="s">
        <v>601</v>
      </c>
      <c r="H64" s="5" t="s">
        <v>44</v>
      </c>
      <c r="I64" s="5" t="s">
        <v>602</v>
      </c>
      <c r="J64" s="5" t="s">
        <v>34</v>
      </c>
      <c r="K64" s="5" t="s">
        <v>56</v>
      </c>
      <c r="L64" s="5" t="s">
        <v>56</v>
      </c>
      <c r="M64" s="5" t="s">
        <v>603</v>
      </c>
      <c r="N64" s="5" t="s">
        <v>36</v>
      </c>
      <c r="P64" s="5" t="s">
        <v>150</v>
      </c>
      <c r="R64" s="5" t="s">
        <v>604</v>
      </c>
      <c r="S64" s="5" t="s">
        <v>605</v>
      </c>
      <c r="T64" s="5" t="str">
        <f>CONCATENATE(A2866," - ",B2866,".pdf")</f>
        <v> - .pdf</v>
      </c>
      <c r="U64" s="4">
        <f t="shared" si="1"/>
        <v>62</v>
      </c>
      <c r="V64" s="4" t="str">
        <f t="shared" si="2"/>
        <v>60+</v>
      </c>
      <c r="W64" s="4" t="str">
        <f t="shared" si="3"/>
        <v>PERÚ</v>
      </c>
      <c r="X64" s="4" t="str">
        <f t="shared" si="4"/>
        <v>MASCULINO</v>
      </c>
      <c r="Y64" s="4" t="str">
        <f t="shared" si="5"/>
        <v>LIMA</v>
      </c>
      <c r="Z64" s="4" t="str">
        <f t="shared" si="6"/>
        <v>LIMA PROVINCIAS</v>
      </c>
      <c r="AA64" s="4"/>
    </row>
    <row r="65" ht="15.75" customHeight="1">
      <c r="A65" s="5" t="s">
        <v>567</v>
      </c>
      <c r="B65" s="5" t="s">
        <v>606</v>
      </c>
      <c r="C65" s="5" t="s">
        <v>607</v>
      </c>
      <c r="D65" s="5" t="s">
        <v>606</v>
      </c>
      <c r="E65" s="5" t="s">
        <v>608</v>
      </c>
      <c r="F65" s="5" t="s">
        <v>608</v>
      </c>
      <c r="G65" s="5" t="s">
        <v>609</v>
      </c>
      <c r="H65" s="5" t="s">
        <v>32</v>
      </c>
      <c r="I65" s="5" t="s">
        <v>610</v>
      </c>
      <c r="J65" s="5" t="s">
        <v>34</v>
      </c>
      <c r="K65" s="5" t="s">
        <v>116</v>
      </c>
      <c r="L65" s="5" t="s">
        <v>611</v>
      </c>
      <c r="M65" s="5" t="s">
        <v>611</v>
      </c>
      <c r="N65" s="5" t="s">
        <v>382</v>
      </c>
      <c r="O65" s="5" t="s">
        <v>36</v>
      </c>
      <c r="P65" s="5" t="s">
        <v>116</v>
      </c>
      <c r="R65" s="5" t="s">
        <v>612</v>
      </c>
      <c r="S65" s="5" t="s">
        <v>613</v>
      </c>
      <c r="T65" s="5" t="str">
        <f>CONCATENATE(A2890," - ",B2890,".pdf")</f>
        <v> - .pdf</v>
      </c>
      <c r="U65" s="4">
        <f t="shared" si="1"/>
        <v>56</v>
      </c>
      <c r="V65" s="4" t="str">
        <f t="shared" si="2"/>
        <v>50-59</v>
      </c>
      <c r="W65" s="4" t="str">
        <f t="shared" si="3"/>
        <v>PERÚ</v>
      </c>
      <c r="X65" s="4" t="str">
        <f t="shared" si="4"/>
        <v>FEMENINO</v>
      </c>
      <c r="Y65" s="4" t="str">
        <f t="shared" si="5"/>
        <v>PUNO</v>
      </c>
      <c r="Z65" s="4" t="str">
        <f t="shared" si="6"/>
        <v>PUNO</v>
      </c>
      <c r="AA65" s="4"/>
    </row>
    <row r="66" ht="15.75" customHeight="1">
      <c r="A66" s="5" t="s">
        <v>567</v>
      </c>
      <c r="B66" s="5" t="s">
        <v>614</v>
      </c>
      <c r="C66" s="5" t="s">
        <v>615</v>
      </c>
      <c r="D66" s="5" t="s">
        <v>614</v>
      </c>
      <c r="E66" s="5" t="s">
        <v>616</v>
      </c>
      <c r="F66" s="5" t="s">
        <v>617</v>
      </c>
      <c r="G66" s="5" t="s">
        <v>618</v>
      </c>
      <c r="H66" s="5" t="s">
        <v>44</v>
      </c>
      <c r="I66" s="5" t="s">
        <v>619</v>
      </c>
      <c r="J66" s="5" t="s">
        <v>34</v>
      </c>
      <c r="K66" s="5" t="s">
        <v>66</v>
      </c>
      <c r="L66" s="5" t="s">
        <v>620</v>
      </c>
      <c r="M66" s="5" t="s">
        <v>621</v>
      </c>
      <c r="N66" s="5" t="s">
        <v>36</v>
      </c>
      <c r="P66" s="5" t="s">
        <v>66</v>
      </c>
      <c r="R66" s="5" t="s">
        <v>622</v>
      </c>
      <c r="S66" s="5" t="s">
        <v>623</v>
      </c>
      <c r="T66" s="5" t="str">
        <f>CONCATENATE(A2915," - ",B2915,".pdf")</f>
        <v> - .pdf</v>
      </c>
      <c r="U66" s="4">
        <f t="shared" si="1"/>
        <v>52</v>
      </c>
      <c r="V66" s="4" t="str">
        <f t="shared" si="2"/>
        <v>50-59</v>
      </c>
      <c r="W66" s="4" t="str">
        <f t="shared" si="3"/>
        <v>PERÚ</v>
      </c>
      <c r="X66" s="4" t="str">
        <f t="shared" si="4"/>
        <v>MASCULINO</v>
      </c>
      <c r="Y66" s="4" t="str">
        <f t="shared" si="5"/>
        <v>CUSCO</v>
      </c>
      <c r="Z66" s="4" t="str">
        <f t="shared" si="6"/>
        <v>CUSCO</v>
      </c>
      <c r="AA66" s="4"/>
    </row>
    <row r="67" ht="15.75" customHeight="1">
      <c r="A67" s="5" t="s">
        <v>567</v>
      </c>
      <c r="B67" s="5" t="s">
        <v>624</v>
      </c>
      <c r="C67" s="5" t="s">
        <v>625</v>
      </c>
      <c r="D67" s="5" t="s">
        <v>624</v>
      </c>
      <c r="E67" s="5" t="s">
        <v>626</v>
      </c>
      <c r="F67" s="5" t="s">
        <v>627</v>
      </c>
      <c r="G67" s="5" t="s">
        <v>628</v>
      </c>
      <c r="H67" s="5" t="s">
        <v>44</v>
      </c>
      <c r="I67" s="5" t="s">
        <v>629</v>
      </c>
      <c r="J67" s="5" t="s">
        <v>34</v>
      </c>
      <c r="K67" s="5" t="s">
        <v>35</v>
      </c>
      <c r="L67" s="5" t="s">
        <v>630</v>
      </c>
      <c r="M67" s="5" t="s">
        <v>631</v>
      </c>
      <c r="N67" s="5" t="s">
        <v>36</v>
      </c>
      <c r="P67" s="5" t="s">
        <v>35</v>
      </c>
      <c r="R67" s="5" t="s">
        <v>632</v>
      </c>
      <c r="S67" s="5" t="s">
        <v>633</v>
      </c>
      <c r="T67" s="5" t="str">
        <f t="shared" ref="T67:T68" si="12">CONCATENATE(A2922," - ",B2922,".pdf")</f>
        <v> - .pdf</v>
      </c>
      <c r="U67" s="4">
        <f t="shared" si="1"/>
        <v>45</v>
      </c>
      <c r="V67" s="4" t="str">
        <f t="shared" si="2"/>
        <v>40-49</v>
      </c>
      <c r="W67" s="4" t="str">
        <f t="shared" si="3"/>
        <v>PERÚ</v>
      </c>
      <c r="X67" s="4" t="str">
        <f t="shared" si="4"/>
        <v>MASCULINO</v>
      </c>
      <c r="Y67" s="4" t="str">
        <f t="shared" si="5"/>
        <v>AREQUIPA</v>
      </c>
      <c r="Z67" s="4" t="str">
        <f t="shared" si="6"/>
        <v>AREQUIPA</v>
      </c>
      <c r="AA67" s="4"/>
    </row>
    <row r="68" ht="15.75" customHeight="1">
      <c r="A68" s="5" t="s">
        <v>567</v>
      </c>
      <c r="B68" s="5" t="s">
        <v>634</v>
      </c>
      <c r="C68" s="5" t="s">
        <v>635</v>
      </c>
      <c r="D68" s="5" t="s">
        <v>634</v>
      </c>
      <c r="E68" s="5" t="s">
        <v>636</v>
      </c>
      <c r="F68" s="5" t="s">
        <v>637</v>
      </c>
      <c r="G68" s="5" t="s">
        <v>638</v>
      </c>
      <c r="H68" s="5" t="s">
        <v>32</v>
      </c>
      <c r="I68" s="5" t="s">
        <v>639</v>
      </c>
      <c r="J68" s="5" t="s">
        <v>34</v>
      </c>
      <c r="K68" s="5" t="s">
        <v>56</v>
      </c>
      <c r="L68" s="5" t="s">
        <v>56</v>
      </c>
      <c r="M68" s="5" t="s">
        <v>640</v>
      </c>
      <c r="N68" s="5" t="s">
        <v>36</v>
      </c>
      <c r="P68" s="5" t="s">
        <v>57</v>
      </c>
      <c r="R68" s="5" t="s">
        <v>641</v>
      </c>
      <c r="S68" s="5" t="s">
        <v>642</v>
      </c>
      <c r="T68" s="5" t="str">
        <f t="shared" si="12"/>
        <v> - .pdf</v>
      </c>
      <c r="U68" s="4">
        <f t="shared" si="1"/>
        <v>36</v>
      </c>
      <c r="V68" s="4" t="str">
        <f t="shared" si="2"/>
        <v>30-39</v>
      </c>
      <c r="W68" s="4" t="str">
        <f t="shared" si="3"/>
        <v>PERÚ</v>
      </c>
      <c r="X68" s="4" t="str">
        <f t="shared" si="4"/>
        <v>FEMENINO</v>
      </c>
      <c r="Y68" s="4" t="str">
        <f t="shared" si="5"/>
        <v>LIMA</v>
      </c>
      <c r="Z68" s="4" t="str">
        <f t="shared" si="6"/>
        <v>LIMA METROPOLITANA</v>
      </c>
      <c r="AA68" s="4"/>
    </row>
    <row r="69" ht="15.75" customHeight="1">
      <c r="A69" s="5" t="s">
        <v>567</v>
      </c>
      <c r="B69" s="5" t="s">
        <v>643</v>
      </c>
      <c r="C69" s="5" t="s">
        <v>644</v>
      </c>
      <c r="D69" s="5" t="s">
        <v>643</v>
      </c>
      <c r="E69" s="5" t="s">
        <v>645</v>
      </c>
      <c r="F69" s="5" t="s">
        <v>646</v>
      </c>
      <c r="G69" s="5" t="s">
        <v>647</v>
      </c>
      <c r="H69" s="5" t="s">
        <v>44</v>
      </c>
      <c r="I69" s="5" t="s">
        <v>648</v>
      </c>
      <c r="J69" s="5" t="s">
        <v>34</v>
      </c>
      <c r="K69" s="5" t="s">
        <v>105</v>
      </c>
      <c r="L69" s="5" t="s">
        <v>327</v>
      </c>
      <c r="M69" s="5" t="s">
        <v>327</v>
      </c>
      <c r="N69" s="5" t="s">
        <v>36</v>
      </c>
      <c r="P69" s="5" t="s">
        <v>105</v>
      </c>
      <c r="R69" s="5" t="s">
        <v>649</v>
      </c>
      <c r="S69" s="5" t="s">
        <v>650</v>
      </c>
      <c r="T69" s="5" t="str">
        <f>CONCATENATE(A2947," - ",B2947,".pdf")</f>
        <v> - .pdf</v>
      </c>
      <c r="U69" s="4">
        <f t="shared" si="1"/>
        <v>60</v>
      </c>
      <c r="V69" s="4" t="str">
        <f t="shared" si="2"/>
        <v>60+</v>
      </c>
      <c r="W69" s="4" t="str">
        <f t="shared" si="3"/>
        <v>PERÚ</v>
      </c>
      <c r="X69" s="4" t="str">
        <f t="shared" si="4"/>
        <v>MASCULINO</v>
      </c>
      <c r="Y69" s="4" t="str">
        <f t="shared" si="5"/>
        <v>JUNIN</v>
      </c>
      <c r="Z69" s="4" t="str">
        <f t="shared" si="6"/>
        <v>JUNIN</v>
      </c>
      <c r="AA69" s="4"/>
    </row>
    <row r="70" ht="15.75" customHeight="1">
      <c r="A70" s="5" t="s">
        <v>567</v>
      </c>
      <c r="B70" s="5" t="s">
        <v>651</v>
      </c>
      <c r="C70" s="5" t="s">
        <v>652</v>
      </c>
      <c r="D70" s="5" t="s">
        <v>651</v>
      </c>
      <c r="E70" s="5" t="s">
        <v>653</v>
      </c>
      <c r="F70" s="5" t="s">
        <v>654</v>
      </c>
      <c r="G70" s="5" t="s">
        <v>655</v>
      </c>
      <c r="H70" s="5" t="s">
        <v>44</v>
      </c>
      <c r="I70" s="5" t="s">
        <v>656</v>
      </c>
      <c r="J70" s="5" t="s">
        <v>34</v>
      </c>
      <c r="K70" s="5" t="s">
        <v>56</v>
      </c>
      <c r="L70" s="5" t="s">
        <v>56</v>
      </c>
      <c r="M70" s="5" t="s">
        <v>56</v>
      </c>
      <c r="N70" s="5" t="s">
        <v>36</v>
      </c>
      <c r="P70" s="5" t="s">
        <v>57</v>
      </c>
      <c r="R70" s="5" t="s">
        <v>657</v>
      </c>
      <c r="S70" s="5" t="s">
        <v>658</v>
      </c>
      <c r="T70" s="5" t="str">
        <f>CONCATENATE(A2953," - ",B2953,".pdf")</f>
        <v> - .pdf</v>
      </c>
      <c r="U70" s="4">
        <f t="shared" si="1"/>
        <v>34</v>
      </c>
      <c r="V70" s="4" t="str">
        <f t="shared" si="2"/>
        <v>30-39</v>
      </c>
      <c r="W70" s="4" t="str">
        <f t="shared" si="3"/>
        <v>PERÚ</v>
      </c>
      <c r="X70" s="4" t="str">
        <f t="shared" si="4"/>
        <v>MASCULINO</v>
      </c>
      <c r="Y70" s="4" t="str">
        <f t="shared" si="5"/>
        <v>LIMA</v>
      </c>
      <c r="Z70" s="4" t="str">
        <f t="shared" si="6"/>
        <v>LIMA METROPOLITANA</v>
      </c>
      <c r="AA70" s="4"/>
    </row>
    <row r="71" ht="15.75" customHeight="1">
      <c r="A71" s="5" t="s">
        <v>567</v>
      </c>
      <c r="B71" s="5" t="s">
        <v>659</v>
      </c>
      <c r="C71" s="5" t="s">
        <v>660</v>
      </c>
      <c r="D71" s="5" t="s">
        <v>659</v>
      </c>
      <c r="E71" s="5" t="s">
        <v>661</v>
      </c>
      <c r="F71" s="5" t="s">
        <v>662</v>
      </c>
      <c r="G71" s="5" t="s">
        <v>663</v>
      </c>
      <c r="H71" s="5" t="s">
        <v>32</v>
      </c>
      <c r="I71" s="5" t="s">
        <v>664</v>
      </c>
      <c r="J71" s="5" t="s">
        <v>34</v>
      </c>
      <c r="K71" s="5" t="s">
        <v>56</v>
      </c>
      <c r="L71" s="5" t="s">
        <v>56</v>
      </c>
      <c r="M71" s="5" t="s">
        <v>56</v>
      </c>
      <c r="N71" s="5" t="s">
        <v>36</v>
      </c>
      <c r="P71" s="5" t="s">
        <v>57</v>
      </c>
      <c r="R71" s="5" t="s">
        <v>665</v>
      </c>
      <c r="S71" s="5" t="s">
        <v>666</v>
      </c>
      <c r="T71" s="5" t="str">
        <f>CONCATENATE(A2973," - ",B2973,".pdf")</f>
        <v> - .pdf</v>
      </c>
      <c r="U71" s="4">
        <f t="shared" si="1"/>
        <v>73</v>
      </c>
      <c r="V71" s="4" t="str">
        <f t="shared" si="2"/>
        <v>60+</v>
      </c>
      <c r="W71" s="4" t="str">
        <f t="shared" si="3"/>
        <v>PERÚ</v>
      </c>
      <c r="X71" s="4" t="str">
        <f t="shared" si="4"/>
        <v>FEMENINO</v>
      </c>
      <c r="Y71" s="4" t="str">
        <f t="shared" si="5"/>
        <v>LIMA</v>
      </c>
      <c r="Z71" s="4" t="str">
        <f t="shared" si="6"/>
        <v>LIMA METROPOLITANA</v>
      </c>
      <c r="AA71" s="4"/>
    </row>
    <row r="72" ht="15.75" customHeight="1">
      <c r="A72" s="5" t="s">
        <v>567</v>
      </c>
      <c r="B72" s="5" t="s">
        <v>667</v>
      </c>
      <c r="C72" s="5" t="s">
        <v>668</v>
      </c>
      <c r="D72" s="5" t="s">
        <v>667</v>
      </c>
      <c r="E72" s="5" t="s">
        <v>397</v>
      </c>
      <c r="F72" s="5" t="s">
        <v>669</v>
      </c>
      <c r="G72" s="5" t="s">
        <v>670</v>
      </c>
      <c r="H72" s="5" t="s">
        <v>44</v>
      </c>
      <c r="I72" s="5" t="s">
        <v>671</v>
      </c>
      <c r="J72" s="5" t="s">
        <v>34</v>
      </c>
      <c r="K72" s="5" t="s">
        <v>276</v>
      </c>
      <c r="L72" s="5" t="s">
        <v>389</v>
      </c>
      <c r="M72" s="5" t="s">
        <v>389</v>
      </c>
      <c r="N72" s="5" t="s">
        <v>36</v>
      </c>
      <c r="P72" s="5" t="s">
        <v>276</v>
      </c>
      <c r="R72" s="5" t="s">
        <v>672</v>
      </c>
      <c r="S72" s="5" t="s">
        <v>673</v>
      </c>
      <c r="T72" s="5" t="str">
        <f>CONCATENATE(A3001," - ",B3001,".pdf")</f>
        <v> - .pdf</v>
      </c>
      <c r="U72" s="4">
        <f t="shared" si="1"/>
        <v>70</v>
      </c>
      <c r="V72" s="4" t="str">
        <f t="shared" si="2"/>
        <v>60+</v>
      </c>
      <c r="W72" s="4" t="str">
        <f t="shared" si="3"/>
        <v>PERÚ</v>
      </c>
      <c r="X72" s="4" t="str">
        <f t="shared" si="4"/>
        <v>MASCULINO</v>
      </c>
      <c r="Y72" s="4" t="str">
        <f t="shared" si="5"/>
        <v>LA LIBERTAD</v>
      </c>
      <c r="Z72" s="4" t="str">
        <f t="shared" si="6"/>
        <v>LA LIBERTAD</v>
      </c>
      <c r="AA72" s="4"/>
    </row>
    <row r="73" ht="15.75" customHeight="1">
      <c r="A73" s="5" t="s">
        <v>567</v>
      </c>
      <c r="B73" s="5" t="s">
        <v>674</v>
      </c>
      <c r="C73" s="5" t="s">
        <v>675</v>
      </c>
      <c r="D73" s="5" t="s">
        <v>674</v>
      </c>
      <c r="E73" s="5" t="s">
        <v>676</v>
      </c>
      <c r="F73" s="5" t="s">
        <v>677</v>
      </c>
      <c r="G73" s="5" t="s">
        <v>678</v>
      </c>
      <c r="H73" s="5" t="s">
        <v>44</v>
      </c>
      <c r="I73" s="5" t="s">
        <v>679</v>
      </c>
      <c r="J73" s="5" t="s">
        <v>34</v>
      </c>
      <c r="K73" s="5" t="s">
        <v>416</v>
      </c>
      <c r="L73" s="5" t="s">
        <v>416</v>
      </c>
      <c r="M73" s="5" t="s">
        <v>416</v>
      </c>
      <c r="N73" s="5" t="s">
        <v>36</v>
      </c>
      <c r="P73" s="5" t="s">
        <v>416</v>
      </c>
      <c r="R73" s="5" t="s">
        <v>680</v>
      </c>
      <c r="S73" s="5" t="s">
        <v>681</v>
      </c>
      <c r="T73" s="5" t="str">
        <f>CONCATENATE(A3014," - ",B3014,".pdf")</f>
        <v> - .pdf</v>
      </c>
      <c r="U73" s="4">
        <f t="shared" si="1"/>
        <v>44</v>
      </c>
      <c r="V73" s="4" t="str">
        <f t="shared" si="2"/>
        <v>40-49</v>
      </c>
      <c r="W73" s="4" t="str">
        <f t="shared" si="3"/>
        <v>PERÚ</v>
      </c>
      <c r="X73" s="4" t="str">
        <f t="shared" si="4"/>
        <v>MASCULINO</v>
      </c>
      <c r="Y73" s="4" t="str">
        <f t="shared" si="5"/>
        <v>ICA</v>
      </c>
      <c r="Z73" s="4" t="str">
        <f t="shared" si="6"/>
        <v>ICA</v>
      </c>
      <c r="AA73" s="4"/>
    </row>
    <row r="74" ht="15.75" customHeight="1">
      <c r="A74" s="5" t="s">
        <v>682</v>
      </c>
      <c r="B74" s="5" t="s">
        <v>683</v>
      </c>
      <c r="C74" s="5" t="s">
        <v>684</v>
      </c>
      <c r="D74" s="5" t="s">
        <v>683</v>
      </c>
      <c r="E74" s="5" t="s">
        <v>685</v>
      </c>
      <c r="F74" s="5" t="s">
        <v>686</v>
      </c>
      <c r="G74" s="5" t="s">
        <v>687</v>
      </c>
      <c r="H74" s="5" t="s">
        <v>32</v>
      </c>
      <c r="I74" s="5" t="s">
        <v>688</v>
      </c>
      <c r="J74" s="5" t="s">
        <v>34</v>
      </c>
      <c r="K74" s="5" t="s">
        <v>56</v>
      </c>
      <c r="L74" s="5" t="s">
        <v>56</v>
      </c>
      <c r="M74" s="5" t="s">
        <v>250</v>
      </c>
      <c r="N74" s="5" t="s">
        <v>36</v>
      </c>
      <c r="P74" s="5" t="s">
        <v>57</v>
      </c>
      <c r="R74" s="5" t="s">
        <v>689</v>
      </c>
      <c r="S74" s="5" t="s">
        <v>690</v>
      </c>
      <c r="T74" s="5" t="str">
        <f>CONCATENATE(A3228," - ",B3228,".pdf")</f>
        <v> - .pdf</v>
      </c>
      <c r="U74" s="4">
        <f t="shared" si="1"/>
        <v>40</v>
      </c>
      <c r="V74" s="4" t="str">
        <f t="shared" si="2"/>
        <v>40-49</v>
      </c>
      <c r="W74" s="4" t="str">
        <f t="shared" si="3"/>
        <v>PERÚ</v>
      </c>
      <c r="X74" s="4" t="str">
        <f t="shared" si="4"/>
        <v>FEMENINO</v>
      </c>
      <c r="Y74" s="4" t="str">
        <f t="shared" si="5"/>
        <v>LIMA</v>
      </c>
      <c r="Z74" s="4" t="str">
        <f t="shared" si="6"/>
        <v>LIMA METROPOLITANA</v>
      </c>
      <c r="AA74" s="4"/>
    </row>
    <row r="75" ht="15.75" customHeight="1">
      <c r="A75" s="5" t="s">
        <v>682</v>
      </c>
      <c r="B75" s="5" t="s">
        <v>691</v>
      </c>
      <c r="C75" s="5" t="s">
        <v>692</v>
      </c>
      <c r="D75" s="5" t="s">
        <v>691</v>
      </c>
      <c r="E75" s="5" t="s">
        <v>693</v>
      </c>
      <c r="F75" s="5" t="s">
        <v>694</v>
      </c>
      <c r="G75" s="5" t="s">
        <v>695</v>
      </c>
      <c r="H75" s="5" t="s">
        <v>32</v>
      </c>
      <c r="I75" s="5" t="s">
        <v>696</v>
      </c>
      <c r="J75" s="5" t="s">
        <v>34</v>
      </c>
      <c r="K75" s="5" t="s">
        <v>56</v>
      </c>
      <c r="L75" s="5" t="s">
        <v>56</v>
      </c>
      <c r="M75" s="5" t="s">
        <v>233</v>
      </c>
      <c r="N75" s="5" t="s">
        <v>36</v>
      </c>
      <c r="P75" s="5" t="s">
        <v>57</v>
      </c>
      <c r="R75" s="5" t="s">
        <v>697</v>
      </c>
      <c r="S75" s="5" t="s">
        <v>698</v>
      </c>
      <c r="T75" s="5" t="str">
        <f>CONCATENATE(A3252," - ",B3252,".pdf")</f>
        <v> - .pdf</v>
      </c>
      <c r="U75" s="4">
        <f t="shared" si="1"/>
        <v>44</v>
      </c>
      <c r="V75" s="4" t="str">
        <f t="shared" si="2"/>
        <v>40-49</v>
      </c>
      <c r="W75" s="4" t="str">
        <f t="shared" si="3"/>
        <v>PERÚ</v>
      </c>
      <c r="X75" s="4" t="str">
        <f t="shared" si="4"/>
        <v>FEMENINO</v>
      </c>
      <c r="Y75" s="4" t="str">
        <f t="shared" si="5"/>
        <v>LIMA</v>
      </c>
      <c r="Z75" s="4" t="str">
        <f t="shared" si="6"/>
        <v>LIMA METROPOLITANA</v>
      </c>
      <c r="AA75" s="4"/>
    </row>
    <row r="76" ht="15.75" customHeight="1">
      <c r="A76" s="5" t="s">
        <v>682</v>
      </c>
      <c r="B76" s="5" t="s">
        <v>699</v>
      </c>
      <c r="C76" s="5" t="s">
        <v>700</v>
      </c>
      <c r="D76" s="5" t="s">
        <v>699</v>
      </c>
      <c r="E76" s="5" t="s">
        <v>701</v>
      </c>
      <c r="F76" s="5" t="s">
        <v>702</v>
      </c>
      <c r="G76" s="5" t="s">
        <v>703</v>
      </c>
      <c r="H76" s="5" t="s">
        <v>44</v>
      </c>
      <c r="I76" s="5" t="s">
        <v>704</v>
      </c>
      <c r="J76" s="5" t="s">
        <v>34</v>
      </c>
      <c r="K76" s="5" t="s">
        <v>196</v>
      </c>
      <c r="L76" s="5" t="s">
        <v>197</v>
      </c>
      <c r="M76" s="5" t="s">
        <v>197</v>
      </c>
      <c r="N76" s="5" t="s">
        <v>36</v>
      </c>
      <c r="P76" s="5" t="s">
        <v>196</v>
      </c>
      <c r="R76" s="5" t="s">
        <v>705</v>
      </c>
      <c r="S76" s="5" t="s">
        <v>706</v>
      </c>
      <c r="T76" s="5" t="str">
        <f>CONCATENATE(A3268," - ",B3268,".pdf")</f>
        <v> - .pdf</v>
      </c>
      <c r="U76" s="4">
        <f t="shared" si="1"/>
        <v>54</v>
      </c>
      <c r="V76" s="4" t="str">
        <f t="shared" si="2"/>
        <v>50-59</v>
      </c>
      <c r="W76" s="4" t="str">
        <f t="shared" si="3"/>
        <v>PERÚ</v>
      </c>
      <c r="X76" s="4" t="str">
        <f t="shared" si="4"/>
        <v>MASCULINO</v>
      </c>
      <c r="Y76" s="4" t="str">
        <f t="shared" si="5"/>
        <v>LAMBAYEQUE</v>
      </c>
      <c r="Z76" s="4" t="str">
        <f t="shared" si="6"/>
        <v>LAMBAYEQUE</v>
      </c>
      <c r="AA76" s="4"/>
    </row>
    <row r="77" ht="15.75" customHeight="1">
      <c r="A77" s="5" t="s">
        <v>682</v>
      </c>
      <c r="B77" s="5" t="s">
        <v>707</v>
      </c>
      <c r="C77" s="5" t="s">
        <v>708</v>
      </c>
      <c r="D77" s="5" t="s">
        <v>707</v>
      </c>
      <c r="E77" s="5" t="s">
        <v>709</v>
      </c>
      <c r="F77" s="5" t="s">
        <v>710</v>
      </c>
      <c r="G77" s="5" t="s">
        <v>711</v>
      </c>
      <c r="H77" s="5" t="s">
        <v>32</v>
      </c>
      <c r="I77" s="5" t="s">
        <v>712</v>
      </c>
      <c r="J77" s="5" t="s">
        <v>34</v>
      </c>
      <c r="K77" s="5" t="s">
        <v>105</v>
      </c>
      <c r="L77" s="5" t="s">
        <v>327</v>
      </c>
      <c r="M77" s="5" t="s">
        <v>327</v>
      </c>
      <c r="N77" s="5" t="s">
        <v>36</v>
      </c>
      <c r="P77" s="5" t="s">
        <v>105</v>
      </c>
      <c r="R77" s="5" t="s">
        <v>713</v>
      </c>
      <c r="S77" s="5" t="s">
        <v>714</v>
      </c>
      <c r="T77" s="5" t="str">
        <f>CONCATENATE(A3299," - ",B3299,".pdf")</f>
        <v> - .pdf</v>
      </c>
      <c r="U77" s="4">
        <f t="shared" si="1"/>
        <v>69</v>
      </c>
      <c r="V77" s="4" t="str">
        <f t="shared" si="2"/>
        <v>60+</v>
      </c>
      <c r="W77" s="4" t="str">
        <f t="shared" si="3"/>
        <v>PERÚ</v>
      </c>
      <c r="X77" s="4" t="str">
        <f t="shared" si="4"/>
        <v>FEMENINO</v>
      </c>
      <c r="Y77" s="4" t="str">
        <f t="shared" si="5"/>
        <v>JUNIN</v>
      </c>
      <c r="Z77" s="4" t="str">
        <f t="shared" si="6"/>
        <v>JUNIN</v>
      </c>
      <c r="AA77" s="4"/>
    </row>
    <row r="78" ht="15.75" customHeight="1">
      <c r="A78" s="5" t="s">
        <v>682</v>
      </c>
      <c r="B78" s="5" t="s">
        <v>715</v>
      </c>
      <c r="C78" s="5" t="s">
        <v>716</v>
      </c>
      <c r="D78" s="5" t="s">
        <v>715</v>
      </c>
      <c r="E78" s="5" t="s">
        <v>702</v>
      </c>
      <c r="F78" s="5" t="s">
        <v>717</v>
      </c>
      <c r="G78" s="5" t="s">
        <v>718</v>
      </c>
      <c r="H78" s="5" t="s">
        <v>32</v>
      </c>
      <c r="I78" s="5" t="s">
        <v>719</v>
      </c>
      <c r="J78" s="5" t="s">
        <v>34</v>
      </c>
      <c r="K78" s="5" t="s">
        <v>720</v>
      </c>
      <c r="L78" s="5" t="s">
        <v>721</v>
      </c>
      <c r="M78" s="5" t="s">
        <v>722</v>
      </c>
      <c r="N78" s="5" t="s">
        <v>36</v>
      </c>
      <c r="P78" s="5" t="s">
        <v>57</v>
      </c>
      <c r="R78" s="5" t="s">
        <v>723</v>
      </c>
      <c r="S78" s="5" t="s">
        <v>724</v>
      </c>
      <c r="T78" s="5" t="str">
        <f>CONCATENATE(A3307," - ",B3307,".pdf")</f>
        <v> - .pdf</v>
      </c>
      <c r="U78" s="4">
        <f t="shared" si="1"/>
        <v>52</v>
      </c>
      <c r="V78" s="4" t="str">
        <f t="shared" si="2"/>
        <v>50-59</v>
      </c>
      <c r="W78" s="4" t="str">
        <f t="shared" si="3"/>
        <v>PERÚ</v>
      </c>
      <c r="X78" s="4" t="str">
        <f t="shared" si="4"/>
        <v>FEMENINO</v>
      </c>
      <c r="Y78" s="4" t="str">
        <f t="shared" si="5"/>
        <v>APURIMAC</v>
      </c>
      <c r="Z78" s="4" t="str">
        <f t="shared" si="6"/>
        <v>LIMA METROPOLITANA</v>
      </c>
      <c r="AA78" s="4"/>
    </row>
    <row r="79" ht="15.75" customHeight="1">
      <c r="A79" s="5" t="s">
        <v>682</v>
      </c>
      <c r="B79" s="5" t="s">
        <v>725</v>
      </c>
      <c r="C79" s="5" t="s">
        <v>726</v>
      </c>
      <c r="D79" s="5" t="s">
        <v>725</v>
      </c>
      <c r="E79" s="5" t="s">
        <v>136</v>
      </c>
      <c r="F79" s="5" t="s">
        <v>727</v>
      </c>
      <c r="G79" s="5" t="s">
        <v>728</v>
      </c>
      <c r="H79" s="5" t="s">
        <v>44</v>
      </c>
      <c r="I79" s="5" t="s">
        <v>729</v>
      </c>
      <c r="J79" s="5" t="s">
        <v>34</v>
      </c>
      <c r="K79" s="5" t="s">
        <v>56</v>
      </c>
      <c r="L79" s="5" t="s">
        <v>56</v>
      </c>
      <c r="M79" s="5" t="s">
        <v>56</v>
      </c>
      <c r="N79" s="5" t="s">
        <v>36</v>
      </c>
      <c r="P79" s="5" t="s">
        <v>177</v>
      </c>
      <c r="R79" s="5" t="s">
        <v>730</v>
      </c>
      <c r="S79" s="5" t="s">
        <v>731</v>
      </c>
      <c r="T79" s="5" t="str">
        <f>CONCATENATE(A3319," - ",B3319,".pdf")</f>
        <v> - .pdf</v>
      </c>
      <c r="U79" s="4">
        <f t="shared" si="1"/>
        <v>65</v>
      </c>
      <c r="V79" s="4" t="str">
        <f t="shared" si="2"/>
        <v>60+</v>
      </c>
      <c r="W79" s="4" t="str">
        <f t="shared" si="3"/>
        <v>PERÚ</v>
      </c>
      <c r="X79" s="4" t="str">
        <f t="shared" si="4"/>
        <v>MASCULINO</v>
      </c>
      <c r="Y79" s="4" t="str">
        <f t="shared" si="5"/>
        <v>LIMA</v>
      </c>
      <c r="Z79" s="4" t="str">
        <f t="shared" si="6"/>
        <v>CALLAO</v>
      </c>
      <c r="AA79" s="4"/>
    </row>
    <row r="80" ht="15.75" customHeight="1">
      <c r="A80" s="5" t="s">
        <v>682</v>
      </c>
      <c r="B80" s="5" t="s">
        <v>732</v>
      </c>
      <c r="C80" s="5" t="s">
        <v>733</v>
      </c>
      <c r="D80" s="5" t="s">
        <v>732</v>
      </c>
      <c r="E80" s="5" t="s">
        <v>463</v>
      </c>
      <c r="F80" s="5" t="s">
        <v>734</v>
      </c>
      <c r="G80" s="5" t="s">
        <v>735</v>
      </c>
      <c r="H80" s="5" t="s">
        <v>44</v>
      </c>
      <c r="I80" s="5" t="s">
        <v>736</v>
      </c>
      <c r="J80" s="5" t="s">
        <v>34</v>
      </c>
      <c r="K80" s="5" t="s">
        <v>35</v>
      </c>
      <c r="L80" s="5" t="s">
        <v>35</v>
      </c>
      <c r="M80" s="5" t="s">
        <v>35</v>
      </c>
      <c r="N80" s="5" t="s">
        <v>36</v>
      </c>
      <c r="P80" s="5" t="s">
        <v>35</v>
      </c>
      <c r="R80" s="5" t="s">
        <v>737</v>
      </c>
      <c r="S80" s="5" t="s">
        <v>738</v>
      </c>
      <c r="T80" s="5" t="str">
        <f>CONCATENATE(A3326," - ",B3326,".pdf")</f>
        <v> - .pdf</v>
      </c>
      <c r="U80" s="4">
        <f t="shared" si="1"/>
        <v>62</v>
      </c>
      <c r="V80" s="4" t="str">
        <f t="shared" si="2"/>
        <v>60+</v>
      </c>
      <c r="W80" s="4" t="str">
        <f t="shared" si="3"/>
        <v>PERÚ</v>
      </c>
      <c r="X80" s="4" t="str">
        <f t="shared" si="4"/>
        <v>MASCULINO</v>
      </c>
      <c r="Y80" s="4" t="str">
        <f t="shared" si="5"/>
        <v>AREQUIPA</v>
      </c>
      <c r="Z80" s="4" t="str">
        <f t="shared" si="6"/>
        <v>AREQUIPA</v>
      </c>
      <c r="AA80" s="4"/>
    </row>
    <row r="81" ht="15.75" customHeight="1">
      <c r="A81" s="5" t="s">
        <v>682</v>
      </c>
      <c r="B81" s="5" t="s">
        <v>739</v>
      </c>
      <c r="C81" s="5" t="s">
        <v>740</v>
      </c>
      <c r="D81" s="5" t="s">
        <v>739</v>
      </c>
      <c r="E81" s="5" t="s">
        <v>741</v>
      </c>
      <c r="F81" s="5" t="s">
        <v>742</v>
      </c>
      <c r="G81" s="5" t="s">
        <v>743</v>
      </c>
      <c r="H81" s="5" t="s">
        <v>32</v>
      </c>
      <c r="I81" s="5" t="s">
        <v>744</v>
      </c>
      <c r="J81" s="5" t="s">
        <v>34</v>
      </c>
      <c r="K81" s="5" t="s">
        <v>35</v>
      </c>
      <c r="L81" s="5" t="s">
        <v>745</v>
      </c>
      <c r="M81" s="5" t="s">
        <v>746</v>
      </c>
      <c r="N81" s="5" t="s">
        <v>36</v>
      </c>
      <c r="P81" s="5" t="s">
        <v>35</v>
      </c>
      <c r="R81" s="5" t="s">
        <v>747</v>
      </c>
      <c r="S81" s="5" t="s">
        <v>748</v>
      </c>
      <c r="T81" s="5" t="str">
        <f>CONCATENATE(A3333," - ",B3333,".pdf")</f>
        <v> - .pdf</v>
      </c>
      <c r="U81" s="4">
        <f t="shared" si="1"/>
        <v>59</v>
      </c>
      <c r="V81" s="4" t="str">
        <f t="shared" si="2"/>
        <v>50-59</v>
      </c>
      <c r="W81" s="4" t="str">
        <f t="shared" si="3"/>
        <v>PERÚ</v>
      </c>
      <c r="X81" s="4" t="str">
        <f t="shared" si="4"/>
        <v>FEMENINO</v>
      </c>
      <c r="Y81" s="4" t="str">
        <f t="shared" si="5"/>
        <v>AREQUIPA</v>
      </c>
      <c r="Z81" s="4" t="str">
        <f t="shared" si="6"/>
        <v>AREQUIPA</v>
      </c>
      <c r="AA81" s="4"/>
    </row>
    <row r="82" ht="15.75" customHeight="1">
      <c r="A82" s="5" t="s">
        <v>682</v>
      </c>
      <c r="B82" s="5" t="s">
        <v>749</v>
      </c>
      <c r="C82" s="5" t="s">
        <v>750</v>
      </c>
      <c r="D82" s="5" t="s">
        <v>749</v>
      </c>
      <c r="E82" s="5" t="s">
        <v>751</v>
      </c>
      <c r="F82" s="5" t="s">
        <v>752</v>
      </c>
      <c r="G82" s="5" t="s">
        <v>753</v>
      </c>
      <c r="H82" s="5" t="s">
        <v>44</v>
      </c>
      <c r="I82" s="5" t="s">
        <v>754</v>
      </c>
      <c r="J82" s="5" t="s">
        <v>34</v>
      </c>
      <c r="K82" s="5" t="s">
        <v>186</v>
      </c>
      <c r="L82" s="5" t="s">
        <v>186</v>
      </c>
      <c r="M82" s="5" t="s">
        <v>186</v>
      </c>
      <c r="N82" s="5" t="s">
        <v>36</v>
      </c>
      <c r="P82" s="5" t="s">
        <v>186</v>
      </c>
      <c r="R82" s="5" t="s">
        <v>755</v>
      </c>
      <c r="S82" s="5" t="s">
        <v>756</v>
      </c>
      <c r="T82" s="5" t="str">
        <f>CONCATENATE(A3336," - ",B3336,".pdf")</f>
        <v> - .pdf</v>
      </c>
      <c r="U82" s="4">
        <f t="shared" si="1"/>
        <v>56</v>
      </c>
      <c r="V82" s="4" t="str">
        <f t="shared" si="2"/>
        <v>50-59</v>
      </c>
      <c r="W82" s="4" t="str">
        <f t="shared" si="3"/>
        <v>PERÚ</v>
      </c>
      <c r="X82" s="4" t="str">
        <f t="shared" si="4"/>
        <v>MASCULINO</v>
      </c>
      <c r="Y82" s="4" t="str">
        <f t="shared" si="5"/>
        <v>PIURA</v>
      </c>
      <c r="Z82" s="4" t="str">
        <f t="shared" si="6"/>
        <v>PIURA</v>
      </c>
      <c r="AA82" s="4"/>
    </row>
    <row r="83" ht="15.75" customHeight="1">
      <c r="A83" s="5" t="s">
        <v>682</v>
      </c>
      <c r="B83" s="5" t="s">
        <v>757</v>
      </c>
      <c r="C83" s="5" t="s">
        <v>758</v>
      </c>
      <c r="D83" s="5" t="s">
        <v>757</v>
      </c>
      <c r="E83" s="5" t="s">
        <v>759</v>
      </c>
      <c r="F83" s="5" t="s">
        <v>760</v>
      </c>
      <c r="G83" s="5" t="s">
        <v>761</v>
      </c>
      <c r="H83" s="5" t="s">
        <v>32</v>
      </c>
      <c r="I83" s="5" t="s">
        <v>762</v>
      </c>
      <c r="J83" s="5" t="s">
        <v>34</v>
      </c>
      <c r="K83" s="5" t="s">
        <v>56</v>
      </c>
      <c r="L83" s="5" t="s">
        <v>56</v>
      </c>
      <c r="M83" s="5" t="s">
        <v>233</v>
      </c>
      <c r="N83" s="5" t="s">
        <v>36</v>
      </c>
      <c r="P83" s="5" t="s">
        <v>276</v>
      </c>
      <c r="R83" s="5" t="s">
        <v>763</v>
      </c>
      <c r="S83" s="5" t="s">
        <v>764</v>
      </c>
      <c r="T83" s="5" t="str">
        <f>CONCATENATE(A3344," - ",B3344,".pdf")</f>
        <v> - .pdf</v>
      </c>
      <c r="U83" s="4">
        <f t="shared" si="1"/>
        <v>71</v>
      </c>
      <c r="V83" s="4" t="str">
        <f t="shared" si="2"/>
        <v>60+</v>
      </c>
      <c r="W83" s="4" t="str">
        <f t="shared" si="3"/>
        <v>PERÚ</v>
      </c>
      <c r="X83" s="4" t="str">
        <f t="shared" si="4"/>
        <v>FEMENINO</v>
      </c>
      <c r="Y83" s="4" t="str">
        <f t="shared" si="5"/>
        <v>LIMA</v>
      </c>
      <c r="Z83" s="4" t="str">
        <f t="shared" si="6"/>
        <v>LA LIBERTAD</v>
      </c>
      <c r="AA83" s="4"/>
    </row>
    <row r="84" ht="15.75" customHeight="1">
      <c r="A84" s="5" t="s">
        <v>682</v>
      </c>
      <c r="B84" s="5" t="s">
        <v>765</v>
      </c>
      <c r="C84" s="5" t="s">
        <v>766</v>
      </c>
      <c r="D84" s="5" t="s">
        <v>765</v>
      </c>
      <c r="E84" s="5" t="s">
        <v>767</v>
      </c>
      <c r="F84" s="5" t="s">
        <v>768</v>
      </c>
      <c r="G84" s="5" t="s">
        <v>769</v>
      </c>
      <c r="H84" s="5" t="s">
        <v>32</v>
      </c>
      <c r="I84" s="5" t="s">
        <v>770</v>
      </c>
      <c r="J84" s="5" t="s">
        <v>34</v>
      </c>
      <c r="K84" s="5" t="s">
        <v>56</v>
      </c>
      <c r="L84" s="5" t="s">
        <v>56</v>
      </c>
      <c r="M84" s="5" t="s">
        <v>97</v>
      </c>
      <c r="N84" s="5" t="s">
        <v>36</v>
      </c>
      <c r="P84" s="5" t="s">
        <v>57</v>
      </c>
      <c r="R84" s="5" t="s">
        <v>771</v>
      </c>
      <c r="S84" s="5" t="s">
        <v>772</v>
      </c>
      <c r="T84" s="5" t="str">
        <f>CONCATENATE(A3361," - ",B3361,".pdf")</f>
        <v> - .pdf</v>
      </c>
      <c r="U84" s="4">
        <f t="shared" si="1"/>
        <v>29</v>
      </c>
      <c r="V84" s="4" t="str">
        <f t="shared" si="2"/>
        <v>18-29</v>
      </c>
      <c r="W84" s="4" t="str">
        <f t="shared" si="3"/>
        <v>PERÚ</v>
      </c>
      <c r="X84" s="4" t="str">
        <f t="shared" si="4"/>
        <v>FEMENINO</v>
      </c>
      <c r="Y84" s="4" t="str">
        <f t="shared" si="5"/>
        <v>LIMA</v>
      </c>
      <c r="Z84" s="4" t="str">
        <f t="shared" si="6"/>
        <v>LIMA METROPOLITANA</v>
      </c>
      <c r="AA84" s="4"/>
    </row>
    <row r="85" ht="15.75" customHeight="1">
      <c r="A85" s="5" t="s">
        <v>682</v>
      </c>
      <c r="B85" s="5" t="s">
        <v>773</v>
      </c>
      <c r="C85" s="5" t="s">
        <v>774</v>
      </c>
      <c r="D85" s="5" t="s">
        <v>773</v>
      </c>
      <c r="E85" s="5" t="s">
        <v>775</v>
      </c>
      <c r="F85" s="5" t="s">
        <v>776</v>
      </c>
      <c r="G85" s="5" t="s">
        <v>777</v>
      </c>
      <c r="H85" s="5" t="s">
        <v>32</v>
      </c>
      <c r="I85" s="5" t="s">
        <v>778</v>
      </c>
      <c r="J85" s="5" t="s">
        <v>34</v>
      </c>
      <c r="K85" s="5" t="s">
        <v>416</v>
      </c>
      <c r="L85" s="5" t="s">
        <v>416</v>
      </c>
      <c r="M85" s="5" t="s">
        <v>416</v>
      </c>
      <c r="N85" s="5" t="s">
        <v>36</v>
      </c>
      <c r="P85" s="5" t="s">
        <v>416</v>
      </c>
      <c r="Q85" s="5" t="s">
        <v>779</v>
      </c>
      <c r="R85" s="5" t="s">
        <v>780</v>
      </c>
      <c r="S85" s="5" t="s">
        <v>781</v>
      </c>
      <c r="T85" s="5" t="str">
        <f>CONCATENATE(A3403," - ",B3403,".pdf")</f>
        <v> - .pdf</v>
      </c>
      <c r="U85" s="4">
        <f t="shared" si="1"/>
        <v>37</v>
      </c>
      <c r="V85" s="4" t="str">
        <f t="shared" si="2"/>
        <v>30-39</v>
      </c>
      <c r="W85" s="4" t="str">
        <f t="shared" si="3"/>
        <v>PERÚ</v>
      </c>
      <c r="X85" s="4" t="str">
        <f t="shared" si="4"/>
        <v>FEMENINO</v>
      </c>
      <c r="Y85" s="4" t="str">
        <f t="shared" si="5"/>
        <v>ICA</v>
      </c>
      <c r="Z85" s="4" t="str">
        <f t="shared" si="6"/>
        <v>ICA</v>
      </c>
      <c r="AA85" s="4"/>
    </row>
    <row r="86" ht="15.75" customHeight="1">
      <c r="A86" s="5" t="s">
        <v>682</v>
      </c>
      <c r="B86" s="5" t="s">
        <v>782</v>
      </c>
      <c r="C86" s="5" t="s">
        <v>783</v>
      </c>
      <c r="D86" s="5" t="s">
        <v>782</v>
      </c>
      <c r="E86" s="5" t="s">
        <v>307</v>
      </c>
      <c r="F86" s="5" t="s">
        <v>784</v>
      </c>
      <c r="G86" s="5" t="s">
        <v>785</v>
      </c>
      <c r="H86" s="5" t="s">
        <v>44</v>
      </c>
      <c r="I86" s="5" t="s">
        <v>786</v>
      </c>
      <c r="J86" s="5" t="s">
        <v>34</v>
      </c>
      <c r="K86" s="5" t="s">
        <v>66</v>
      </c>
      <c r="L86" s="5" t="s">
        <v>787</v>
      </c>
      <c r="M86" s="5" t="s">
        <v>788</v>
      </c>
      <c r="N86" s="5" t="s">
        <v>36</v>
      </c>
      <c r="P86" s="5" t="s">
        <v>57</v>
      </c>
      <c r="R86" s="5" t="s">
        <v>789</v>
      </c>
      <c r="S86" s="5" t="s">
        <v>790</v>
      </c>
      <c r="T86" s="5" t="str">
        <f>CONCATENATE(A3407," - ",B3407,".pdf")</f>
        <v> - .pdf</v>
      </c>
      <c r="U86" s="4">
        <f t="shared" si="1"/>
        <v>77</v>
      </c>
      <c r="V86" s="4" t="str">
        <f t="shared" si="2"/>
        <v>60+</v>
      </c>
      <c r="W86" s="4" t="str">
        <f t="shared" si="3"/>
        <v>PERÚ</v>
      </c>
      <c r="X86" s="4" t="str">
        <f t="shared" si="4"/>
        <v>MASCULINO</v>
      </c>
      <c r="Y86" s="4" t="str">
        <f t="shared" si="5"/>
        <v>CUSCO</v>
      </c>
      <c r="Z86" s="4" t="str">
        <f t="shared" si="6"/>
        <v>LIMA METROPOLITANA</v>
      </c>
      <c r="AA86" s="4"/>
    </row>
    <row r="87" ht="15.75" customHeight="1">
      <c r="A87" s="5" t="s">
        <v>682</v>
      </c>
      <c r="B87" s="5" t="s">
        <v>791</v>
      </c>
      <c r="C87" s="5" t="s">
        <v>792</v>
      </c>
      <c r="D87" s="5" t="s">
        <v>791</v>
      </c>
      <c r="E87" s="5" t="s">
        <v>793</v>
      </c>
      <c r="F87" s="5" t="s">
        <v>794</v>
      </c>
      <c r="G87" s="5" t="s">
        <v>795</v>
      </c>
      <c r="H87" s="5" t="s">
        <v>44</v>
      </c>
      <c r="I87" s="5" t="s">
        <v>796</v>
      </c>
      <c r="J87" s="5" t="s">
        <v>34</v>
      </c>
      <c r="K87" s="5" t="s">
        <v>216</v>
      </c>
      <c r="L87" s="5" t="s">
        <v>797</v>
      </c>
      <c r="M87" s="5" t="s">
        <v>798</v>
      </c>
      <c r="N87" s="5" t="s">
        <v>36</v>
      </c>
      <c r="P87" s="5" t="s">
        <v>57</v>
      </c>
      <c r="R87" s="5" t="s">
        <v>799</v>
      </c>
      <c r="S87" s="5" t="s">
        <v>800</v>
      </c>
      <c r="T87" s="5" t="str">
        <f>CONCATENATE(A3418," - ",B3418,".pdf")</f>
        <v> - .pdf</v>
      </c>
      <c r="U87" s="4">
        <f t="shared" si="1"/>
        <v>64</v>
      </c>
      <c r="V87" s="4" t="str">
        <f t="shared" si="2"/>
        <v>60+</v>
      </c>
      <c r="W87" s="4" t="str">
        <f t="shared" si="3"/>
        <v>PERÚ</v>
      </c>
      <c r="X87" s="4" t="str">
        <f t="shared" si="4"/>
        <v>MASCULINO</v>
      </c>
      <c r="Y87" s="4" t="str">
        <f t="shared" si="5"/>
        <v>TUMBES</v>
      </c>
      <c r="Z87" s="4" t="str">
        <f t="shared" si="6"/>
        <v>LIMA METROPOLITANA</v>
      </c>
      <c r="AA87" s="4"/>
    </row>
    <row r="88" ht="15.75" customHeight="1">
      <c r="A88" s="5" t="s">
        <v>801</v>
      </c>
      <c r="B88" s="5" t="s">
        <v>802</v>
      </c>
      <c r="C88" s="5" t="s">
        <v>803</v>
      </c>
      <c r="D88" s="5" t="s">
        <v>802</v>
      </c>
      <c r="E88" s="5" t="s">
        <v>804</v>
      </c>
      <c r="F88" s="5" t="s">
        <v>805</v>
      </c>
      <c r="G88" s="5" t="s">
        <v>806</v>
      </c>
      <c r="H88" s="5" t="s">
        <v>44</v>
      </c>
      <c r="I88" s="5" t="s">
        <v>807</v>
      </c>
      <c r="J88" s="5" t="s">
        <v>34</v>
      </c>
      <c r="K88" s="5" t="s">
        <v>35</v>
      </c>
      <c r="L88" s="5" t="s">
        <v>35</v>
      </c>
      <c r="M88" s="5" t="s">
        <v>35</v>
      </c>
      <c r="N88" s="5" t="s">
        <v>36</v>
      </c>
      <c r="P88" s="5" t="s">
        <v>35</v>
      </c>
      <c r="R88" s="5" t="s">
        <v>808</v>
      </c>
      <c r="S88" s="5" t="s">
        <v>809</v>
      </c>
      <c r="T88" s="5" t="str">
        <f>CONCATENATE(A7760," - ",B7760,".pdf")</f>
        <v> - .pdf</v>
      </c>
      <c r="U88" s="4">
        <f t="shared" si="1"/>
        <v>34</v>
      </c>
      <c r="V88" s="4" t="str">
        <f t="shared" si="2"/>
        <v>30-39</v>
      </c>
      <c r="W88" s="4" t="str">
        <f t="shared" si="3"/>
        <v>PERÚ</v>
      </c>
      <c r="X88" s="4" t="str">
        <f t="shared" si="4"/>
        <v>MASCULINO</v>
      </c>
      <c r="Y88" s="4" t="str">
        <f t="shared" si="5"/>
        <v>AREQUIPA</v>
      </c>
      <c r="Z88" s="4" t="str">
        <f t="shared" si="6"/>
        <v>AREQUIPA</v>
      </c>
      <c r="AA88" s="4"/>
    </row>
    <row r="89" ht="15.75" customHeight="1">
      <c r="A89" s="5" t="s">
        <v>801</v>
      </c>
      <c r="B89" s="5" t="s">
        <v>810</v>
      </c>
      <c r="C89" s="5" t="s">
        <v>811</v>
      </c>
      <c r="D89" s="5" t="s">
        <v>810</v>
      </c>
      <c r="E89" s="5" t="s">
        <v>812</v>
      </c>
      <c r="F89" s="5" t="s">
        <v>813</v>
      </c>
      <c r="G89" s="5" t="s">
        <v>814</v>
      </c>
      <c r="H89" s="5" t="s">
        <v>44</v>
      </c>
      <c r="I89" s="5" t="s">
        <v>815</v>
      </c>
      <c r="J89" s="5" t="s">
        <v>34</v>
      </c>
      <c r="K89" s="5" t="s">
        <v>177</v>
      </c>
      <c r="L89" s="5" t="s">
        <v>177</v>
      </c>
      <c r="M89" s="5" t="s">
        <v>177</v>
      </c>
      <c r="N89" s="5" t="s">
        <v>36</v>
      </c>
      <c r="P89" s="5" t="s">
        <v>57</v>
      </c>
      <c r="R89" s="5" t="s">
        <v>816</v>
      </c>
      <c r="S89" s="5" t="s">
        <v>817</v>
      </c>
      <c r="T89" s="5" t="str">
        <f>CONCATENATE(A7768," - ",B7768,".pdf")</f>
        <v> - .pdf</v>
      </c>
      <c r="U89" s="4">
        <f t="shared" si="1"/>
        <v>65</v>
      </c>
      <c r="V89" s="4" t="str">
        <f t="shared" si="2"/>
        <v>60+</v>
      </c>
      <c r="W89" s="4" t="str">
        <f t="shared" si="3"/>
        <v>PERÚ</v>
      </c>
      <c r="X89" s="4" t="str">
        <f t="shared" si="4"/>
        <v>MASCULINO</v>
      </c>
      <c r="Y89" s="4" t="str">
        <f t="shared" si="5"/>
        <v>CALLAO</v>
      </c>
      <c r="Z89" s="4" t="str">
        <f t="shared" si="6"/>
        <v>LIMA METROPOLITANA</v>
      </c>
      <c r="AA89" s="4"/>
    </row>
    <row r="90" ht="15.75" customHeight="1">
      <c r="A90" s="5" t="s">
        <v>801</v>
      </c>
      <c r="B90" s="5" t="s">
        <v>818</v>
      </c>
      <c r="C90" s="5" t="s">
        <v>819</v>
      </c>
      <c r="D90" s="5" t="s">
        <v>818</v>
      </c>
      <c r="E90" s="5" t="s">
        <v>820</v>
      </c>
      <c r="F90" s="5" t="s">
        <v>669</v>
      </c>
      <c r="G90" s="5" t="s">
        <v>821</v>
      </c>
      <c r="H90" s="5" t="s">
        <v>44</v>
      </c>
      <c r="I90" s="5" t="s">
        <v>822</v>
      </c>
      <c r="J90" s="5" t="s">
        <v>34</v>
      </c>
      <c r="K90" s="5" t="s">
        <v>276</v>
      </c>
      <c r="L90" s="5" t="s">
        <v>389</v>
      </c>
      <c r="M90" s="5" t="s">
        <v>823</v>
      </c>
      <c r="N90" s="5" t="s">
        <v>36</v>
      </c>
      <c r="P90" s="5" t="s">
        <v>276</v>
      </c>
      <c r="R90" s="5" t="s">
        <v>824</v>
      </c>
      <c r="S90" s="5" t="s">
        <v>825</v>
      </c>
      <c r="T90" s="5" t="str">
        <f>CONCATENATE(A7771," - ",B7771,".pdf")</f>
        <v> - .pdf</v>
      </c>
      <c r="U90" s="4">
        <f t="shared" si="1"/>
        <v>35</v>
      </c>
      <c r="V90" s="4" t="str">
        <f t="shared" si="2"/>
        <v>30-39</v>
      </c>
      <c r="W90" s="4" t="str">
        <f t="shared" si="3"/>
        <v>PERÚ</v>
      </c>
      <c r="X90" s="4" t="str">
        <f t="shared" si="4"/>
        <v>MASCULINO</v>
      </c>
      <c r="Y90" s="4" t="str">
        <f t="shared" si="5"/>
        <v>LA LIBERTAD</v>
      </c>
      <c r="Z90" s="4" t="str">
        <f t="shared" si="6"/>
        <v>LA LIBERTAD</v>
      </c>
      <c r="AA90" s="4"/>
    </row>
    <row r="91" ht="15.75" customHeight="1">
      <c r="A91" s="5" t="s">
        <v>801</v>
      </c>
      <c r="B91" s="5" t="s">
        <v>826</v>
      </c>
      <c r="C91" s="5" t="s">
        <v>827</v>
      </c>
      <c r="D91" s="5" t="s">
        <v>826</v>
      </c>
      <c r="E91" s="5" t="s">
        <v>828</v>
      </c>
      <c r="F91" s="5" t="s">
        <v>829</v>
      </c>
      <c r="G91" s="5" t="s">
        <v>830</v>
      </c>
      <c r="H91" s="5" t="s">
        <v>44</v>
      </c>
      <c r="I91" s="5" t="s">
        <v>831</v>
      </c>
      <c r="J91" s="5" t="s">
        <v>832</v>
      </c>
      <c r="K91" s="5" t="s">
        <v>833</v>
      </c>
      <c r="N91" s="5" t="s">
        <v>36</v>
      </c>
      <c r="P91" s="5" t="s">
        <v>186</v>
      </c>
      <c r="R91" s="5" t="s">
        <v>834</v>
      </c>
      <c r="S91" s="5" t="s">
        <v>835</v>
      </c>
      <c r="T91" s="5" t="str">
        <f>CONCATENATE(A7796," - ",B7796,".pdf")</f>
        <v> - .pdf</v>
      </c>
      <c r="U91" s="4">
        <f t="shared" si="1"/>
        <v>55</v>
      </c>
      <c r="V91" s="4" t="str">
        <f t="shared" si="2"/>
        <v>50-59</v>
      </c>
      <c r="W91" s="4" t="str">
        <f t="shared" si="3"/>
        <v>ESTADOS UNIDOS DE AMERICA</v>
      </c>
      <c r="X91" s="4" t="str">
        <f t="shared" si="4"/>
        <v>MASCULINO</v>
      </c>
      <c r="Y91" s="4" t="str">
        <f t="shared" si="5"/>
        <v>HONOLULU</v>
      </c>
      <c r="Z91" s="4" t="str">
        <f t="shared" si="6"/>
        <v>PIURA</v>
      </c>
      <c r="AA91" s="4"/>
    </row>
    <row r="92" ht="15.75" customHeight="1">
      <c r="A92" s="5" t="s">
        <v>801</v>
      </c>
      <c r="B92" s="5" t="s">
        <v>836</v>
      </c>
      <c r="C92" s="5" t="s">
        <v>837</v>
      </c>
      <c r="D92" s="5" t="s">
        <v>836</v>
      </c>
      <c r="E92" s="5" t="s">
        <v>838</v>
      </c>
      <c r="F92" s="5" t="s">
        <v>839</v>
      </c>
      <c r="G92" s="5" t="s">
        <v>840</v>
      </c>
      <c r="H92" s="5" t="s">
        <v>44</v>
      </c>
      <c r="I92" s="5" t="s">
        <v>841</v>
      </c>
      <c r="J92" s="5" t="s">
        <v>34</v>
      </c>
      <c r="K92" s="5" t="s">
        <v>56</v>
      </c>
      <c r="L92" s="5" t="s">
        <v>56</v>
      </c>
      <c r="M92" s="5" t="s">
        <v>381</v>
      </c>
      <c r="N92" s="5" t="s">
        <v>36</v>
      </c>
      <c r="P92" s="5" t="s">
        <v>57</v>
      </c>
      <c r="R92" s="5" t="s">
        <v>842</v>
      </c>
      <c r="S92" s="5" t="s">
        <v>843</v>
      </c>
      <c r="T92" s="5" t="str">
        <f>CONCATENATE(A7804," - ",B7804,".pdf")</f>
        <v> - .pdf</v>
      </c>
      <c r="U92" s="4">
        <f t="shared" si="1"/>
        <v>70</v>
      </c>
      <c r="V92" s="4" t="str">
        <f t="shared" si="2"/>
        <v>60+</v>
      </c>
      <c r="W92" s="4" t="str">
        <f t="shared" si="3"/>
        <v>PERÚ</v>
      </c>
      <c r="X92" s="4" t="str">
        <f t="shared" si="4"/>
        <v>MASCULINO</v>
      </c>
      <c r="Y92" s="4" t="str">
        <f t="shared" si="5"/>
        <v>LIMA</v>
      </c>
      <c r="Z92" s="4" t="str">
        <f t="shared" si="6"/>
        <v>LIMA METROPOLITANA</v>
      </c>
      <c r="AA92" s="4"/>
    </row>
    <row r="93" ht="15.75" customHeight="1">
      <c r="A93" s="5" t="s">
        <v>801</v>
      </c>
      <c r="B93" s="5" t="s">
        <v>844</v>
      </c>
      <c r="C93" s="5" t="s">
        <v>845</v>
      </c>
      <c r="D93" s="5" t="s">
        <v>844</v>
      </c>
      <c r="E93" s="5" t="s">
        <v>846</v>
      </c>
      <c r="F93" s="5" t="s">
        <v>847</v>
      </c>
      <c r="G93" s="5" t="s">
        <v>848</v>
      </c>
      <c r="H93" s="5" t="s">
        <v>44</v>
      </c>
      <c r="I93" s="5" t="s">
        <v>849</v>
      </c>
      <c r="J93" s="5" t="s">
        <v>34</v>
      </c>
      <c r="K93" s="5" t="s">
        <v>56</v>
      </c>
      <c r="L93" s="5" t="s">
        <v>361</v>
      </c>
      <c r="M93" s="5" t="s">
        <v>850</v>
      </c>
      <c r="N93" s="5" t="s">
        <v>36</v>
      </c>
      <c r="P93" s="5" t="s">
        <v>57</v>
      </c>
      <c r="R93" s="5" t="s">
        <v>851</v>
      </c>
      <c r="S93" s="5" t="s">
        <v>852</v>
      </c>
      <c r="T93" s="5" t="str">
        <f>CONCATENATE(A7817," - ",B7817,".pdf")</f>
        <v> - .pdf</v>
      </c>
      <c r="U93" s="4">
        <f t="shared" si="1"/>
        <v>41</v>
      </c>
      <c r="V93" s="4" t="str">
        <f t="shared" si="2"/>
        <v>40-49</v>
      </c>
      <c r="W93" s="4" t="str">
        <f t="shared" si="3"/>
        <v>PERÚ</v>
      </c>
      <c r="X93" s="4" t="str">
        <f t="shared" si="4"/>
        <v>MASCULINO</v>
      </c>
      <c r="Y93" s="4" t="str">
        <f t="shared" si="5"/>
        <v>LIMA</v>
      </c>
      <c r="Z93" s="4" t="str">
        <f t="shared" si="6"/>
        <v>LIMA METROPOLITANA</v>
      </c>
      <c r="AA93" s="4"/>
    </row>
    <row r="94" ht="15.75" customHeight="1">
      <c r="A94" s="5" t="s">
        <v>801</v>
      </c>
      <c r="B94" s="5" t="s">
        <v>853</v>
      </c>
      <c r="C94" s="5" t="s">
        <v>854</v>
      </c>
      <c r="D94" s="5" t="s">
        <v>853</v>
      </c>
      <c r="E94" s="5" t="s">
        <v>855</v>
      </c>
      <c r="F94" s="5" t="s">
        <v>377</v>
      </c>
      <c r="G94" s="5" t="s">
        <v>856</v>
      </c>
      <c r="H94" s="5" t="s">
        <v>44</v>
      </c>
      <c r="I94" s="5" t="s">
        <v>857</v>
      </c>
      <c r="J94" s="5" t="s">
        <v>34</v>
      </c>
      <c r="K94" s="5" t="s">
        <v>196</v>
      </c>
      <c r="L94" s="5" t="s">
        <v>197</v>
      </c>
      <c r="M94" s="5" t="s">
        <v>197</v>
      </c>
      <c r="N94" s="5" t="s">
        <v>36</v>
      </c>
      <c r="P94" s="5" t="s">
        <v>57</v>
      </c>
      <c r="R94" s="5" t="s">
        <v>858</v>
      </c>
      <c r="S94" s="5" t="s">
        <v>859</v>
      </c>
      <c r="T94" s="5" t="str">
        <f>CONCATENATE(A7866," - ",B7866,".pdf")</f>
        <v> - .pdf</v>
      </c>
      <c r="U94" s="4">
        <f t="shared" si="1"/>
        <v>35</v>
      </c>
      <c r="V94" s="4" t="str">
        <f t="shared" si="2"/>
        <v>30-39</v>
      </c>
      <c r="W94" s="4" t="str">
        <f t="shared" si="3"/>
        <v>PERÚ</v>
      </c>
      <c r="X94" s="4" t="str">
        <f t="shared" si="4"/>
        <v>MASCULINO</v>
      </c>
      <c r="Y94" s="4" t="str">
        <f t="shared" si="5"/>
        <v>LAMBAYEQUE</v>
      </c>
      <c r="Z94" s="4" t="str">
        <f t="shared" si="6"/>
        <v>LIMA METROPOLITANA</v>
      </c>
      <c r="AA94" s="4"/>
    </row>
    <row r="95" ht="15.75" customHeight="1">
      <c r="A95" s="5" t="s">
        <v>801</v>
      </c>
      <c r="B95" s="5" t="s">
        <v>860</v>
      </c>
      <c r="C95" s="5" t="s">
        <v>861</v>
      </c>
      <c r="D95" s="5" t="s">
        <v>860</v>
      </c>
      <c r="E95" s="5" t="s">
        <v>42</v>
      </c>
      <c r="F95" s="5" t="s">
        <v>862</v>
      </c>
      <c r="G95" s="5" t="s">
        <v>863</v>
      </c>
      <c r="H95" s="5" t="s">
        <v>32</v>
      </c>
      <c r="I95" s="5" t="s">
        <v>864</v>
      </c>
      <c r="J95" s="5" t="s">
        <v>34</v>
      </c>
      <c r="K95" s="5" t="s">
        <v>56</v>
      </c>
      <c r="L95" s="5" t="s">
        <v>56</v>
      </c>
      <c r="M95" s="5" t="s">
        <v>56</v>
      </c>
      <c r="N95" s="5" t="s">
        <v>36</v>
      </c>
      <c r="P95" s="5" t="s">
        <v>57</v>
      </c>
      <c r="R95" s="5" t="s">
        <v>865</v>
      </c>
      <c r="S95" s="5" t="s">
        <v>866</v>
      </c>
      <c r="T95" s="5" t="str">
        <f>CONCATENATE(A7884," - ",B7884,".pdf")</f>
        <v> - .pdf</v>
      </c>
      <c r="U95" s="4">
        <f t="shared" si="1"/>
        <v>38</v>
      </c>
      <c r="V95" s="4" t="str">
        <f t="shared" si="2"/>
        <v>30-39</v>
      </c>
      <c r="W95" s="4" t="str">
        <f t="shared" si="3"/>
        <v>PERÚ</v>
      </c>
      <c r="X95" s="4" t="str">
        <f t="shared" si="4"/>
        <v>FEMENINO</v>
      </c>
      <c r="Y95" s="4" t="str">
        <f t="shared" si="5"/>
        <v>LIMA</v>
      </c>
      <c r="Z95" s="4" t="str">
        <f t="shared" si="6"/>
        <v>LIMA METROPOLITANA</v>
      </c>
      <c r="AA95" s="4"/>
    </row>
    <row r="96" ht="15.75" customHeight="1">
      <c r="A96" s="5" t="s">
        <v>801</v>
      </c>
      <c r="B96" s="5" t="s">
        <v>867</v>
      </c>
      <c r="C96" s="5" t="s">
        <v>868</v>
      </c>
      <c r="D96" s="5" t="s">
        <v>867</v>
      </c>
      <c r="E96" s="5" t="s">
        <v>869</v>
      </c>
      <c r="F96" s="5" t="s">
        <v>870</v>
      </c>
      <c r="G96" s="5" t="s">
        <v>871</v>
      </c>
      <c r="H96" s="5" t="s">
        <v>32</v>
      </c>
      <c r="I96" s="5" t="s">
        <v>872</v>
      </c>
      <c r="J96" s="5" t="s">
        <v>34</v>
      </c>
      <c r="K96" s="5" t="s">
        <v>56</v>
      </c>
      <c r="L96" s="5" t="s">
        <v>56</v>
      </c>
      <c r="M96" s="5" t="s">
        <v>381</v>
      </c>
      <c r="N96" s="5" t="s">
        <v>36</v>
      </c>
      <c r="P96" s="5" t="s">
        <v>57</v>
      </c>
      <c r="R96" s="5" t="s">
        <v>873</v>
      </c>
      <c r="S96" s="5" t="s">
        <v>874</v>
      </c>
      <c r="T96" s="5" t="str">
        <f>CONCATENATE(A7951," - ",B7951,".pdf")</f>
        <v> - .pdf</v>
      </c>
      <c r="U96" s="4">
        <f t="shared" si="1"/>
        <v>61</v>
      </c>
      <c r="V96" s="4" t="str">
        <f t="shared" si="2"/>
        <v>60+</v>
      </c>
      <c r="W96" s="4" t="str">
        <f t="shared" si="3"/>
        <v>PERÚ</v>
      </c>
      <c r="X96" s="4" t="str">
        <f t="shared" si="4"/>
        <v>FEMENINO</v>
      </c>
      <c r="Y96" s="4" t="str">
        <f t="shared" si="5"/>
        <v>LIMA</v>
      </c>
      <c r="Z96" s="4" t="str">
        <f t="shared" si="6"/>
        <v>LIMA METROPOLITANA</v>
      </c>
      <c r="AA96" s="4"/>
    </row>
    <row r="97" ht="15.75" customHeight="1">
      <c r="A97" s="5" t="s">
        <v>801</v>
      </c>
      <c r="B97" s="5" t="s">
        <v>875</v>
      </c>
      <c r="C97" s="5" t="s">
        <v>876</v>
      </c>
      <c r="D97" s="5" t="s">
        <v>875</v>
      </c>
      <c r="E97" s="5" t="s">
        <v>877</v>
      </c>
      <c r="F97" s="5" t="s">
        <v>878</v>
      </c>
      <c r="G97" s="5" t="s">
        <v>879</v>
      </c>
      <c r="H97" s="5" t="s">
        <v>44</v>
      </c>
      <c r="I97" s="5" t="s">
        <v>880</v>
      </c>
      <c r="J97" s="5" t="s">
        <v>34</v>
      </c>
      <c r="K97" s="5" t="s">
        <v>56</v>
      </c>
      <c r="L97" s="5" t="s">
        <v>56</v>
      </c>
      <c r="M97" s="5" t="s">
        <v>176</v>
      </c>
      <c r="N97" s="5" t="s">
        <v>36</v>
      </c>
      <c r="P97" s="5" t="s">
        <v>57</v>
      </c>
      <c r="R97" s="5" t="s">
        <v>881</v>
      </c>
      <c r="S97" s="5" t="s">
        <v>882</v>
      </c>
      <c r="T97" s="5" t="str">
        <f>CONCATENATE(A7963," - ",B7963,".pdf")</f>
        <v> - .pdf</v>
      </c>
      <c r="U97" s="4">
        <f t="shared" si="1"/>
        <v>56</v>
      </c>
      <c r="V97" s="4" t="str">
        <f t="shared" si="2"/>
        <v>50-59</v>
      </c>
      <c r="W97" s="4" t="str">
        <f t="shared" si="3"/>
        <v>PERÚ</v>
      </c>
      <c r="X97" s="4" t="str">
        <f t="shared" si="4"/>
        <v>MASCULINO</v>
      </c>
      <c r="Y97" s="4" t="str">
        <f t="shared" si="5"/>
        <v>LIMA</v>
      </c>
      <c r="Z97" s="4" t="str">
        <f t="shared" si="6"/>
        <v>LIMA METROPOLITANA</v>
      </c>
      <c r="AA97" s="4"/>
    </row>
    <row r="98" ht="15.75" customHeight="1">
      <c r="A98" s="5" t="s">
        <v>801</v>
      </c>
      <c r="B98" s="5" t="s">
        <v>883</v>
      </c>
      <c r="C98" s="5" t="s">
        <v>884</v>
      </c>
      <c r="D98" s="5" t="s">
        <v>883</v>
      </c>
      <c r="E98" s="5" t="s">
        <v>885</v>
      </c>
      <c r="F98" s="5" t="s">
        <v>886</v>
      </c>
      <c r="G98" s="5" t="s">
        <v>414</v>
      </c>
      <c r="H98" s="5" t="s">
        <v>44</v>
      </c>
      <c r="I98" s="5" t="s">
        <v>887</v>
      </c>
      <c r="J98" s="5" t="s">
        <v>34</v>
      </c>
      <c r="K98" s="5" t="s">
        <v>56</v>
      </c>
      <c r="L98" s="5" t="s">
        <v>56</v>
      </c>
      <c r="M98" s="5" t="s">
        <v>176</v>
      </c>
      <c r="N98" s="5" t="s">
        <v>36</v>
      </c>
      <c r="P98" s="5" t="s">
        <v>177</v>
      </c>
      <c r="R98" s="5" t="s">
        <v>888</v>
      </c>
      <c r="S98" s="5" t="s">
        <v>889</v>
      </c>
      <c r="T98" s="5" t="str">
        <f t="shared" ref="T98:T100" si="13">CONCATENATE(A8005," - ",B8005,".pdf")</f>
        <v> - .pdf</v>
      </c>
      <c r="U98" s="4">
        <f t="shared" si="1"/>
        <v>55</v>
      </c>
      <c r="V98" s="4" t="str">
        <f t="shared" si="2"/>
        <v>50-59</v>
      </c>
      <c r="W98" s="4" t="str">
        <f t="shared" si="3"/>
        <v>PERÚ</v>
      </c>
      <c r="X98" s="4" t="str">
        <f t="shared" si="4"/>
        <v>MASCULINO</v>
      </c>
      <c r="Y98" s="4" t="str">
        <f t="shared" si="5"/>
        <v>LIMA</v>
      </c>
      <c r="Z98" s="4" t="str">
        <f t="shared" si="6"/>
        <v>CALLAO</v>
      </c>
      <c r="AA98" s="4"/>
    </row>
    <row r="99" ht="15.75" customHeight="1">
      <c r="A99" s="5" t="s">
        <v>801</v>
      </c>
      <c r="B99" s="5" t="s">
        <v>890</v>
      </c>
      <c r="C99" s="5" t="s">
        <v>891</v>
      </c>
      <c r="D99" s="5" t="s">
        <v>890</v>
      </c>
      <c r="E99" s="5" t="s">
        <v>892</v>
      </c>
      <c r="F99" s="5" t="s">
        <v>893</v>
      </c>
      <c r="G99" s="5" t="s">
        <v>894</v>
      </c>
      <c r="H99" s="5" t="s">
        <v>32</v>
      </c>
      <c r="I99" s="5" t="s">
        <v>895</v>
      </c>
      <c r="J99" s="5" t="s">
        <v>34</v>
      </c>
      <c r="K99" s="5" t="s">
        <v>196</v>
      </c>
      <c r="L99" s="5" t="s">
        <v>197</v>
      </c>
      <c r="M99" s="5" t="s">
        <v>197</v>
      </c>
      <c r="N99" s="5" t="s">
        <v>485</v>
      </c>
      <c r="O99" s="5" t="s">
        <v>36</v>
      </c>
      <c r="P99" s="5" t="s">
        <v>57</v>
      </c>
      <c r="R99" s="5" t="s">
        <v>896</v>
      </c>
      <c r="S99" s="5" t="s">
        <v>897</v>
      </c>
      <c r="T99" s="5" t="str">
        <f t="shared" si="13"/>
        <v> - .pdf</v>
      </c>
      <c r="U99" s="4">
        <f t="shared" si="1"/>
        <v>62</v>
      </c>
      <c r="V99" s="4" t="str">
        <f t="shared" si="2"/>
        <v>60+</v>
      </c>
      <c r="W99" s="4" t="str">
        <f t="shared" si="3"/>
        <v>PERÚ</v>
      </c>
      <c r="X99" s="4" t="str">
        <f t="shared" si="4"/>
        <v>FEMENINO</v>
      </c>
      <c r="Y99" s="4" t="str">
        <f t="shared" si="5"/>
        <v>LAMBAYEQUE</v>
      </c>
      <c r="Z99" s="4" t="str">
        <f t="shared" si="6"/>
        <v>LIMA METROPOLITANA</v>
      </c>
      <c r="AA99" s="4"/>
    </row>
    <row r="100" ht="15.75" customHeight="1">
      <c r="A100" s="5" t="s">
        <v>801</v>
      </c>
      <c r="B100" s="5" t="s">
        <v>898</v>
      </c>
      <c r="C100" s="5" t="s">
        <v>899</v>
      </c>
      <c r="D100" s="5" t="s">
        <v>898</v>
      </c>
      <c r="E100" s="5" t="s">
        <v>900</v>
      </c>
      <c r="F100" s="5" t="s">
        <v>901</v>
      </c>
      <c r="G100" s="5" t="s">
        <v>902</v>
      </c>
      <c r="H100" s="5" t="s">
        <v>32</v>
      </c>
      <c r="I100" s="5" t="s">
        <v>903</v>
      </c>
      <c r="J100" s="5" t="s">
        <v>34</v>
      </c>
      <c r="K100" s="5" t="s">
        <v>416</v>
      </c>
      <c r="L100" s="5" t="s">
        <v>416</v>
      </c>
      <c r="M100" s="5" t="s">
        <v>416</v>
      </c>
      <c r="N100" s="5" t="s">
        <v>36</v>
      </c>
      <c r="P100" s="5" t="s">
        <v>416</v>
      </c>
      <c r="R100" s="5" t="s">
        <v>904</v>
      </c>
      <c r="S100" s="5" t="s">
        <v>905</v>
      </c>
      <c r="T100" s="5" t="str">
        <f t="shared" si="13"/>
        <v> - .pdf</v>
      </c>
      <c r="U100" s="4">
        <f t="shared" si="1"/>
        <v>38</v>
      </c>
      <c r="V100" s="4" t="str">
        <f t="shared" si="2"/>
        <v>30-39</v>
      </c>
      <c r="W100" s="4" t="str">
        <f t="shared" si="3"/>
        <v>PERÚ</v>
      </c>
      <c r="X100" s="4" t="str">
        <f t="shared" si="4"/>
        <v>FEMENINO</v>
      </c>
      <c r="Y100" s="4" t="str">
        <f t="shared" si="5"/>
        <v>ICA</v>
      </c>
      <c r="Z100" s="4" t="str">
        <f t="shared" si="6"/>
        <v>ICA</v>
      </c>
      <c r="AA100" s="4"/>
    </row>
    <row r="101" ht="15.75" customHeight="1">
      <c r="A101" s="5" t="s">
        <v>801</v>
      </c>
      <c r="B101" s="5" t="s">
        <v>906</v>
      </c>
      <c r="C101" s="5" t="s">
        <v>907</v>
      </c>
      <c r="D101" s="5" t="s">
        <v>906</v>
      </c>
      <c r="E101" s="5" t="s">
        <v>908</v>
      </c>
      <c r="F101" s="5" t="s">
        <v>909</v>
      </c>
      <c r="G101" s="5" t="s">
        <v>910</v>
      </c>
      <c r="H101" s="5" t="s">
        <v>44</v>
      </c>
      <c r="I101" s="5" t="s">
        <v>911</v>
      </c>
      <c r="J101" s="5" t="s">
        <v>912</v>
      </c>
      <c r="N101" s="5" t="s">
        <v>36</v>
      </c>
      <c r="P101" s="5" t="s">
        <v>285</v>
      </c>
      <c r="R101" s="5" t="s">
        <v>913</v>
      </c>
      <c r="S101" s="5" t="s">
        <v>914</v>
      </c>
      <c r="T101" s="5" t="str">
        <f>CONCATENATE(A8010," - ",B8010,".pdf")</f>
        <v> - .pdf</v>
      </c>
      <c r="U101" s="4">
        <f t="shared" si="1"/>
        <v>74</v>
      </c>
      <c r="V101" s="4" t="str">
        <f t="shared" si="2"/>
        <v>60+</v>
      </c>
      <c r="W101" s="4" t="str">
        <f t="shared" si="3"/>
        <v>PERÚ</v>
      </c>
      <c r="X101" s="4" t="str">
        <f t="shared" si="4"/>
        <v>MASCULINO</v>
      </c>
      <c r="Y101" s="6" t="s">
        <v>915</v>
      </c>
      <c r="Z101" s="4" t="str">
        <f t="shared" si="6"/>
        <v>PERUANOS RESIDENTES EN EL EXTRANJERO</v>
      </c>
      <c r="AA101" s="4"/>
    </row>
    <row r="102" ht="15.75" customHeight="1">
      <c r="U102" s="4"/>
      <c r="V102" s="4"/>
      <c r="W102" s="4"/>
      <c r="X102" s="4"/>
      <c r="Y102" s="4" t="str">
        <f t="shared" ref="Y102:Y104" si="14">UPPER(TRIM(K102))</f>
        <v/>
      </c>
      <c r="Z102" s="4" t="str">
        <f t="shared" si="6"/>
        <v/>
      </c>
      <c r="AA102" s="4"/>
    </row>
    <row r="103" ht="15.75" customHeight="1">
      <c r="U103" s="4"/>
      <c r="V103" s="4"/>
      <c r="W103" s="4"/>
      <c r="X103" s="4"/>
      <c r="Y103" s="4" t="str">
        <f t="shared" si="14"/>
        <v/>
      </c>
      <c r="Z103" s="4" t="str">
        <f t="shared" si="6"/>
        <v/>
      </c>
      <c r="AA103" s="4"/>
    </row>
    <row r="104" ht="15.75" customHeight="1">
      <c r="U104" s="4"/>
      <c r="V104" s="4"/>
      <c r="W104" s="4"/>
      <c r="X104" s="4"/>
      <c r="Y104" s="4" t="str">
        <f t="shared" si="14"/>
        <v/>
      </c>
      <c r="Z104" s="4" t="str">
        <f t="shared" si="6"/>
        <v/>
      </c>
      <c r="AA104" s="4"/>
    </row>
    <row r="105" ht="15.75" customHeight="1">
      <c r="U105" s="4"/>
      <c r="V105" s="4"/>
      <c r="W105" s="4"/>
      <c r="X105" s="4"/>
      <c r="Y105" s="4"/>
      <c r="Z105" s="4" t="str">
        <f t="shared" si="6"/>
        <v/>
      </c>
      <c r="AA105" s="4"/>
    </row>
    <row r="106" ht="15.75" customHeight="1">
      <c r="U106" s="4"/>
      <c r="V106" s="4"/>
      <c r="W106" s="4"/>
      <c r="X106" s="4"/>
      <c r="Y106" s="4"/>
      <c r="Z106" s="4" t="str">
        <f t="shared" si="6"/>
        <v/>
      </c>
      <c r="AA106" s="4"/>
    </row>
    <row r="107" ht="15.75" customHeight="1">
      <c r="U107" s="4"/>
      <c r="V107" s="4"/>
      <c r="W107" s="4"/>
      <c r="X107" s="4"/>
      <c r="Y107" s="4"/>
      <c r="Z107" s="4" t="str">
        <f t="shared" si="6"/>
        <v/>
      </c>
      <c r="AA107" s="4"/>
    </row>
    <row r="108" ht="15.75" customHeight="1">
      <c r="U108" s="4"/>
      <c r="V108" s="4"/>
      <c r="W108" s="4"/>
      <c r="X108" s="4"/>
      <c r="Y108" s="4"/>
      <c r="Z108" s="4"/>
      <c r="AA108" s="4"/>
    </row>
    <row r="109" ht="15.75" customHeight="1">
      <c r="U109" s="4"/>
      <c r="V109" s="4"/>
      <c r="W109" s="4"/>
      <c r="X109" s="4"/>
      <c r="Y109" s="4"/>
      <c r="Z109" s="4"/>
      <c r="AA109" s="4"/>
    </row>
    <row r="110" ht="15.75" customHeight="1">
      <c r="U110" s="4"/>
      <c r="V110" s="4"/>
      <c r="W110" s="4"/>
      <c r="X110" s="4"/>
      <c r="Y110" s="4"/>
      <c r="Z110" s="4"/>
      <c r="AA110" s="4"/>
    </row>
    <row r="111" ht="15.75" customHeight="1">
      <c r="U111" s="4"/>
      <c r="V111" s="4"/>
      <c r="W111" s="4"/>
      <c r="X111" s="4"/>
      <c r="Y111" s="4"/>
      <c r="Z111" s="4"/>
      <c r="AA111" s="4"/>
    </row>
    <row r="112" ht="15.75" customHeight="1">
      <c r="U112" s="4"/>
      <c r="V112" s="4"/>
      <c r="W112" s="4"/>
      <c r="X112" s="4"/>
      <c r="Y112" s="4"/>
      <c r="Z112" s="4"/>
      <c r="AA112" s="4"/>
    </row>
    <row r="113" ht="15.75" customHeight="1">
      <c r="U113" s="4"/>
      <c r="V113" s="4"/>
      <c r="W113" s="4"/>
      <c r="X113" s="4"/>
      <c r="Y113" s="4"/>
      <c r="Z113" s="4"/>
      <c r="AA113" s="4"/>
    </row>
    <row r="114" ht="15.75" customHeight="1">
      <c r="U114" s="4"/>
      <c r="V114" s="4"/>
      <c r="W114" s="4"/>
      <c r="X114" s="4"/>
      <c r="Y114" s="4"/>
      <c r="Z114" s="4"/>
      <c r="AA114" s="4"/>
    </row>
    <row r="115" ht="15.75" customHeight="1">
      <c r="U115" s="4"/>
      <c r="V115" s="4"/>
      <c r="W115" s="4"/>
      <c r="X115" s="4"/>
      <c r="Y115" s="4"/>
      <c r="Z115" s="4"/>
      <c r="AA115" s="4"/>
    </row>
    <row r="116" ht="15.75" customHeight="1">
      <c r="U116" s="4"/>
      <c r="V116" s="4"/>
      <c r="W116" s="4"/>
      <c r="X116" s="4"/>
      <c r="Y116" s="4"/>
      <c r="Z116" s="4"/>
      <c r="AA116" s="4"/>
    </row>
    <row r="117" ht="15.75" customHeight="1">
      <c r="U117" s="4"/>
      <c r="V117" s="4"/>
      <c r="W117" s="4"/>
      <c r="X117" s="4"/>
      <c r="Y117" s="4"/>
      <c r="Z117" s="4"/>
      <c r="AA117" s="4"/>
    </row>
    <row r="118" ht="15.75" customHeight="1">
      <c r="U118" s="4"/>
      <c r="V118" s="4"/>
      <c r="W118" s="4"/>
      <c r="X118" s="4"/>
      <c r="Y118" s="4"/>
      <c r="Z118" s="4"/>
      <c r="AA118" s="4"/>
    </row>
    <row r="119" ht="15.75" customHeight="1">
      <c r="U119" s="4"/>
      <c r="V119" s="4"/>
      <c r="W119" s="4"/>
      <c r="X119" s="4"/>
      <c r="Y119" s="4"/>
      <c r="Z119" s="4"/>
      <c r="AA119" s="4"/>
    </row>
    <row r="120" ht="15.75" customHeight="1">
      <c r="U120" s="4"/>
      <c r="V120" s="4"/>
      <c r="W120" s="4"/>
      <c r="X120" s="4"/>
      <c r="Y120" s="4"/>
      <c r="Z120" s="4"/>
      <c r="AA120" s="4"/>
    </row>
    <row r="121" ht="15.75" customHeight="1">
      <c r="U121" s="4"/>
      <c r="V121" s="4"/>
      <c r="W121" s="4"/>
      <c r="X121" s="4"/>
      <c r="Y121" s="4"/>
      <c r="Z121" s="4"/>
      <c r="AA121" s="4"/>
    </row>
    <row r="122" ht="15.75" customHeight="1">
      <c r="U122" s="4"/>
      <c r="V122" s="4"/>
      <c r="W122" s="4"/>
      <c r="X122" s="4"/>
      <c r="Y122" s="4"/>
      <c r="Z122" s="4"/>
      <c r="AA122" s="4"/>
    </row>
    <row r="123" ht="15.75" customHeight="1">
      <c r="U123" s="4"/>
      <c r="V123" s="4"/>
      <c r="W123" s="4"/>
      <c r="X123" s="4"/>
      <c r="Y123" s="4"/>
      <c r="Z123" s="4"/>
      <c r="AA123" s="4"/>
    </row>
    <row r="124" ht="15.75" customHeight="1">
      <c r="U124" s="4"/>
      <c r="V124" s="4"/>
      <c r="W124" s="4"/>
      <c r="X124" s="4"/>
      <c r="Y124" s="4"/>
      <c r="Z124" s="4"/>
      <c r="AA124" s="4"/>
    </row>
    <row r="125" ht="15.75" customHeight="1">
      <c r="U125" s="4"/>
      <c r="V125" s="4"/>
      <c r="W125" s="4"/>
      <c r="X125" s="4"/>
      <c r="Y125" s="4"/>
      <c r="Z125" s="4"/>
      <c r="AA125" s="4"/>
    </row>
    <row r="126" ht="15.75" customHeight="1">
      <c r="U126" s="4"/>
      <c r="V126" s="4"/>
      <c r="W126" s="4"/>
      <c r="X126" s="4"/>
      <c r="Y126" s="4"/>
      <c r="Z126" s="4"/>
      <c r="AA126" s="4"/>
    </row>
    <row r="127" ht="15.75" customHeight="1">
      <c r="U127" s="4"/>
      <c r="V127" s="4"/>
      <c r="W127" s="4"/>
      <c r="X127" s="4"/>
      <c r="Y127" s="4"/>
      <c r="Z127" s="4"/>
      <c r="AA127" s="4"/>
    </row>
    <row r="128" ht="15.75" customHeight="1">
      <c r="U128" s="4"/>
      <c r="V128" s="4"/>
      <c r="W128" s="4"/>
      <c r="X128" s="4"/>
      <c r="Y128" s="4"/>
      <c r="Z128" s="4"/>
      <c r="AA128" s="4"/>
    </row>
    <row r="129" ht="15.75" customHeight="1">
      <c r="U129" s="4"/>
      <c r="V129" s="4"/>
      <c r="W129" s="4"/>
      <c r="X129" s="4"/>
      <c r="Y129" s="4"/>
      <c r="Z129" s="4"/>
      <c r="AA129" s="4"/>
    </row>
    <row r="130" ht="15.75" customHeight="1">
      <c r="U130" s="4"/>
      <c r="V130" s="4"/>
      <c r="W130" s="4"/>
      <c r="X130" s="4"/>
      <c r="Y130" s="4"/>
      <c r="Z130" s="4"/>
      <c r="AA130" s="4"/>
    </row>
    <row r="131" ht="15.75" customHeight="1">
      <c r="U131" s="4"/>
      <c r="V131" s="4"/>
      <c r="W131" s="4"/>
      <c r="X131" s="4"/>
      <c r="Y131" s="4"/>
      <c r="Z131" s="4"/>
      <c r="AA131" s="4"/>
    </row>
    <row r="132" ht="15.75" customHeight="1">
      <c r="U132" s="4"/>
      <c r="V132" s="4"/>
      <c r="W132" s="4"/>
      <c r="X132" s="4"/>
      <c r="Y132" s="4"/>
      <c r="Z132" s="4"/>
      <c r="AA132" s="4"/>
    </row>
    <row r="133" ht="15.75" customHeight="1">
      <c r="U133" s="4"/>
      <c r="V133" s="4"/>
      <c r="W133" s="4"/>
      <c r="X133" s="4"/>
      <c r="Y133" s="4"/>
      <c r="Z133" s="4"/>
      <c r="AA133" s="4"/>
    </row>
    <row r="134" ht="15.75" customHeight="1">
      <c r="U134" s="4"/>
      <c r="V134" s="4"/>
      <c r="W134" s="4"/>
      <c r="X134" s="4"/>
      <c r="Y134" s="4"/>
      <c r="Z134" s="4"/>
      <c r="AA134" s="4"/>
    </row>
    <row r="135" ht="15.75" customHeight="1">
      <c r="U135" s="4"/>
      <c r="V135" s="4"/>
      <c r="W135" s="4"/>
      <c r="X135" s="4"/>
      <c r="Y135" s="4"/>
      <c r="Z135" s="4"/>
      <c r="AA135" s="4"/>
    </row>
    <row r="136" ht="15.75" customHeight="1">
      <c r="U136" s="4"/>
      <c r="V136" s="4"/>
      <c r="W136" s="4"/>
      <c r="X136" s="4"/>
      <c r="Y136" s="4"/>
      <c r="Z136" s="4"/>
      <c r="AA136" s="4"/>
    </row>
    <row r="137" ht="15.75" customHeight="1">
      <c r="U137" s="4"/>
      <c r="V137" s="4"/>
      <c r="W137" s="4"/>
      <c r="X137" s="4"/>
      <c r="Y137" s="4"/>
      <c r="Z137" s="4"/>
      <c r="AA137" s="4"/>
    </row>
    <row r="138" ht="15.75" customHeight="1">
      <c r="U138" s="4"/>
      <c r="V138" s="4"/>
      <c r="W138" s="4"/>
      <c r="X138" s="4"/>
      <c r="Y138" s="4"/>
      <c r="Z138" s="4"/>
      <c r="AA138" s="4"/>
    </row>
    <row r="139" ht="15.75" customHeight="1">
      <c r="U139" s="4"/>
      <c r="V139" s="4"/>
      <c r="W139" s="4"/>
      <c r="X139" s="4"/>
      <c r="Y139" s="4"/>
      <c r="Z139" s="4"/>
      <c r="AA139" s="4"/>
    </row>
    <row r="140" ht="15.75" customHeight="1">
      <c r="U140" s="4"/>
      <c r="V140" s="4"/>
      <c r="W140" s="4"/>
      <c r="X140" s="4"/>
      <c r="Y140" s="4"/>
      <c r="Z140" s="4"/>
      <c r="AA140" s="4"/>
    </row>
    <row r="141" ht="15.75" customHeight="1">
      <c r="U141" s="4"/>
      <c r="V141" s="4"/>
      <c r="W141" s="4"/>
      <c r="X141" s="4"/>
      <c r="Y141" s="4"/>
      <c r="Z141" s="4"/>
      <c r="AA141" s="4"/>
    </row>
    <row r="142" ht="15.75" customHeight="1">
      <c r="U142" s="4"/>
      <c r="V142" s="4"/>
      <c r="W142" s="4"/>
      <c r="X142" s="4"/>
      <c r="Y142" s="4"/>
      <c r="Z142" s="4"/>
      <c r="AA142" s="4"/>
    </row>
    <row r="143" ht="15.75" customHeight="1">
      <c r="U143" s="4"/>
      <c r="V143" s="4"/>
      <c r="W143" s="4"/>
      <c r="X143" s="4"/>
      <c r="Y143" s="4"/>
      <c r="Z143" s="4"/>
      <c r="AA143" s="4"/>
    </row>
    <row r="144" ht="15.75" customHeight="1">
      <c r="U144" s="4"/>
      <c r="V144" s="4"/>
      <c r="W144" s="4"/>
      <c r="X144" s="4"/>
      <c r="Y144" s="4"/>
      <c r="Z144" s="4"/>
      <c r="AA144" s="4"/>
    </row>
    <row r="145" ht="15.75" customHeight="1">
      <c r="U145" s="4"/>
      <c r="V145" s="4"/>
      <c r="W145" s="4"/>
      <c r="X145" s="4"/>
      <c r="Y145" s="4"/>
      <c r="Z145" s="4"/>
      <c r="AA145" s="4"/>
    </row>
    <row r="146" ht="15.75" customHeight="1">
      <c r="U146" s="4"/>
      <c r="V146" s="4"/>
      <c r="W146" s="4"/>
      <c r="X146" s="4"/>
      <c r="Y146" s="4"/>
      <c r="Z146" s="4"/>
      <c r="AA146" s="4"/>
    </row>
    <row r="147" ht="15.75" customHeight="1">
      <c r="U147" s="4"/>
      <c r="V147" s="4"/>
      <c r="W147" s="4"/>
      <c r="X147" s="4"/>
      <c r="Y147" s="4"/>
      <c r="Z147" s="4"/>
      <c r="AA147" s="4"/>
    </row>
    <row r="148" ht="15.75" customHeight="1">
      <c r="U148" s="4"/>
      <c r="V148" s="4"/>
      <c r="W148" s="4"/>
      <c r="X148" s="4"/>
      <c r="Y148" s="4"/>
      <c r="Z148" s="4"/>
      <c r="AA148" s="4"/>
    </row>
    <row r="149" ht="15.75" customHeight="1">
      <c r="U149" s="4"/>
      <c r="V149" s="4"/>
      <c r="W149" s="4"/>
      <c r="X149" s="4"/>
      <c r="Y149" s="4"/>
      <c r="Z149" s="4"/>
      <c r="AA149" s="4"/>
    </row>
    <row r="150" ht="15.75" customHeight="1">
      <c r="U150" s="4"/>
      <c r="V150" s="4"/>
      <c r="W150" s="4"/>
      <c r="X150" s="4"/>
      <c r="Y150" s="4"/>
      <c r="Z150" s="4"/>
      <c r="AA150" s="4"/>
    </row>
    <row r="151" ht="15.75" customHeight="1">
      <c r="U151" s="4"/>
      <c r="V151" s="4"/>
      <c r="W151" s="4"/>
      <c r="X151" s="4"/>
      <c r="Y151" s="4"/>
      <c r="Z151" s="4"/>
      <c r="AA151" s="4"/>
    </row>
    <row r="152" ht="15.75" customHeight="1">
      <c r="U152" s="4"/>
      <c r="V152" s="4"/>
      <c r="W152" s="4"/>
      <c r="X152" s="4"/>
      <c r="Y152" s="4"/>
      <c r="Z152" s="4"/>
      <c r="AA152" s="4"/>
    </row>
    <row r="153" ht="15.75" customHeight="1">
      <c r="U153" s="4"/>
      <c r="V153" s="4"/>
      <c r="W153" s="4"/>
      <c r="X153" s="4"/>
      <c r="Y153" s="4"/>
      <c r="Z153" s="4"/>
      <c r="AA153" s="4"/>
    </row>
    <row r="154" ht="15.75" customHeight="1">
      <c r="U154" s="4"/>
      <c r="V154" s="4"/>
      <c r="W154" s="4"/>
      <c r="X154" s="4"/>
      <c r="Y154" s="4"/>
      <c r="Z154" s="4"/>
      <c r="AA154" s="4"/>
    </row>
    <row r="155" ht="15.75" customHeight="1">
      <c r="U155" s="4"/>
      <c r="V155" s="4"/>
      <c r="W155" s="4"/>
      <c r="X155" s="4"/>
      <c r="Y155" s="4"/>
      <c r="Z155" s="4"/>
      <c r="AA155" s="4"/>
    </row>
    <row r="156" ht="15.75" customHeight="1">
      <c r="U156" s="4"/>
      <c r="V156" s="4"/>
      <c r="W156" s="4"/>
      <c r="X156" s="4"/>
      <c r="Y156" s="4"/>
      <c r="Z156" s="4"/>
      <c r="AA156" s="4"/>
    </row>
    <row r="157" ht="15.75" customHeight="1">
      <c r="U157" s="4"/>
      <c r="V157" s="4"/>
      <c r="W157" s="4"/>
      <c r="X157" s="4"/>
      <c r="Y157" s="4"/>
      <c r="Z157" s="4"/>
      <c r="AA157" s="4"/>
    </row>
    <row r="158" ht="15.75" customHeight="1">
      <c r="U158" s="4"/>
      <c r="V158" s="4"/>
      <c r="W158" s="4"/>
      <c r="X158" s="4"/>
      <c r="Y158" s="4"/>
      <c r="Z158" s="4"/>
      <c r="AA158" s="4"/>
    </row>
    <row r="159" ht="15.75" customHeight="1">
      <c r="U159" s="4"/>
      <c r="V159" s="4"/>
      <c r="W159" s="4"/>
      <c r="X159" s="4"/>
      <c r="Y159" s="4"/>
      <c r="Z159" s="4"/>
      <c r="AA159" s="4"/>
    </row>
    <row r="160" ht="15.75" customHeight="1">
      <c r="U160" s="4"/>
      <c r="V160" s="4"/>
      <c r="W160" s="4"/>
      <c r="X160" s="4"/>
      <c r="Y160" s="4"/>
      <c r="Z160" s="4"/>
      <c r="AA160" s="4"/>
    </row>
    <row r="161" ht="15.75" customHeight="1">
      <c r="U161" s="4"/>
      <c r="V161" s="4"/>
      <c r="W161" s="4"/>
      <c r="X161" s="4"/>
      <c r="Y161" s="4"/>
      <c r="Z161" s="4"/>
      <c r="AA161" s="4"/>
    </row>
    <row r="162" ht="15.75" customHeight="1">
      <c r="U162" s="4"/>
      <c r="V162" s="4"/>
      <c r="W162" s="4"/>
      <c r="X162" s="4"/>
      <c r="Y162" s="4"/>
      <c r="Z162" s="4"/>
      <c r="AA162" s="4"/>
    </row>
    <row r="163" ht="15.75" customHeight="1">
      <c r="U163" s="4"/>
      <c r="V163" s="4"/>
      <c r="W163" s="4"/>
      <c r="X163" s="4"/>
      <c r="Y163" s="4"/>
      <c r="Z163" s="4"/>
      <c r="AA163" s="4"/>
    </row>
    <row r="164" ht="15.75" customHeight="1">
      <c r="U164" s="4"/>
      <c r="V164" s="4"/>
      <c r="W164" s="4"/>
      <c r="X164" s="4"/>
      <c r="Y164" s="4"/>
      <c r="Z164" s="4"/>
      <c r="AA164" s="4"/>
    </row>
    <row r="165" ht="15.75" customHeight="1">
      <c r="U165" s="4"/>
      <c r="V165" s="4"/>
      <c r="W165" s="4"/>
      <c r="X165" s="4"/>
      <c r="Y165" s="4"/>
      <c r="Z165" s="4"/>
      <c r="AA165" s="4"/>
    </row>
    <row r="166" ht="15.75" customHeight="1">
      <c r="U166" s="4"/>
      <c r="V166" s="4"/>
      <c r="W166" s="4"/>
      <c r="X166" s="4"/>
      <c r="Y166" s="4"/>
      <c r="Z166" s="4"/>
      <c r="AA166" s="4"/>
    </row>
    <row r="167" ht="15.75" customHeight="1">
      <c r="U167" s="4"/>
      <c r="V167" s="4"/>
      <c r="W167" s="4"/>
      <c r="X167" s="4"/>
      <c r="Y167" s="4"/>
      <c r="Z167" s="4"/>
      <c r="AA167" s="4"/>
    </row>
    <row r="168" ht="15.75" customHeight="1">
      <c r="U168" s="4"/>
      <c r="V168" s="4"/>
      <c r="W168" s="4"/>
      <c r="X168" s="4"/>
      <c r="Y168" s="4"/>
      <c r="Z168" s="4"/>
      <c r="AA168" s="4"/>
    </row>
    <row r="169" ht="15.75" customHeight="1">
      <c r="U169" s="4"/>
      <c r="V169" s="4"/>
      <c r="W169" s="4"/>
      <c r="X169" s="4"/>
      <c r="Y169" s="4"/>
      <c r="Z169" s="4"/>
      <c r="AA169" s="4"/>
    </row>
    <row r="170" ht="15.75" customHeight="1">
      <c r="U170" s="4"/>
      <c r="V170" s="4"/>
      <c r="W170" s="4"/>
      <c r="X170" s="4"/>
      <c r="Y170" s="4"/>
      <c r="Z170" s="4"/>
      <c r="AA170" s="4"/>
    </row>
    <row r="171" ht="15.75" customHeight="1">
      <c r="U171" s="4"/>
      <c r="V171" s="4"/>
      <c r="W171" s="4"/>
      <c r="X171" s="4"/>
      <c r="Y171" s="4"/>
      <c r="Z171" s="4"/>
      <c r="AA171" s="4"/>
    </row>
    <row r="172" ht="15.75" customHeight="1">
      <c r="U172" s="4"/>
      <c r="V172" s="4"/>
      <c r="W172" s="4"/>
      <c r="X172" s="4"/>
      <c r="Y172" s="4"/>
      <c r="Z172" s="4"/>
      <c r="AA172" s="4"/>
    </row>
    <row r="173" ht="15.75" customHeight="1">
      <c r="U173" s="4"/>
      <c r="V173" s="4"/>
      <c r="W173" s="4"/>
      <c r="X173" s="4"/>
      <c r="Y173" s="4"/>
      <c r="Z173" s="4"/>
      <c r="AA173" s="4"/>
    </row>
    <row r="174" ht="15.75" customHeight="1">
      <c r="U174" s="4"/>
      <c r="V174" s="4"/>
      <c r="W174" s="4"/>
      <c r="X174" s="4"/>
      <c r="Y174" s="4"/>
      <c r="Z174" s="4"/>
      <c r="AA174" s="4"/>
    </row>
    <row r="175" ht="15.75" customHeight="1">
      <c r="U175" s="4"/>
      <c r="V175" s="4"/>
      <c r="W175" s="4"/>
      <c r="X175" s="4"/>
      <c r="Y175" s="4"/>
      <c r="Z175" s="4"/>
      <c r="AA175" s="4"/>
    </row>
    <row r="176" ht="15.75" customHeight="1">
      <c r="U176" s="4"/>
      <c r="V176" s="4"/>
      <c r="W176" s="4"/>
      <c r="X176" s="4"/>
      <c r="Y176" s="4"/>
      <c r="Z176" s="4"/>
      <c r="AA176" s="4"/>
    </row>
    <row r="177" ht="15.75" customHeight="1">
      <c r="U177" s="4"/>
      <c r="V177" s="4"/>
      <c r="W177" s="4"/>
      <c r="X177" s="4"/>
      <c r="Y177" s="4"/>
      <c r="Z177" s="4"/>
      <c r="AA177" s="4"/>
    </row>
    <row r="178" ht="15.75" customHeight="1">
      <c r="U178" s="4"/>
      <c r="V178" s="4"/>
      <c r="W178" s="4"/>
      <c r="X178" s="4"/>
      <c r="Y178" s="4"/>
      <c r="Z178" s="4"/>
      <c r="AA178" s="4"/>
    </row>
    <row r="179" ht="15.75" customHeight="1">
      <c r="U179" s="4"/>
      <c r="V179" s="4"/>
      <c r="W179" s="4"/>
      <c r="X179" s="4"/>
      <c r="Y179" s="4"/>
      <c r="Z179" s="4"/>
      <c r="AA179" s="4"/>
    </row>
    <row r="180" ht="15.75" customHeight="1">
      <c r="U180" s="4"/>
      <c r="V180" s="4"/>
      <c r="W180" s="4"/>
      <c r="X180" s="4"/>
      <c r="Y180" s="4"/>
      <c r="Z180" s="4"/>
      <c r="AA180" s="4"/>
    </row>
    <row r="181" ht="15.75" customHeight="1">
      <c r="U181" s="4"/>
      <c r="V181" s="4"/>
      <c r="W181" s="4"/>
      <c r="X181" s="4"/>
      <c r="Y181" s="4"/>
      <c r="Z181" s="4"/>
      <c r="AA181" s="4"/>
    </row>
    <row r="182" ht="15.75" customHeight="1">
      <c r="U182" s="4"/>
      <c r="V182" s="4"/>
      <c r="W182" s="4"/>
      <c r="X182" s="4"/>
      <c r="Y182" s="4"/>
      <c r="Z182" s="4"/>
      <c r="AA182" s="4"/>
    </row>
    <row r="183" ht="15.75" customHeight="1">
      <c r="U183" s="4"/>
      <c r="V183" s="4"/>
      <c r="W183" s="4"/>
      <c r="X183" s="4"/>
      <c r="Y183" s="4"/>
      <c r="Z183" s="4"/>
      <c r="AA183" s="4"/>
    </row>
    <row r="184" ht="15.75" customHeight="1">
      <c r="U184" s="4"/>
      <c r="V184" s="4"/>
      <c r="W184" s="4"/>
      <c r="X184" s="4"/>
      <c r="Y184" s="4"/>
      <c r="Z184" s="4"/>
      <c r="AA184" s="4"/>
    </row>
    <row r="185" ht="15.75" customHeight="1">
      <c r="U185" s="4"/>
      <c r="V185" s="4"/>
      <c r="W185" s="4"/>
      <c r="X185" s="4"/>
      <c r="Y185" s="4"/>
      <c r="Z185" s="4"/>
      <c r="AA185" s="4"/>
    </row>
    <row r="186" ht="15.75" customHeight="1">
      <c r="U186" s="4"/>
      <c r="V186" s="4"/>
      <c r="W186" s="4"/>
      <c r="X186" s="4"/>
      <c r="Y186" s="4"/>
      <c r="Z186" s="4"/>
      <c r="AA186" s="4"/>
    </row>
    <row r="187" ht="15.75" customHeight="1">
      <c r="U187" s="4"/>
      <c r="V187" s="4"/>
      <c r="W187" s="4"/>
      <c r="X187" s="4"/>
      <c r="Y187" s="4"/>
      <c r="Z187" s="4"/>
      <c r="AA187" s="4"/>
    </row>
    <row r="188" ht="15.75" customHeight="1">
      <c r="U188" s="4"/>
      <c r="V188" s="4"/>
      <c r="W188" s="4"/>
      <c r="X188" s="4"/>
      <c r="Y188" s="4"/>
      <c r="Z188" s="4"/>
      <c r="AA188" s="4"/>
    </row>
    <row r="189" ht="15.75" customHeight="1">
      <c r="U189" s="4"/>
      <c r="V189" s="4"/>
      <c r="W189" s="4"/>
      <c r="X189" s="4"/>
      <c r="Y189" s="4"/>
      <c r="Z189" s="4"/>
      <c r="AA189" s="4"/>
    </row>
    <row r="190" ht="15.75" customHeight="1">
      <c r="U190" s="4"/>
      <c r="V190" s="4"/>
      <c r="W190" s="4"/>
      <c r="X190" s="4"/>
      <c r="Y190" s="4"/>
      <c r="Z190" s="4"/>
      <c r="AA190" s="4"/>
    </row>
    <row r="191" ht="15.75" customHeight="1">
      <c r="U191" s="4"/>
      <c r="V191" s="4"/>
      <c r="W191" s="4"/>
      <c r="X191" s="4"/>
      <c r="Y191" s="4"/>
      <c r="Z191" s="4"/>
      <c r="AA191" s="4"/>
    </row>
    <row r="192" ht="15.75" customHeight="1">
      <c r="U192" s="4"/>
      <c r="V192" s="4"/>
      <c r="W192" s="4"/>
      <c r="X192" s="4"/>
      <c r="Y192" s="4"/>
      <c r="Z192" s="4"/>
      <c r="AA192" s="4"/>
    </row>
    <row r="193" ht="15.75" customHeight="1">
      <c r="U193" s="4"/>
      <c r="V193" s="4"/>
      <c r="W193" s="4"/>
      <c r="X193" s="4"/>
      <c r="Y193" s="4"/>
      <c r="Z193" s="4"/>
      <c r="AA193" s="4"/>
    </row>
    <row r="194" ht="15.75" customHeight="1">
      <c r="U194" s="4"/>
      <c r="V194" s="4"/>
      <c r="W194" s="4"/>
      <c r="X194" s="4"/>
      <c r="Y194" s="4"/>
      <c r="Z194" s="4"/>
      <c r="AA194" s="4"/>
    </row>
    <row r="195" ht="15.75" customHeight="1">
      <c r="U195" s="4"/>
      <c r="V195" s="4"/>
      <c r="W195" s="4"/>
      <c r="X195" s="4"/>
      <c r="Y195" s="4"/>
      <c r="Z195" s="4"/>
      <c r="AA195" s="4"/>
    </row>
    <row r="196" ht="15.75" customHeight="1">
      <c r="U196" s="4"/>
      <c r="V196" s="4"/>
      <c r="W196" s="4"/>
      <c r="X196" s="4"/>
      <c r="Y196" s="4"/>
      <c r="Z196" s="4"/>
      <c r="AA196" s="4"/>
    </row>
    <row r="197" ht="15.75" customHeight="1">
      <c r="U197" s="4"/>
      <c r="V197" s="4"/>
      <c r="W197" s="4"/>
      <c r="X197" s="4"/>
      <c r="Y197" s="4"/>
      <c r="Z197" s="4"/>
      <c r="AA197" s="4"/>
    </row>
    <row r="198" ht="15.75" customHeight="1">
      <c r="U198" s="4"/>
      <c r="V198" s="4"/>
      <c r="W198" s="4"/>
      <c r="X198" s="4"/>
      <c r="Y198" s="4"/>
      <c r="Z198" s="4"/>
      <c r="AA198" s="4"/>
    </row>
    <row r="199" ht="15.75" customHeight="1">
      <c r="U199" s="4"/>
      <c r="V199" s="4"/>
      <c r="W199" s="4"/>
      <c r="X199" s="4"/>
      <c r="Y199" s="4"/>
      <c r="Z199" s="4"/>
      <c r="AA199" s="4"/>
    </row>
    <row r="200" ht="15.75" customHeight="1">
      <c r="U200" s="4"/>
      <c r="V200" s="4"/>
      <c r="W200" s="4"/>
      <c r="X200" s="4"/>
      <c r="Y200" s="4"/>
      <c r="Z200" s="4"/>
      <c r="AA200" s="4"/>
    </row>
    <row r="201" ht="15.75" customHeight="1">
      <c r="U201" s="4"/>
      <c r="V201" s="4"/>
      <c r="W201" s="4"/>
      <c r="X201" s="4"/>
      <c r="Y201" s="4"/>
      <c r="Z201" s="4"/>
      <c r="AA201" s="4"/>
    </row>
    <row r="202" ht="15.75" customHeight="1">
      <c r="U202" s="4"/>
      <c r="V202" s="4"/>
      <c r="W202" s="4"/>
      <c r="X202" s="4"/>
      <c r="Y202" s="4"/>
      <c r="Z202" s="4"/>
      <c r="AA202" s="4"/>
    </row>
    <row r="203" ht="15.75" customHeight="1">
      <c r="U203" s="4"/>
      <c r="V203" s="4"/>
      <c r="W203" s="4"/>
      <c r="X203" s="4"/>
      <c r="Y203" s="4"/>
      <c r="Z203" s="4"/>
      <c r="AA203" s="4"/>
    </row>
    <row r="204" ht="15.75" customHeight="1">
      <c r="U204" s="4"/>
      <c r="V204" s="4"/>
      <c r="W204" s="4"/>
      <c r="X204" s="4"/>
      <c r="Y204" s="4"/>
      <c r="Z204" s="4"/>
      <c r="AA204" s="4"/>
    </row>
    <row r="205" ht="15.75" customHeight="1">
      <c r="U205" s="4"/>
      <c r="V205" s="4"/>
      <c r="W205" s="4"/>
      <c r="X205" s="4"/>
      <c r="Y205" s="4"/>
      <c r="Z205" s="4"/>
      <c r="AA205" s="4"/>
    </row>
    <row r="206" ht="15.75" customHeight="1">
      <c r="U206" s="4"/>
      <c r="V206" s="4"/>
      <c r="W206" s="4"/>
      <c r="X206" s="4"/>
      <c r="Y206" s="4"/>
      <c r="Z206" s="4"/>
      <c r="AA206" s="4"/>
    </row>
    <row r="207" ht="15.75" customHeight="1">
      <c r="U207" s="4"/>
      <c r="V207" s="4"/>
      <c r="W207" s="4"/>
      <c r="X207" s="4"/>
      <c r="Y207" s="4"/>
      <c r="Z207" s="4"/>
      <c r="AA207" s="4"/>
    </row>
    <row r="208" ht="15.75" customHeight="1">
      <c r="U208" s="4"/>
      <c r="V208" s="4"/>
      <c r="W208" s="4"/>
      <c r="X208" s="4"/>
      <c r="Y208" s="4"/>
      <c r="Z208" s="4"/>
      <c r="AA208" s="4"/>
    </row>
    <row r="209" ht="15.75" customHeight="1">
      <c r="U209" s="4"/>
      <c r="V209" s="4"/>
      <c r="W209" s="4"/>
      <c r="X209" s="4"/>
      <c r="Y209" s="4"/>
      <c r="Z209" s="4"/>
      <c r="AA209" s="4"/>
    </row>
    <row r="210" ht="15.75" customHeight="1">
      <c r="U210" s="4"/>
      <c r="V210" s="4"/>
      <c r="W210" s="4"/>
      <c r="X210" s="4"/>
      <c r="Y210" s="4"/>
      <c r="Z210" s="4"/>
      <c r="AA210" s="4"/>
    </row>
    <row r="211" ht="15.75" customHeight="1">
      <c r="U211" s="4"/>
      <c r="V211" s="4"/>
      <c r="W211" s="4"/>
      <c r="X211" s="4"/>
      <c r="Y211" s="4"/>
      <c r="Z211" s="4"/>
      <c r="AA211" s="4"/>
    </row>
    <row r="212" ht="15.75" customHeight="1">
      <c r="U212" s="4"/>
      <c r="V212" s="4"/>
      <c r="W212" s="4"/>
      <c r="X212" s="4"/>
      <c r="Y212" s="4"/>
      <c r="Z212" s="4"/>
      <c r="AA212" s="4"/>
    </row>
    <row r="213" ht="15.75" customHeight="1">
      <c r="U213" s="4"/>
      <c r="V213" s="4"/>
      <c r="W213" s="4"/>
      <c r="X213" s="4"/>
      <c r="Y213" s="4"/>
      <c r="Z213" s="4"/>
      <c r="AA213" s="4"/>
    </row>
    <row r="214" ht="15.75" customHeight="1">
      <c r="U214" s="4"/>
      <c r="V214" s="4"/>
      <c r="W214" s="4"/>
      <c r="X214" s="4"/>
      <c r="Y214" s="4"/>
      <c r="Z214" s="4"/>
      <c r="AA214" s="4"/>
    </row>
    <row r="215" ht="15.75" customHeight="1">
      <c r="U215" s="4"/>
      <c r="V215" s="4"/>
      <c r="W215" s="4"/>
      <c r="X215" s="4"/>
      <c r="Y215" s="4"/>
      <c r="Z215" s="4"/>
      <c r="AA215" s="4"/>
    </row>
    <row r="216" ht="15.75" customHeight="1">
      <c r="U216" s="4"/>
      <c r="V216" s="4"/>
      <c r="W216" s="4"/>
      <c r="X216" s="4"/>
      <c r="Y216" s="4"/>
      <c r="Z216" s="4"/>
      <c r="AA216" s="4"/>
    </row>
    <row r="217" ht="15.75" customHeight="1">
      <c r="U217" s="4"/>
      <c r="V217" s="4"/>
      <c r="W217" s="4"/>
      <c r="X217" s="4"/>
      <c r="Y217" s="4"/>
      <c r="Z217" s="4"/>
      <c r="AA217" s="4"/>
    </row>
    <row r="218" ht="15.75" customHeight="1">
      <c r="U218" s="4"/>
      <c r="V218" s="4"/>
      <c r="W218" s="4"/>
      <c r="X218" s="4"/>
      <c r="Y218" s="4"/>
      <c r="Z218" s="4"/>
      <c r="AA218" s="4"/>
    </row>
    <row r="219" ht="15.75" customHeight="1">
      <c r="U219" s="4"/>
      <c r="V219" s="4"/>
      <c r="W219" s="4"/>
      <c r="X219" s="4"/>
      <c r="Y219" s="4"/>
      <c r="Z219" s="4"/>
      <c r="AA219" s="4"/>
    </row>
    <row r="220" ht="15.75" customHeight="1">
      <c r="U220" s="4"/>
      <c r="V220" s="4"/>
      <c r="W220" s="4"/>
      <c r="X220" s="4"/>
      <c r="Y220" s="4"/>
      <c r="Z220" s="4"/>
      <c r="AA220" s="4"/>
    </row>
    <row r="221" ht="15.75" customHeight="1">
      <c r="U221" s="4"/>
      <c r="V221" s="4"/>
      <c r="W221" s="4"/>
      <c r="X221" s="4"/>
      <c r="Y221" s="4"/>
      <c r="Z221" s="4"/>
      <c r="AA221" s="4"/>
    </row>
    <row r="222" ht="15.75" customHeight="1">
      <c r="U222" s="4"/>
      <c r="V222" s="4"/>
      <c r="W222" s="4"/>
      <c r="X222" s="4"/>
      <c r="Y222" s="4"/>
      <c r="Z222" s="4"/>
      <c r="AA222" s="4"/>
    </row>
    <row r="223" ht="15.75" customHeight="1">
      <c r="U223" s="4"/>
      <c r="V223" s="4"/>
      <c r="W223" s="4"/>
      <c r="X223" s="4"/>
      <c r="Y223" s="4"/>
      <c r="Z223" s="4"/>
      <c r="AA223" s="4"/>
    </row>
    <row r="224" ht="15.75" customHeight="1">
      <c r="U224" s="4"/>
      <c r="V224" s="4"/>
      <c r="W224" s="4"/>
      <c r="X224" s="4"/>
      <c r="Y224" s="4"/>
      <c r="Z224" s="4"/>
      <c r="AA224" s="4"/>
    </row>
    <row r="225" ht="15.75" customHeight="1">
      <c r="U225" s="4"/>
      <c r="V225" s="4"/>
      <c r="W225" s="4"/>
      <c r="X225" s="4"/>
      <c r="Y225" s="4"/>
      <c r="Z225" s="4"/>
      <c r="AA225" s="4"/>
    </row>
    <row r="226" ht="15.75" customHeight="1">
      <c r="U226" s="4"/>
      <c r="V226" s="4"/>
      <c r="W226" s="4"/>
      <c r="X226" s="4"/>
      <c r="Y226" s="4"/>
      <c r="Z226" s="4"/>
      <c r="AA226" s="4"/>
    </row>
    <row r="227" ht="15.75" customHeight="1">
      <c r="U227" s="4"/>
      <c r="V227" s="4"/>
      <c r="W227" s="4"/>
      <c r="X227" s="4"/>
      <c r="Y227" s="4"/>
      <c r="Z227" s="4"/>
      <c r="AA227" s="4"/>
    </row>
    <row r="228" ht="15.75" customHeight="1">
      <c r="U228" s="4"/>
      <c r="V228" s="4"/>
      <c r="W228" s="4"/>
      <c r="X228" s="4"/>
      <c r="Y228" s="4"/>
      <c r="Z228" s="4"/>
      <c r="AA228" s="4"/>
    </row>
    <row r="229" ht="15.75" customHeight="1">
      <c r="U229" s="4"/>
      <c r="V229" s="4"/>
      <c r="W229" s="4"/>
      <c r="X229" s="4"/>
      <c r="Y229" s="4"/>
      <c r="Z229" s="4"/>
      <c r="AA229" s="4"/>
    </row>
    <row r="230" ht="15.75" customHeight="1">
      <c r="U230" s="4"/>
      <c r="V230" s="4"/>
      <c r="W230" s="4"/>
      <c r="X230" s="4"/>
      <c r="Y230" s="4"/>
      <c r="Z230" s="4"/>
      <c r="AA230" s="4"/>
    </row>
    <row r="231" ht="15.75" customHeight="1">
      <c r="U231" s="4"/>
      <c r="V231" s="4"/>
      <c r="W231" s="4"/>
      <c r="X231" s="4"/>
      <c r="Y231" s="4"/>
      <c r="Z231" s="4"/>
      <c r="AA231" s="4"/>
    </row>
    <row r="232" ht="15.75" customHeight="1">
      <c r="U232" s="4"/>
      <c r="V232" s="4"/>
      <c r="W232" s="4"/>
      <c r="X232" s="4"/>
      <c r="Y232" s="4"/>
      <c r="Z232" s="4"/>
      <c r="AA232" s="4"/>
    </row>
    <row r="233" ht="15.75" customHeight="1">
      <c r="U233" s="4"/>
      <c r="V233" s="4"/>
      <c r="W233" s="4"/>
      <c r="X233" s="4"/>
      <c r="Y233" s="4"/>
      <c r="Z233" s="4"/>
      <c r="AA233" s="4"/>
    </row>
    <row r="234" ht="15.75" customHeight="1">
      <c r="U234" s="4"/>
      <c r="V234" s="4"/>
      <c r="W234" s="4"/>
      <c r="X234" s="4"/>
      <c r="Y234" s="4"/>
      <c r="Z234" s="4"/>
      <c r="AA234" s="4"/>
    </row>
    <row r="235" ht="15.75" customHeight="1">
      <c r="U235" s="4"/>
      <c r="V235" s="4"/>
      <c r="W235" s="4"/>
      <c r="X235" s="4"/>
      <c r="Y235" s="4"/>
      <c r="Z235" s="4"/>
      <c r="AA235" s="4"/>
    </row>
    <row r="236" ht="15.75" customHeight="1">
      <c r="U236" s="4"/>
      <c r="V236" s="4"/>
      <c r="W236" s="4"/>
      <c r="X236" s="4"/>
      <c r="Y236" s="4"/>
      <c r="Z236" s="4"/>
      <c r="AA236" s="4"/>
    </row>
    <row r="237" ht="15.75" customHeight="1">
      <c r="U237" s="4"/>
      <c r="V237" s="4"/>
      <c r="W237" s="4"/>
      <c r="X237" s="4"/>
      <c r="Y237" s="4"/>
      <c r="Z237" s="4"/>
      <c r="AA237" s="4"/>
    </row>
    <row r="238" ht="15.75" customHeight="1">
      <c r="U238" s="4"/>
      <c r="V238" s="4"/>
      <c r="W238" s="4"/>
      <c r="X238" s="4"/>
      <c r="Y238" s="4"/>
      <c r="Z238" s="4"/>
      <c r="AA238" s="4"/>
    </row>
    <row r="239" ht="15.75" customHeight="1">
      <c r="U239" s="4"/>
      <c r="V239" s="4"/>
      <c r="W239" s="4"/>
      <c r="X239" s="4"/>
      <c r="Y239" s="4"/>
      <c r="Z239" s="4"/>
      <c r="AA239" s="4"/>
    </row>
    <row r="240" ht="15.75" customHeight="1">
      <c r="U240" s="4"/>
      <c r="V240" s="4"/>
      <c r="W240" s="4"/>
      <c r="X240" s="4"/>
      <c r="Y240" s="4"/>
      <c r="Z240" s="4"/>
      <c r="AA240" s="4"/>
    </row>
    <row r="241" ht="15.75" customHeight="1">
      <c r="U241" s="4"/>
      <c r="V241" s="4"/>
      <c r="W241" s="4"/>
      <c r="X241" s="4"/>
      <c r="Y241" s="4"/>
      <c r="Z241" s="4"/>
      <c r="AA241" s="4"/>
    </row>
    <row r="242" ht="15.75" customHeight="1">
      <c r="U242" s="4"/>
      <c r="V242" s="4"/>
      <c r="W242" s="4"/>
      <c r="X242" s="4"/>
      <c r="Y242" s="4"/>
      <c r="Z242" s="4"/>
      <c r="AA242" s="4"/>
    </row>
    <row r="243" ht="15.75" customHeight="1">
      <c r="U243" s="4"/>
      <c r="V243" s="4"/>
      <c r="W243" s="4"/>
      <c r="X243" s="4"/>
      <c r="Y243" s="4"/>
      <c r="Z243" s="4"/>
      <c r="AA243" s="4"/>
    </row>
    <row r="244" ht="15.75" customHeight="1">
      <c r="U244" s="4"/>
      <c r="V244" s="4"/>
      <c r="W244" s="4"/>
      <c r="X244" s="4"/>
      <c r="Y244" s="4"/>
      <c r="Z244" s="4"/>
      <c r="AA244" s="4"/>
    </row>
    <row r="245" ht="15.75" customHeight="1">
      <c r="U245" s="4"/>
      <c r="V245" s="4"/>
      <c r="W245" s="4"/>
      <c r="X245" s="4"/>
      <c r="Y245" s="4"/>
      <c r="Z245" s="4"/>
      <c r="AA245" s="4"/>
    </row>
    <row r="246" ht="15.75" customHeight="1">
      <c r="U246" s="4"/>
      <c r="V246" s="4"/>
      <c r="W246" s="4"/>
      <c r="X246" s="4"/>
      <c r="Y246" s="4"/>
      <c r="Z246" s="4"/>
      <c r="AA246" s="4"/>
    </row>
    <row r="247" ht="15.75" customHeight="1">
      <c r="U247" s="4"/>
      <c r="V247" s="4"/>
      <c r="W247" s="4"/>
      <c r="X247" s="4"/>
      <c r="Y247" s="4"/>
      <c r="Z247" s="4"/>
      <c r="AA247" s="4"/>
    </row>
    <row r="248" ht="15.75" customHeight="1">
      <c r="U248" s="4"/>
      <c r="V248" s="4"/>
      <c r="W248" s="4"/>
      <c r="X248" s="4"/>
      <c r="Y248" s="4"/>
      <c r="Z248" s="4"/>
      <c r="AA248" s="4"/>
    </row>
    <row r="249" ht="15.75" customHeight="1">
      <c r="U249" s="4"/>
      <c r="V249" s="4"/>
      <c r="W249" s="4"/>
      <c r="X249" s="4"/>
      <c r="Y249" s="4"/>
      <c r="Z249" s="4"/>
      <c r="AA249" s="4"/>
    </row>
    <row r="250" ht="15.75" customHeight="1">
      <c r="U250" s="4"/>
      <c r="V250" s="4"/>
      <c r="W250" s="4"/>
      <c r="X250" s="4"/>
      <c r="Y250" s="4"/>
      <c r="Z250" s="4"/>
      <c r="AA250" s="4"/>
    </row>
    <row r="251" ht="15.75" customHeight="1">
      <c r="U251" s="4"/>
      <c r="V251" s="4"/>
      <c r="W251" s="4"/>
      <c r="X251" s="4"/>
      <c r="Y251" s="4"/>
      <c r="Z251" s="4"/>
      <c r="AA251" s="4"/>
    </row>
    <row r="252" ht="15.75" customHeight="1">
      <c r="U252" s="4"/>
      <c r="V252" s="4"/>
      <c r="W252" s="4"/>
      <c r="X252" s="4"/>
      <c r="Y252" s="4"/>
      <c r="Z252" s="4"/>
      <c r="AA252" s="4"/>
    </row>
    <row r="253" ht="15.75" customHeight="1">
      <c r="U253" s="4"/>
      <c r="V253" s="4"/>
      <c r="W253" s="4"/>
      <c r="X253" s="4"/>
      <c r="Y253" s="4"/>
      <c r="Z253" s="4"/>
      <c r="AA253" s="4"/>
    </row>
    <row r="254" ht="15.75" customHeight="1">
      <c r="U254" s="4"/>
      <c r="V254" s="4"/>
      <c r="W254" s="4"/>
      <c r="X254" s="4"/>
      <c r="Y254" s="4"/>
      <c r="Z254" s="4"/>
      <c r="AA254" s="4"/>
    </row>
    <row r="255" ht="15.75" customHeight="1">
      <c r="U255" s="4"/>
      <c r="V255" s="4"/>
      <c r="W255" s="4"/>
      <c r="X255" s="4"/>
      <c r="Y255" s="4"/>
      <c r="Z255" s="4"/>
      <c r="AA255" s="4"/>
    </row>
    <row r="256" ht="15.75" customHeight="1">
      <c r="U256" s="4"/>
      <c r="V256" s="4"/>
      <c r="W256" s="4"/>
      <c r="X256" s="4"/>
      <c r="Y256" s="4"/>
      <c r="Z256" s="4"/>
      <c r="AA256" s="4"/>
    </row>
    <row r="257" ht="15.75" customHeight="1">
      <c r="U257" s="4"/>
      <c r="V257" s="4"/>
      <c r="W257" s="4"/>
      <c r="X257" s="4"/>
      <c r="Y257" s="4"/>
      <c r="Z257" s="4"/>
      <c r="AA257" s="4"/>
    </row>
    <row r="258" ht="15.75" customHeight="1">
      <c r="U258" s="4"/>
      <c r="V258" s="4"/>
      <c r="W258" s="4"/>
      <c r="X258" s="4"/>
      <c r="Y258" s="4"/>
      <c r="Z258" s="4"/>
      <c r="AA258" s="4"/>
    </row>
    <row r="259" ht="15.75" customHeight="1">
      <c r="U259" s="4"/>
      <c r="V259" s="4"/>
      <c r="W259" s="4"/>
      <c r="X259" s="4"/>
      <c r="Y259" s="4"/>
      <c r="Z259" s="4"/>
      <c r="AA259" s="4"/>
    </row>
    <row r="260" ht="15.75" customHeight="1">
      <c r="U260" s="4"/>
      <c r="V260" s="4"/>
      <c r="W260" s="4"/>
      <c r="X260" s="4"/>
      <c r="Y260" s="4"/>
      <c r="Z260" s="4"/>
      <c r="AA260" s="4"/>
    </row>
    <row r="261" ht="15.75" customHeight="1">
      <c r="U261" s="4"/>
      <c r="V261" s="4"/>
      <c r="W261" s="4"/>
      <c r="X261" s="4"/>
      <c r="Y261" s="4"/>
      <c r="Z261" s="4"/>
      <c r="AA261" s="4"/>
    </row>
    <row r="262" ht="15.75" customHeight="1">
      <c r="U262" s="4"/>
      <c r="V262" s="4"/>
      <c r="W262" s="4"/>
      <c r="X262" s="4"/>
      <c r="Y262" s="4"/>
      <c r="Z262" s="4"/>
      <c r="AA262" s="4"/>
    </row>
    <row r="263" ht="15.75" customHeight="1">
      <c r="U263" s="4"/>
      <c r="V263" s="4"/>
      <c r="W263" s="4"/>
      <c r="X263" s="4"/>
      <c r="Y263" s="4"/>
      <c r="Z263" s="4"/>
      <c r="AA263" s="4"/>
    </row>
    <row r="264" ht="15.75" customHeight="1">
      <c r="U264" s="4"/>
      <c r="V264" s="4"/>
      <c r="W264" s="4"/>
      <c r="X264" s="4"/>
      <c r="Y264" s="4"/>
      <c r="Z264" s="4"/>
      <c r="AA264" s="4"/>
    </row>
    <row r="265" ht="15.75" customHeight="1">
      <c r="U265" s="4"/>
      <c r="V265" s="4"/>
      <c r="W265" s="4"/>
      <c r="X265" s="4"/>
      <c r="Y265" s="4"/>
      <c r="Z265" s="4"/>
      <c r="AA265" s="4"/>
    </row>
    <row r="266" ht="15.75" customHeight="1">
      <c r="U266" s="4"/>
      <c r="V266" s="4"/>
      <c r="W266" s="4"/>
      <c r="X266" s="4"/>
      <c r="Y266" s="4"/>
      <c r="Z266" s="4"/>
      <c r="AA266" s="4"/>
    </row>
    <row r="267" ht="15.75" customHeight="1">
      <c r="U267" s="4"/>
      <c r="V267" s="4"/>
      <c r="W267" s="4"/>
      <c r="X267" s="4"/>
      <c r="Y267" s="4"/>
      <c r="Z267" s="4"/>
      <c r="AA267" s="4"/>
    </row>
    <row r="268" ht="15.75" customHeight="1">
      <c r="U268" s="4"/>
      <c r="V268" s="4"/>
      <c r="W268" s="4"/>
      <c r="X268" s="4"/>
      <c r="Y268" s="4"/>
      <c r="Z268" s="4"/>
      <c r="AA268" s="4"/>
    </row>
    <row r="269" ht="15.75" customHeight="1">
      <c r="U269" s="4"/>
      <c r="V269" s="4"/>
      <c r="W269" s="4"/>
      <c r="X269" s="4"/>
      <c r="Y269" s="4"/>
      <c r="Z269" s="4"/>
      <c r="AA269" s="4"/>
    </row>
    <row r="270" ht="15.75" customHeight="1">
      <c r="U270" s="4"/>
      <c r="V270" s="4"/>
      <c r="W270" s="4"/>
      <c r="X270" s="4"/>
      <c r="Y270" s="4"/>
      <c r="Z270" s="4"/>
      <c r="AA270" s="4"/>
    </row>
    <row r="271" ht="15.75" customHeight="1">
      <c r="U271" s="4"/>
      <c r="V271" s="4"/>
      <c r="W271" s="4"/>
      <c r="X271" s="4"/>
      <c r="Y271" s="4"/>
      <c r="Z271" s="4"/>
      <c r="AA271" s="4"/>
    </row>
    <row r="272" ht="15.75" customHeight="1">
      <c r="U272" s="4"/>
      <c r="V272" s="4"/>
      <c r="W272" s="4"/>
      <c r="X272" s="4"/>
      <c r="Y272" s="4"/>
      <c r="Z272" s="4"/>
      <c r="AA272" s="4"/>
    </row>
    <row r="273" ht="15.75" customHeight="1">
      <c r="U273" s="4"/>
      <c r="V273" s="4"/>
      <c r="W273" s="4"/>
      <c r="X273" s="4"/>
      <c r="Y273" s="4"/>
      <c r="Z273" s="4"/>
      <c r="AA273" s="4"/>
    </row>
    <row r="274" ht="15.75" customHeight="1">
      <c r="U274" s="4"/>
      <c r="V274" s="4"/>
      <c r="W274" s="4"/>
      <c r="X274" s="4"/>
      <c r="Y274" s="4"/>
      <c r="Z274" s="4"/>
      <c r="AA274" s="4"/>
    </row>
    <row r="275" ht="15.75" customHeight="1">
      <c r="U275" s="4"/>
      <c r="V275" s="4"/>
      <c r="W275" s="4"/>
      <c r="X275" s="4"/>
      <c r="Y275" s="4"/>
      <c r="Z275" s="4"/>
      <c r="AA275" s="4"/>
    </row>
    <row r="276" ht="15.75" customHeight="1">
      <c r="U276" s="4"/>
      <c r="V276" s="4"/>
      <c r="W276" s="4"/>
      <c r="X276" s="4"/>
      <c r="Y276" s="4"/>
      <c r="Z276" s="4"/>
      <c r="AA276" s="4"/>
    </row>
    <row r="277" ht="15.75" customHeight="1">
      <c r="U277" s="4"/>
      <c r="V277" s="4"/>
      <c r="W277" s="4"/>
      <c r="X277" s="4"/>
      <c r="Y277" s="4"/>
      <c r="Z277" s="4"/>
      <c r="AA277" s="4"/>
    </row>
    <row r="278" ht="15.75" customHeight="1">
      <c r="U278" s="4"/>
      <c r="V278" s="4"/>
      <c r="W278" s="4"/>
      <c r="X278" s="4"/>
      <c r="Y278" s="4"/>
      <c r="Z278" s="4"/>
      <c r="AA278" s="4"/>
    </row>
    <row r="279" ht="15.75" customHeight="1">
      <c r="U279" s="4"/>
      <c r="V279" s="4"/>
      <c r="W279" s="4"/>
      <c r="X279" s="4"/>
      <c r="Y279" s="4"/>
      <c r="Z279" s="4"/>
      <c r="AA279" s="4"/>
    </row>
    <row r="280" ht="15.75" customHeight="1">
      <c r="U280" s="4"/>
      <c r="V280" s="4"/>
      <c r="W280" s="4"/>
      <c r="X280" s="4"/>
      <c r="Y280" s="4"/>
      <c r="Z280" s="4"/>
      <c r="AA280" s="4"/>
    </row>
    <row r="281" ht="15.75" customHeight="1">
      <c r="U281" s="4"/>
      <c r="V281" s="4"/>
      <c r="W281" s="4"/>
      <c r="X281" s="4"/>
      <c r="Y281" s="4"/>
      <c r="Z281" s="4"/>
      <c r="AA281" s="4"/>
    </row>
    <row r="282" ht="15.75" customHeight="1">
      <c r="U282" s="4"/>
      <c r="V282" s="4"/>
      <c r="W282" s="4"/>
      <c r="X282" s="4"/>
      <c r="Y282" s="4"/>
      <c r="Z282" s="4"/>
      <c r="AA282" s="4"/>
    </row>
    <row r="283" ht="15.75" customHeight="1">
      <c r="U283" s="4"/>
      <c r="V283" s="4"/>
      <c r="W283" s="4"/>
      <c r="X283" s="4"/>
      <c r="Y283" s="4"/>
      <c r="Z283" s="4"/>
      <c r="AA283" s="4"/>
    </row>
    <row r="284" ht="15.75" customHeight="1">
      <c r="U284" s="4"/>
      <c r="V284" s="4"/>
      <c r="W284" s="4"/>
      <c r="X284" s="4"/>
      <c r="Y284" s="4"/>
      <c r="Z284" s="4"/>
      <c r="AA284" s="4"/>
    </row>
    <row r="285" ht="15.75" customHeight="1">
      <c r="U285" s="4"/>
      <c r="V285" s="4"/>
      <c r="W285" s="4"/>
      <c r="X285" s="4"/>
      <c r="Y285" s="4"/>
      <c r="Z285" s="4"/>
      <c r="AA285" s="4"/>
    </row>
    <row r="286" ht="15.75" customHeight="1">
      <c r="U286" s="4"/>
      <c r="V286" s="4"/>
      <c r="W286" s="4"/>
      <c r="X286" s="4"/>
      <c r="Y286" s="4"/>
      <c r="Z286" s="4"/>
      <c r="AA286" s="4"/>
    </row>
    <row r="287" ht="15.75" customHeight="1">
      <c r="U287" s="4"/>
      <c r="V287" s="4"/>
      <c r="W287" s="4"/>
      <c r="X287" s="4"/>
      <c r="Y287" s="4"/>
      <c r="Z287" s="4"/>
      <c r="AA287" s="4"/>
    </row>
    <row r="288" ht="15.75" customHeight="1">
      <c r="U288" s="4"/>
      <c r="V288" s="4"/>
      <c r="W288" s="4"/>
      <c r="X288" s="4"/>
      <c r="Y288" s="4"/>
      <c r="Z288" s="4"/>
      <c r="AA288" s="4"/>
    </row>
    <row r="289" ht="15.75" customHeight="1">
      <c r="U289" s="4"/>
      <c r="V289" s="4"/>
      <c r="W289" s="4"/>
      <c r="X289" s="4"/>
      <c r="Y289" s="4"/>
      <c r="Z289" s="4"/>
      <c r="AA289" s="4"/>
    </row>
    <row r="290" ht="15.75" customHeight="1">
      <c r="U290" s="4"/>
      <c r="V290" s="4"/>
      <c r="W290" s="4"/>
      <c r="X290" s="4"/>
      <c r="Y290" s="4"/>
      <c r="Z290" s="4"/>
      <c r="AA290" s="4"/>
    </row>
    <row r="291" ht="15.75" customHeight="1">
      <c r="U291" s="4"/>
      <c r="V291" s="4"/>
      <c r="W291" s="4"/>
      <c r="X291" s="4"/>
      <c r="Y291" s="4"/>
      <c r="Z291" s="4"/>
      <c r="AA291" s="4"/>
    </row>
    <row r="292" ht="15.75" customHeight="1">
      <c r="U292" s="4"/>
      <c r="V292" s="4"/>
      <c r="W292" s="4"/>
      <c r="X292" s="4"/>
      <c r="Y292" s="4"/>
      <c r="Z292" s="4"/>
      <c r="AA292" s="4"/>
    </row>
    <row r="293" ht="15.75" customHeight="1">
      <c r="U293" s="4"/>
      <c r="V293" s="4"/>
      <c r="W293" s="4"/>
      <c r="X293" s="4"/>
      <c r="Y293" s="4"/>
      <c r="Z293" s="4"/>
      <c r="AA293" s="4"/>
    </row>
    <row r="294" ht="15.75" customHeight="1">
      <c r="U294" s="4"/>
      <c r="V294" s="4"/>
      <c r="W294" s="4"/>
      <c r="X294" s="4"/>
      <c r="Y294" s="4"/>
      <c r="Z294" s="4"/>
      <c r="AA294" s="4"/>
    </row>
    <row r="295" ht="15.75" customHeight="1">
      <c r="U295" s="4"/>
      <c r="V295" s="4"/>
      <c r="W295" s="4"/>
      <c r="X295" s="4"/>
      <c r="Y295" s="4"/>
      <c r="Z295" s="4"/>
      <c r="AA295" s="4"/>
    </row>
    <row r="296" ht="15.75" customHeight="1">
      <c r="U296" s="4"/>
      <c r="V296" s="4"/>
      <c r="W296" s="4"/>
      <c r="X296" s="4"/>
      <c r="Y296" s="4"/>
      <c r="Z296" s="4"/>
      <c r="AA296" s="4"/>
    </row>
    <row r="297" ht="15.75" customHeight="1">
      <c r="U297" s="4"/>
      <c r="V297" s="4"/>
      <c r="W297" s="4"/>
      <c r="X297" s="4"/>
      <c r="Y297" s="4"/>
      <c r="Z297" s="4"/>
      <c r="AA297" s="4"/>
    </row>
    <row r="298" ht="15.75" customHeight="1">
      <c r="U298" s="4"/>
      <c r="V298" s="4"/>
      <c r="W298" s="4"/>
      <c r="X298" s="4"/>
      <c r="Y298" s="4"/>
      <c r="Z298" s="4"/>
      <c r="AA298" s="4"/>
    </row>
    <row r="299" ht="15.75" customHeight="1">
      <c r="U299" s="4"/>
      <c r="V299" s="4"/>
      <c r="W299" s="4"/>
      <c r="X299" s="4"/>
      <c r="Y299" s="4"/>
      <c r="Z299" s="4"/>
      <c r="AA299" s="4"/>
    </row>
    <row r="300" ht="15.75" customHeight="1">
      <c r="U300" s="4"/>
      <c r="V300" s="4"/>
      <c r="W300" s="4"/>
      <c r="X300" s="4"/>
      <c r="Y300" s="4"/>
      <c r="Z300" s="4"/>
      <c r="AA300" s="4"/>
    </row>
    <row r="301" ht="15.75" customHeight="1">
      <c r="U301" s="4"/>
      <c r="V301" s="4"/>
      <c r="W301" s="4"/>
      <c r="X301" s="4"/>
      <c r="Y301" s="4"/>
      <c r="Z301" s="4"/>
      <c r="AA301" s="4"/>
    </row>
    <row r="302" ht="15.75" customHeight="1">
      <c r="U302" s="4"/>
      <c r="V302" s="4"/>
      <c r="W302" s="4"/>
      <c r="X302" s="4"/>
      <c r="Y302" s="4"/>
      <c r="Z302" s="4"/>
      <c r="AA302" s="4"/>
    </row>
    <row r="303" ht="15.75" customHeight="1">
      <c r="U303" s="4"/>
      <c r="V303" s="4"/>
      <c r="W303" s="4"/>
      <c r="X303" s="4"/>
      <c r="Y303" s="4"/>
      <c r="Z303" s="4"/>
      <c r="AA303" s="4"/>
    </row>
    <row r="304" ht="15.75" customHeight="1">
      <c r="U304" s="4"/>
      <c r="V304" s="4"/>
      <c r="W304" s="4"/>
      <c r="X304" s="4"/>
      <c r="Y304" s="4"/>
      <c r="Z304" s="4"/>
      <c r="AA304" s="4"/>
    </row>
    <row r="305" ht="15.75" customHeight="1">
      <c r="U305" s="4"/>
      <c r="V305" s="4"/>
      <c r="W305" s="4"/>
      <c r="X305" s="4"/>
      <c r="Y305" s="4"/>
      <c r="Z305" s="4"/>
      <c r="AA305" s="4"/>
    </row>
    <row r="306" ht="15.75" customHeight="1">
      <c r="U306" s="4"/>
      <c r="V306" s="4"/>
      <c r="W306" s="4"/>
      <c r="X306" s="4"/>
      <c r="Y306" s="4"/>
      <c r="Z306" s="4"/>
      <c r="AA306" s="4"/>
    </row>
    <row r="307" ht="15.75" customHeight="1">
      <c r="U307" s="4"/>
      <c r="V307" s="4"/>
      <c r="W307" s="4"/>
      <c r="X307" s="4"/>
      <c r="Y307" s="4"/>
      <c r="Z307" s="4"/>
      <c r="AA307" s="4"/>
    </row>
    <row r="308" ht="15.75" customHeight="1">
      <c r="U308" s="4"/>
      <c r="V308" s="4"/>
      <c r="W308" s="4"/>
      <c r="X308" s="4"/>
      <c r="Y308" s="4"/>
      <c r="Z308" s="4"/>
      <c r="AA308" s="4"/>
    </row>
    <row r="309" ht="15.75" customHeight="1">
      <c r="U309" s="4"/>
      <c r="V309" s="4"/>
      <c r="W309" s="4"/>
      <c r="X309" s="4"/>
      <c r="Y309" s="4"/>
      <c r="Z309" s="4"/>
      <c r="AA309" s="4"/>
    </row>
    <row r="310" ht="15.75" customHeight="1">
      <c r="U310" s="4"/>
      <c r="V310" s="4"/>
      <c r="W310" s="4"/>
      <c r="X310" s="4"/>
      <c r="Y310" s="4"/>
      <c r="Z310" s="4"/>
      <c r="AA310" s="4"/>
    </row>
    <row r="311" ht="15.75" customHeight="1">
      <c r="U311" s="4"/>
      <c r="V311" s="4"/>
      <c r="W311" s="4"/>
      <c r="X311" s="4"/>
      <c r="Y311" s="4"/>
      <c r="Z311" s="4"/>
      <c r="AA311" s="4"/>
    </row>
    <row r="312" ht="15.75" customHeight="1">
      <c r="U312" s="4"/>
      <c r="V312" s="4"/>
      <c r="W312" s="4"/>
      <c r="X312" s="4"/>
      <c r="Y312" s="4"/>
      <c r="Z312" s="4"/>
      <c r="AA312" s="4"/>
    </row>
    <row r="313" ht="15.75" customHeight="1">
      <c r="U313" s="4"/>
      <c r="V313" s="4"/>
      <c r="W313" s="4"/>
      <c r="X313" s="4"/>
      <c r="Y313" s="4"/>
      <c r="Z313" s="4"/>
      <c r="AA313" s="4"/>
    </row>
    <row r="314" ht="15.75" customHeight="1">
      <c r="U314" s="4"/>
      <c r="V314" s="4"/>
      <c r="W314" s="4"/>
      <c r="X314" s="4"/>
      <c r="Y314" s="4"/>
      <c r="Z314" s="4"/>
      <c r="AA314" s="4"/>
    </row>
    <row r="315" ht="15.75" customHeight="1">
      <c r="U315" s="4"/>
      <c r="V315" s="4"/>
      <c r="W315" s="4"/>
      <c r="X315" s="4"/>
      <c r="Y315" s="4"/>
      <c r="Z315" s="4"/>
      <c r="AA315" s="4"/>
    </row>
    <row r="316" ht="15.75" customHeight="1">
      <c r="U316" s="4"/>
      <c r="V316" s="4"/>
      <c r="W316" s="4"/>
      <c r="X316" s="4"/>
      <c r="Y316" s="4"/>
      <c r="Z316" s="4"/>
      <c r="AA316" s="4"/>
    </row>
    <row r="317" ht="15.75" customHeight="1">
      <c r="U317" s="4"/>
      <c r="V317" s="4"/>
      <c r="W317" s="4"/>
      <c r="X317" s="4"/>
      <c r="Y317" s="4"/>
      <c r="Z317" s="4"/>
      <c r="AA317" s="4"/>
    </row>
    <row r="318" ht="15.75" customHeight="1">
      <c r="U318" s="4"/>
      <c r="V318" s="4"/>
      <c r="W318" s="4"/>
      <c r="X318" s="4"/>
      <c r="Y318" s="4"/>
      <c r="Z318" s="4"/>
      <c r="AA318" s="4"/>
    </row>
    <row r="319" ht="15.75" customHeight="1">
      <c r="U319" s="4"/>
      <c r="V319" s="4"/>
      <c r="W319" s="4"/>
      <c r="X319" s="4"/>
      <c r="Y319" s="4"/>
      <c r="Z319" s="4"/>
      <c r="AA319" s="4"/>
    </row>
    <row r="320" ht="15.75" customHeight="1">
      <c r="U320" s="4"/>
      <c r="V320" s="4"/>
      <c r="W320" s="4"/>
      <c r="X320" s="4"/>
      <c r="Y320" s="4"/>
      <c r="Z320" s="4"/>
      <c r="AA320" s="4"/>
    </row>
    <row r="321" ht="15.75" customHeight="1">
      <c r="U321" s="4"/>
      <c r="V321" s="4"/>
      <c r="W321" s="4"/>
      <c r="X321" s="4"/>
      <c r="Y321" s="4"/>
      <c r="Z321" s="4"/>
      <c r="AA321" s="4"/>
    </row>
    <row r="322" ht="15.75" customHeight="1">
      <c r="U322" s="4"/>
      <c r="V322" s="4"/>
      <c r="W322" s="4"/>
      <c r="X322" s="4"/>
      <c r="Y322" s="4"/>
      <c r="Z322" s="4"/>
      <c r="AA322" s="4"/>
    </row>
    <row r="323" ht="15.75" customHeight="1">
      <c r="U323" s="4"/>
      <c r="V323" s="4"/>
      <c r="W323" s="4"/>
      <c r="X323" s="4"/>
      <c r="Y323" s="4"/>
      <c r="Z323" s="4"/>
      <c r="AA323" s="4"/>
    </row>
    <row r="324" ht="15.75" customHeight="1">
      <c r="U324" s="4"/>
      <c r="V324" s="4"/>
      <c r="W324" s="4"/>
      <c r="X324" s="4"/>
      <c r="Y324" s="4"/>
      <c r="Z324" s="4"/>
      <c r="AA324" s="4"/>
    </row>
    <row r="325" ht="15.75" customHeight="1">
      <c r="U325" s="4"/>
      <c r="V325" s="4"/>
      <c r="W325" s="4"/>
      <c r="X325" s="4"/>
      <c r="Y325" s="4"/>
      <c r="Z325" s="4"/>
      <c r="AA325" s="4"/>
    </row>
    <row r="326" ht="15.75" customHeight="1">
      <c r="U326" s="4"/>
      <c r="V326" s="4"/>
      <c r="W326" s="4"/>
      <c r="X326" s="4"/>
      <c r="Y326" s="4"/>
      <c r="Z326" s="4"/>
      <c r="AA326" s="4"/>
    </row>
    <row r="327" ht="15.75" customHeight="1">
      <c r="U327" s="4"/>
      <c r="V327" s="4"/>
      <c r="W327" s="4"/>
      <c r="X327" s="4"/>
      <c r="Y327" s="4"/>
      <c r="Z327" s="4"/>
      <c r="AA327" s="4"/>
    </row>
    <row r="328" ht="15.75" customHeight="1">
      <c r="U328" s="4"/>
      <c r="V328" s="4"/>
      <c r="W328" s="4"/>
      <c r="X328" s="4"/>
      <c r="Y328" s="4"/>
      <c r="Z328" s="4"/>
      <c r="AA328" s="4"/>
    </row>
    <row r="329" ht="15.75" customHeight="1">
      <c r="U329" s="4"/>
      <c r="V329" s="4"/>
      <c r="W329" s="4"/>
      <c r="X329" s="4"/>
      <c r="Y329" s="4"/>
      <c r="Z329" s="4"/>
      <c r="AA329" s="4"/>
    </row>
    <row r="330" ht="15.75" customHeight="1">
      <c r="U330" s="4"/>
      <c r="V330" s="4"/>
      <c r="W330" s="4"/>
      <c r="X330" s="4"/>
      <c r="Y330" s="4"/>
      <c r="Z330" s="4"/>
      <c r="AA330" s="4"/>
    </row>
    <row r="331" ht="15.75" customHeight="1">
      <c r="U331" s="4"/>
      <c r="V331" s="4"/>
      <c r="W331" s="4"/>
      <c r="X331" s="4"/>
      <c r="Y331" s="4"/>
      <c r="Z331" s="4"/>
      <c r="AA331" s="4"/>
    </row>
    <row r="332" ht="15.75" customHeight="1">
      <c r="U332" s="4"/>
      <c r="V332" s="4"/>
      <c r="W332" s="4"/>
      <c r="X332" s="4"/>
      <c r="Y332" s="4"/>
      <c r="Z332" s="4"/>
      <c r="AA332" s="4"/>
    </row>
    <row r="333" ht="15.75" customHeight="1">
      <c r="U333" s="4"/>
      <c r="V333" s="4"/>
      <c r="W333" s="4"/>
      <c r="X333" s="4"/>
      <c r="Y333" s="4"/>
      <c r="Z333" s="4"/>
      <c r="AA333" s="4"/>
    </row>
    <row r="334" ht="15.75" customHeight="1">
      <c r="U334" s="4"/>
      <c r="V334" s="4"/>
      <c r="W334" s="4"/>
      <c r="X334" s="4"/>
      <c r="Y334" s="4"/>
      <c r="Z334" s="4"/>
      <c r="AA334" s="4"/>
    </row>
    <row r="335" ht="15.75" customHeight="1">
      <c r="U335" s="4"/>
      <c r="V335" s="4"/>
      <c r="W335" s="4"/>
      <c r="X335" s="4"/>
      <c r="Y335" s="4"/>
      <c r="Z335" s="4"/>
      <c r="AA335" s="4"/>
    </row>
    <row r="336" ht="15.75" customHeight="1">
      <c r="U336" s="4"/>
      <c r="V336" s="4"/>
      <c r="W336" s="4"/>
      <c r="X336" s="4"/>
      <c r="Y336" s="4"/>
      <c r="Z336" s="4"/>
      <c r="AA336" s="4"/>
    </row>
    <row r="337" ht="15.75" customHeight="1">
      <c r="U337" s="4"/>
      <c r="V337" s="4"/>
      <c r="W337" s="4"/>
      <c r="X337" s="4"/>
      <c r="Y337" s="4"/>
      <c r="Z337" s="4"/>
      <c r="AA337" s="4"/>
    </row>
    <row r="338" ht="15.75" customHeight="1">
      <c r="U338" s="4"/>
      <c r="V338" s="4"/>
      <c r="W338" s="4"/>
      <c r="X338" s="4"/>
      <c r="Y338" s="4"/>
      <c r="Z338" s="4"/>
      <c r="AA338" s="4"/>
    </row>
    <row r="339" ht="15.75" customHeight="1">
      <c r="U339" s="4"/>
      <c r="V339" s="4"/>
      <c r="W339" s="4"/>
      <c r="X339" s="4"/>
      <c r="Y339" s="4"/>
      <c r="Z339" s="4"/>
      <c r="AA339" s="4"/>
    </row>
    <row r="340" ht="15.75" customHeight="1">
      <c r="U340" s="4"/>
      <c r="V340" s="4"/>
      <c r="W340" s="4"/>
      <c r="X340" s="4"/>
      <c r="Y340" s="4"/>
      <c r="Z340" s="4"/>
      <c r="AA340" s="4"/>
    </row>
    <row r="341" ht="15.75" customHeight="1">
      <c r="U341" s="4"/>
      <c r="V341" s="4"/>
      <c r="W341" s="4"/>
      <c r="X341" s="4"/>
      <c r="Y341" s="4"/>
      <c r="Z341" s="4"/>
      <c r="AA341" s="4"/>
    </row>
    <row r="342" ht="15.75" customHeight="1">
      <c r="U342" s="4"/>
      <c r="V342" s="4"/>
      <c r="W342" s="4"/>
      <c r="X342" s="4"/>
      <c r="Y342" s="4"/>
      <c r="Z342" s="4"/>
      <c r="AA342" s="4"/>
    </row>
    <row r="343" ht="15.75" customHeight="1">
      <c r="U343" s="4"/>
      <c r="V343" s="4"/>
      <c r="W343" s="4"/>
      <c r="X343" s="4"/>
      <c r="Y343" s="4"/>
      <c r="Z343" s="4"/>
      <c r="AA343" s="4"/>
    </row>
    <row r="344" ht="15.75" customHeight="1">
      <c r="U344" s="4"/>
      <c r="V344" s="4"/>
      <c r="W344" s="4"/>
      <c r="X344" s="4"/>
      <c r="Y344" s="4"/>
      <c r="Z344" s="4"/>
      <c r="AA344" s="4"/>
    </row>
    <row r="345" ht="15.75" customHeight="1">
      <c r="U345" s="4"/>
      <c r="V345" s="4"/>
      <c r="W345" s="4"/>
      <c r="X345" s="4"/>
      <c r="Y345" s="4"/>
      <c r="Z345" s="4"/>
      <c r="AA345" s="4"/>
    </row>
    <row r="346" ht="15.75" customHeight="1">
      <c r="U346" s="4"/>
      <c r="V346" s="4"/>
      <c r="W346" s="4"/>
      <c r="X346" s="4"/>
      <c r="Y346" s="4"/>
      <c r="Z346" s="4"/>
      <c r="AA346" s="4"/>
    </row>
    <row r="347" ht="15.75" customHeight="1">
      <c r="U347" s="4"/>
      <c r="V347" s="4"/>
      <c r="W347" s="4"/>
      <c r="X347" s="4"/>
      <c r="Y347" s="4"/>
      <c r="Z347" s="4"/>
      <c r="AA347" s="4"/>
    </row>
    <row r="348" ht="15.75" customHeight="1">
      <c r="U348" s="4"/>
      <c r="V348" s="4"/>
      <c r="W348" s="4"/>
      <c r="X348" s="4"/>
      <c r="Y348" s="4"/>
      <c r="Z348" s="4"/>
      <c r="AA348" s="4"/>
    </row>
    <row r="349" ht="15.75" customHeight="1">
      <c r="U349" s="4"/>
      <c r="V349" s="4"/>
      <c r="W349" s="4"/>
      <c r="X349" s="4"/>
      <c r="Y349" s="4"/>
      <c r="Z349" s="4"/>
      <c r="AA349" s="4"/>
    </row>
    <row r="350" ht="15.75" customHeight="1">
      <c r="U350" s="4"/>
      <c r="V350" s="4"/>
      <c r="W350" s="4"/>
      <c r="X350" s="4"/>
      <c r="Y350" s="4"/>
      <c r="Z350" s="4"/>
      <c r="AA350" s="4"/>
    </row>
    <row r="351" ht="15.75" customHeight="1">
      <c r="U351" s="4"/>
      <c r="V351" s="4"/>
      <c r="W351" s="4"/>
      <c r="X351" s="4"/>
      <c r="Y351" s="4"/>
      <c r="Z351" s="4"/>
      <c r="AA351" s="4"/>
    </row>
    <row r="352" ht="15.75" customHeight="1">
      <c r="U352" s="4"/>
      <c r="V352" s="4"/>
      <c r="W352" s="4"/>
      <c r="X352" s="4"/>
      <c r="Y352" s="4"/>
      <c r="Z352" s="4"/>
      <c r="AA352" s="4"/>
    </row>
    <row r="353" ht="15.75" customHeight="1">
      <c r="U353" s="4"/>
      <c r="V353" s="4"/>
      <c r="W353" s="4"/>
      <c r="X353" s="4"/>
      <c r="Y353" s="4"/>
      <c r="Z353" s="4"/>
      <c r="AA353" s="4"/>
    </row>
    <row r="354" ht="15.75" customHeight="1">
      <c r="U354" s="4"/>
      <c r="V354" s="4"/>
      <c r="W354" s="4"/>
      <c r="X354" s="4"/>
      <c r="Y354" s="4"/>
      <c r="Z354" s="4"/>
      <c r="AA354" s="4"/>
    </row>
    <row r="355" ht="15.75" customHeight="1">
      <c r="U355" s="4"/>
      <c r="V355" s="4"/>
      <c r="W355" s="4"/>
      <c r="X355" s="4"/>
      <c r="Y355" s="4"/>
      <c r="Z355" s="4"/>
      <c r="AA355" s="4"/>
    </row>
    <row r="356" ht="15.75" customHeight="1">
      <c r="U356" s="4"/>
      <c r="V356" s="4"/>
      <c r="W356" s="4"/>
      <c r="X356" s="4"/>
      <c r="Y356" s="4"/>
      <c r="Z356" s="4"/>
      <c r="AA356" s="4"/>
    </row>
    <row r="357" ht="15.75" customHeight="1">
      <c r="U357" s="4"/>
      <c r="V357" s="4"/>
      <c r="W357" s="4"/>
      <c r="X357" s="4"/>
      <c r="Y357" s="4"/>
      <c r="Z357" s="4"/>
      <c r="AA357" s="4"/>
    </row>
    <row r="358" ht="15.75" customHeight="1">
      <c r="U358" s="4"/>
      <c r="V358" s="4"/>
      <c r="W358" s="4"/>
      <c r="X358" s="4"/>
      <c r="Y358" s="4"/>
      <c r="Z358" s="4"/>
      <c r="AA358" s="4"/>
    </row>
    <row r="359" ht="15.75" customHeight="1">
      <c r="U359" s="4"/>
      <c r="V359" s="4"/>
      <c r="W359" s="4"/>
      <c r="X359" s="4"/>
      <c r="Y359" s="4"/>
      <c r="Z359" s="4"/>
      <c r="AA359" s="4"/>
    </row>
    <row r="360" ht="15.75" customHeight="1">
      <c r="U360" s="4"/>
      <c r="V360" s="4"/>
      <c r="W360" s="4"/>
      <c r="X360" s="4"/>
      <c r="Y360" s="4"/>
      <c r="Z360" s="4"/>
      <c r="AA360" s="4"/>
    </row>
    <row r="361" ht="15.75" customHeight="1">
      <c r="U361" s="4"/>
      <c r="V361" s="4"/>
      <c r="W361" s="4"/>
      <c r="X361" s="4"/>
      <c r="Y361" s="4"/>
      <c r="Z361" s="4"/>
      <c r="AA361" s="4"/>
    </row>
    <row r="362" ht="15.75" customHeight="1">
      <c r="U362" s="4"/>
      <c r="V362" s="4"/>
      <c r="W362" s="4"/>
      <c r="X362" s="4"/>
      <c r="Y362" s="4"/>
      <c r="Z362" s="4"/>
      <c r="AA362" s="4"/>
    </row>
    <row r="363" ht="15.75" customHeight="1">
      <c r="U363" s="4"/>
      <c r="V363" s="4"/>
      <c r="W363" s="4"/>
      <c r="X363" s="4"/>
      <c r="Y363" s="4"/>
      <c r="Z363" s="4"/>
      <c r="AA363" s="4"/>
    </row>
    <row r="364" ht="15.75" customHeight="1">
      <c r="U364" s="4"/>
      <c r="V364" s="4"/>
      <c r="W364" s="4"/>
      <c r="X364" s="4"/>
      <c r="Y364" s="4"/>
      <c r="Z364" s="4"/>
      <c r="AA364" s="4"/>
    </row>
    <row r="365" ht="15.75" customHeight="1">
      <c r="U365" s="4"/>
      <c r="V365" s="4"/>
      <c r="W365" s="4"/>
      <c r="X365" s="4"/>
      <c r="Y365" s="4"/>
      <c r="Z365" s="4"/>
      <c r="AA365" s="4"/>
    </row>
    <row r="366" ht="15.75" customHeight="1">
      <c r="U366" s="4"/>
      <c r="V366" s="4"/>
      <c r="W366" s="4"/>
      <c r="X366" s="4"/>
      <c r="Y366" s="4"/>
      <c r="Z366" s="4"/>
      <c r="AA366" s="4"/>
    </row>
    <row r="367" ht="15.75" customHeight="1">
      <c r="U367" s="4"/>
      <c r="V367" s="4"/>
      <c r="W367" s="4"/>
      <c r="X367" s="4"/>
      <c r="Y367" s="4"/>
      <c r="Z367" s="4"/>
      <c r="AA367" s="4"/>
    </row>
    <row r="368" ht="15.75" customHeight="1">
      <c r="U368" s="4"/>
      <c r="V368" s="4"/>
      <c r="W368" s="4"/>
      <c r="X368" s="4"/>
      <c r="Y368" s="4"/>
      <c r="Z368" s="4"/>
      <c r="AA368" s="4"/>
    </row>
    <row r="369" ht="15.75" customHeight="1">
      <c r="U369" s="4"/>
      <c r="V369" s="4"/>
      <c r="W369" s="4"/>
      <c r="X369" s="4"/>
      <c r="Y369" s="4"/>
      <c r="Z369" s="4"/>
      <c r="AA369" s="4"/>
    </row>
    <row r="370" ht="15.75" customHeight="1">
      <c r="U370" s="4"/>
      <c r="V370" s="4"/>
      <c r="W370" s="4"/>
      <c r="X370" s="4"/>
      <c r="Y370" s="4"/>
      <c r="Z370" s="4"/>
      <c r="AA370" s="4"/>
    </row>
    <row r="371" ht="15.75" customHeight="1">
      <c r="U371" s="4"/>
      <c r="V371" s="4"/>
      <c r="W371" s="4"/>
      <c r="X371" s="4"/>
      <c r="Y371" s="4"/>
      <c r="Z371" s="4"/>
      <c r="AA371" s="4"/>
    </row>
    <row r="372" ht="15.75" customHeight="1">
      <c r="U372" s="4"/>
      <c r="V372" s="4"/>
      <c r="W372" s="4"/>
      <c r="X372" s="4"/>
      <c r="Y372" s="4"/>
      <c r="Z372" s="4"/>
      <c r="AA372" s="4"/>
    </row>
    <row r="373" ht="15.75" customHeight="1">
      <c r="U373" s="4"/>
      <c r="V373" s="4"/>
      <c r="W373" s="4"/>
      <c r="X373" s="4"/>
      <c r="Y373" s="4"/>
      <c r="Z373" s="4"/>
      <c r="AA373" s="4"/>
    </row>
    <row r="374" ht="15.75" customHeight="1">
      <c r="U374" s="4"/>
      <c r="V374" s="4"/>
      <c r="W374" s="4"/>
      <c r="X374" s="4"/>
      <c r="Y374" s="4"/>
      <c r="Z374" s="4"/>
      <c r="AA374" s="4"/>
    </row>
    <row r="375" ht="15.75" customHeight="1">
      <c r="U375" s="4"/>
      <c r="V375" s="4"/>
      <c r="W375" s="4"/>
      <c r="X375" s="4"/>
      <c r="Y375" s="4"/>
      <c r="Z375" s="4"/>
      <c r="AA375" s="4"/>
    </row>
    <row r="376" ht="15.75" customHeight="1">
      <c r="U376" s="4"/>
      <c r="V376" s="4"/>
      <c r="W376" s="4"/>
      <c r="X376" s="4"/>
      <c r="Y376" s="4"/>
      <c r="Z376" s="4"/>
      <c r="AA376" s="4"/>
    </row>
    <row r="377" ht="15.75" customHeight="1">
      <c r="U377" s="4"/>
      <c r="V377" s="4"/>
      <c r="W377" s="4"/>
      <c r="X377" s="4"/>
      <c r="Y377" s="4"/>
      <c r="Z377" s="4"/>
      <c r="AA377" s="4"/>
    </row>
    <row r="378" ht="15.75" customHeight="1">
      <c r="U378" s="4"/>
      <c r="V378" s="4"/>
      <c r="W378" s="4"/>
      <c r="X378" s="4"/>
      <c r="Y378" s="4"/>
      <c r="Z378" s="4"/>
      <c r="AA378" s="4"/>
    </row>
    <row r="379" ht="15.75" customHeight="1">
      <c r="U379" s="4"/>
      <c r="V379" s="4"/>
      <c r="W379" s="4"/>
      <c r="X379" s="4"/>
      <c r="Y379" s="4"/>
      <c r="Z379" s="4"/>
      <c r="AA379" s="4"/>
    </row>
    <row r="380" ht="15.75" customHeight="1">
      <c r="U380" s="4"/>
      <c r="V380" s="4"/>
      <c r="W380" s="4"/>
      <c r="X380" s="4"/>
      <c r="Y380" s="4"/>
      <c r="Z380" s="4"/>
      <c r="AA380" s="4"/>
    </row>
    <row r="381" ht="15.75" customHeight="1">
      <c r="U381" s="4"/>
      <c r="V381" s="4"/>
      <c r="W381" s="4"/>
      <c r="X381" s="4"/>
      <c r="Y381" s="4"/>
      <c r="Z381" s="4"/>
      <c r="AA381" s="4"/>
    </row>
    <row r="382" ht="15.75" customHeight="1">
      <c r="U382" s="4"/>
      <c r="V382" s="4"/>
      <c r="W382" s="4"/>
      <c r="X382" s="4"/>
      <c r="Y382" s="4"/>
      <c r="Z382" s="4"/>
      <c r="AA382" s="4"/>
    </row>
    <row r="383" ht="15.75" customHeight="1">
      <c r="U383" s="4"/>
      <c r="V383" s="4"/>
      <c r="W383" s="4"/>
      <c r="X383" s="4"/>
      <c r="Y383" s="4"/>
      <c r="Z383" s="4"/>
      <c r="AA383" s="4"/>
    </row>
    <row r="384" ht="15.75" customHeight="1">
      <c r="U384" s="4"/>
      <c r="V384" s="4"/>
      <c r="W384" s="4"/>
      <c r="X384" s="4"/>
      <c r="Y384" s="4"/>
      <c r="Z384" s="4"/>
      <c r="AA384" s="4"/>
    </row>
    <row r="385" ht="15.75" customHeight="1">
      <c r="U385" s="4"/>
      <c r="V385" s="4"/>
      <c r="W385" s="4"/>
      <c r="X385" s="4"/>
      <c r="Y385" s="4"/>
      <c r="Z385" s="4"/>
      <c r="AA385" s="4"/>
    </row>
    <row r="386" ht="15.75" customHeight="1">
      <c r="U386" s="4"/>
      <c r="V386" s="4"/>
      <c r="W386" s="4"/>
      <c r="X386" s="4"/>
      <c r="Y386" s="4"/>
      <c r="Z386" s="4"/>
      <c r="AA386" s="4"/>
    </row>
    <row r="387" ht="15.75" customHeight="1">
      <c r="U387" s="4"/>
      <c r="V387" s="4"/>
      <c r="W387" s="4"/>
      <c r="X387" s="4"/>
      <c r="Y387" s="4"/>
      <c r="Z387" s="4"/>
      <c r="AA387" s="4"/>
    </row>
    <row r="388" ht="15.75" customHeight="1">
      <c r="U388" s="4"/>
      <c r="V388" s="4"/>
      <c r="W388" s="4"/>
      <c r="X388" s="4"/>
      <c r="Y388" s="4"/>
      <c r="Z388" s="4"/>
      <c r="AA388" s="4"/>
    </row>
    <row r="389" ht="15.75" customHeight="1">
      <c r="U389" s="4"/>
      <c r="V389" s="4"/>
      <c r="W389" s="4"/>
      <c r="X389" s="4"/>
      <c r="Y389" s="4"/>
      <c r="Z389" s="4"/>
      <c r="AA389" s="4"/>
    </row>
    <row r="390" ht="15.75" customHeight="1">
      <c r="U390" s="4"/>
      <c r="V390" s="4"/>
      <c r="W390" s="4"/>
      <c r="X390" s="4"/>
      <c r="Y390" s="4"/>
      <c r="Z390" s="4"/>
      <c r="AA390" s="4"/>
    </row>
    <row r="391" ht="15.75" customHeight="1">
      <c r="U391" s="4"/>
      <c r="V391" s="4"/>
      <c r="W391" s="4"/>
      <c r="X391" s="4"/>
      <c r="Y391" s="4"/>
      <c r="Z391" s="4"/>
      <c r="AA391" s="4"/>
    </row>
    <row r="392" ht="15.75" customHeight="1">
      <c r="U392" s="4"/>
      <c r="V392" s="4"/>
      <c r="W392" s="4"/>
      <c r="X392" s="4"/>
      <c r="Y392" s="4"/>
      <c r="Z392" s="4"/>
      <c r="AA392" s="4"/>
    </row>
    <row r="393" ht="15.75" customHeight="1">
      <c r="U393" s="4"/>
      <c r="V393" s="4"/>
      <c r="W393" s="4"/>
      <c r="X393" s="4"/>
      <c r="Y393" s="4"/>
      <c r="Z393" s="4"/>
      <c r="AA393" s="4"/>
    </row>
    <row r="394" ht="15.75" customHeight="1">
      <c r="U394" s="4"/>
      <c r="V394" s="4"/>
      <c r="W394" s="4"/>
      <c r="X394" s="4"/>
      <c r="Y394" s="4"/>
      <c r="Z394" s="4"/>
      <c r="AA394" s="4"/>
    </row>
    <row r="395" ht="15.75" customHeight="1">
      <c r="U395" s="4"/>
      <c r="V395" s="4"/>
      <c r="W395" s="4"/>
      <c r="X395" s="4"/>
      <c r="Y395" s="4"/>
      <c r="Z395" s="4"/>
      <c r="AA395" s="4"/>
    </row>
    <row r="396" ht="15.75" customHeight="1">
      <c r="U396" s="4"/>
      <c r="V396" s="4"/>
      <c r="W396" s="4"/>
      <c r="X396" s="4"/>
      <c r="Y396" s="4"/>
      <c r="Z396" s="4"/>
      <c r="AA396" s="4"/>
    </row>
    <row r="397" ht="15.75" customHeight="1">
      <c r="U397" s="4"/>
      <c r="V397" s="4"/>
      <c r="W397" s="4"/>
      <c r="X397" s="4"/>
      <c r="Y397" s="4"/>
      <c r="Z397" s="4"/>
      <c r="AA397" s="4"/>
    </row>
    <row r="398" ht="15.75" customHeight="1">
      <c r="U398" s="4"/>
      <c r="V398" s="4"/>
      <c r="W398" s="4"/>
      <c r="X398" s="4"/>
      <c r="Y398" s="4"/>
      <c r="Z398" s="4"/>
      <c r="AA398" s="4"/>
    </row>
    <row r="399" ht="15.75" customHeight="1">
      <c r="U399" s="4"/>
      <c r="V399" s="4"/>
      <c r="W399" s="4"/>
      <c r="X399" s="4"/>
      <c r="Y399" s="4"/>
      <c r="Z399" s="4"/>
      <c r="AA399" s="4"/>
    </row>
    <row r="400" ht="15.75" customHeight="1">
      <c r="U400" s="4"/>
      <c r="V400" s="4"/>
      <c r="W400" s="4"/>
      <c r="X400" s="4"/>
      <c r="Y400" s="4"/>
      <c r="Z400" s="4"/>
      <c r="AA400" s="4"/>
    </row>
    <row r="401" ht="15.75" customHeight="1">
      <c r="U401" s="4"/>
      <c r="V401" s="4"/>
      <c r="W401" s="4"/>
      <c r="X401" s="4"/>
      <c r="Y401" s="4"/>
      <c r="Z401" s="4"/>
      <c r="AA401" s="4"/>
    </row>
    <row r="402" ht="15.75" customHeight="1">
      <c r="U402" s="4"/>
      <c r="V402" s="4"/>
      <c r="W402" s="4"/>
      <c r="X402" s="4"/>
      <c r="Y402" s="4"/>
      <c r="Z402" s="4"/>
      <c r="AA402" s="4"/>
    </row>
    <row r="403" ht="15.75" customHeight="1">
      <c r="U403" s="4"/>
      <c r="V403" s="4"/>
      <c r="W403" s="4"/>
      <c r="X403" s="4"/>
      <c r="Y403" s="4"/>
      <c r="Z403" s="4"/>
      <c r="AA403" s="4"/>
    </row>
    <row r="404" ht="15.75" customHeight="1">
      <c r="U404" s="4"/>
      <c r="V404" s="4"/>
      <c r="W404" s="4"/>
      <c r="X404" s="4"/>
      <c r="Y404" s="4"/>
      <c r="Z404" s="4"/>
      <c r="AA404" s="4"/>
    </row>
    <row r="405" ht="15.75" customHeight="1">
      <c r="U405" s="4"/>
      <c r="V405" s="4"/>
      <c r="W405" s="4"/>
      <c r="X405" s="4"/>
      <c r="Y405" s="4"/>
      <c r="Z405" s="4"/>
      <c r="AA405" s="4"/>
    </row>
    <row r="406" ht="15.75" customHeight="1">
      <c r="U406" s="4"/>
      <c r="V406" s="4"/>
      <c r="W406" s="4"/>
      <c r="X406" s="4"/>
      <c r="Y406" s="4"/>
      <c r="Z406" s="4"/>
      <c r="AA406" s="4"/>
    </row>
    <row r="407" ht="15.75" customHeight="1">
      <c r="U407" s="4"/>
      <c r="V407" s="4"/>
      <c r="W407" s="4"/>
      <c r="X407" s="4"/>
      <c r="Y407" s="4"/>
      <c r="Z407" s="4"/>
      <c r="AA407" s="4"/>
    </row>
    <row r="408" ht="15.75" customHeight="1">
      <c r="U408" s="4"/>
      <c r="V408" s="4"/>
      <c r="W408" s="4"/>
      <c r="X408" s="4"/>
      <c r="Y408" s="4"/>
      <c r="Z408" s="4"/>
      <c r="AA408" s="4"/>
    </row>
    <row r="409" ht="15.75" customHeight="1">
      <c r="U409" s="4"/>
      <c r="V409" s="4"/>
      <c r="W409" s="4"/>
      <c r="X409" s="4"/>
      <c r="Y409" s="4"/>
      <c r="Z409" s="4"/>
      <c r="AA409" s="4"/>
    </row>
    <row r="410" ht="15.75" customHeight="1">
      <c r="U410" s="4"/>
      <c r="V410" s="4"/>
      <c r="W410" s="4"/>
      <c r="X410" s="4"/>
      <c r="Y410" s="4"/>
      <c r="Z410" s="4"/>
      <c r="AA410" s="4"/>
    </row>
    <row r="411" ht="15.75" customHeight="1">
      <c r="U411" s="4"/>
      <c r="V411" s="4"/>
      <c r="W411" s="4"/>
      <c r="X411" s="4"/>
      <c r="Y411" s="4"/>
      <c r="Z411" s="4"/>
      <c r="AA411" s="4"/>
    </row>
    <row r="412" ht="15.75" customHeight="1">
      <c r="U412" s="4"/>
      <c r="V412" s="4"/>
      <c r="W412" s="4"/>
      <c r="X412" s="4"/>
      <c r="Y412" s="4"/>
      <c r="Z412" s="4"/>
      <c r="AA412" s="4"/>
    </row>
    <row r="413" ht="15.75" customHeight="1">
      <c r="U413" s="4"/>
      <c r="V413" s="4"/>
      <c r="W413" s="4"/>
      <c r="X413" s="4"/>
      <c r="Y413" s="4"/>
      <c r="Z413" s="4"/>
      <c r="AA413" s="4"/>
    </row>
    <row r="414" ht="15.75" customHeight="1">
      <c r="U414" s="4"/>
      <c r="V414" s="4"/>
      <c r="W414" s="4"/>
      <c r="X414" s="4"/>
      <c r="Y414" s="4"/>
      <c r="Z414" s="4"/>
      <c r="AA414" s="4"/>
    </row>
    <row r="415" ht="15.75" customHeight="1">
      <c r="U415" s="4"/>
      <c r="V415" s="4"/>
      <c r="W415" s="4"/>
      <c r="X415" s="4"/>
      <c r="Y415" s="4"/>
      <c r="Z415" s="4"/>
      <c r="AA415" s="4"/>
    </row>
    <row r="416" ht="15.75" customHeight="1">
      <c r="U416" s="4"/>
      <c r="V416" s="4"/>
      <c r="W416" s="4"/>
      <c r="X416" s="4"/>
      <c r="Y416" s="4"/>
      <c r="Z416" s="4"/>
      <c r="AA416" s="4"/>
    </row>
    <row r="417" ht="15.75" customHeight="1">
      <c r="U417" s="4"/>
      <c r="V417" s="4"/>
      <c r="W417" s="4"/>
      <c r="X417" s="4"/>
      <c r="Y417" s="4"/>
      <c r="Z417" s="4"/>
      <c r="AA417" s="4"/>
    </row>
    <row r="418" ht="15.75" customHeight="1">
      <c r="U418" s="4"/>
      <c r="V418" s="4"/>
      <c r="W418" s="4"/>
      <c r="X418" s="4"/>
      <c r="Y418" s="4"/>
      <c r="Z418" s="4"/>
      <c r="AA418" s="4"/>
    </row>
    <row r="419" ht="15.75" customHeight="1">
      <c r="U419" s="4"/>
      <c r="V419" s="4"/>
      <c r="W419" s="4"/>
      <c r="X419" s="4"/>
      <c r="Y419" s="4"/>
      <c r="Z419" s="4"/>
      <c r="AA419" s="4"/>
    </row>
    <row r="420" ht="15.75" customHeight="1">
      <c r="U420" s="4"/>
      <c r="V420" s="4"/>
      <c r="W420" s="4"/>
      <c r="X420" s="4"/>
      <c r="Y420" s="4"/>
      <c r="Z420" s="4"/>
      <c r="AA420" s="4"/>
    </row>
    <row r="421" ht="15.75" customHeight="1">
      <c r="U421" s="4"/>
      <c r="V421" s="4"/>
      <c r="W421" s="4"/>
      <c r="X421" s="4"/>
      <c r="Y421" s="4"/>
      <c r="Z421" s="4"/>
      <c r="AA421" s="4"/>
    </row>
    <row r="422" ht="15.75" customHeight="1">
      <c r="U422" s="4"/>
      <c r="V422" s="4"/>
      <c r="W422" s="4"/>
      <c r="X422" s="4"/>
      <c r="Y422" s="4"/>
      <c r="Z422" s="4"/>
      <c r="AA422" s="4"/>
    </row>
    <row r="423" ht="15.75" customHeight="1">
      <c r="U423" s="4"/>
      <c r="V423" s="4"/>
      <c r="W423" s="4"/>
      <c r="X423" s="4"/>
      <c r="Y423" s="4"/>
      <c r="Z423" s="4"/>
      <c r="AA423" s="4"/>
    </row>
    <row r="424" ht="15.75" customHeight="1">
      <c r="U424" s="4"/>
      <c r="V424" s="4"/>
      <c r="W424" s="4"/>
      <c r="X424" s="4"/>
      <c r="Y424" s="4"/>
      <c r="Z424" s="4"/>
      <c r="AA424" s="4"/>
    </row>
    <row r="425" ht="15.75" customHeight="1">
      <c r="U425" s="4"/>
      <c r="V425" s="4"/>
      <c r="W425" s="4"/>
      <c r="X425" s="4"/>
      <c r="Y425" s="4"/>
      <c r="Z425" s="4"/>
      <c r="AA425" s="4"/>
    </row>
    <row r="426" ht="15.75" customHeight="1">
      <c r="U426" s="4"/>
      <c r="V426" s="4"/>
      <c r="W426" s="4"/>
      <c r="X426" s="4"/>
      <c r="Y426" s="4"/>
      <c r="Z426" s="4"/>
      <c r="AA426" s="4"/>
    </row>
    <row r="427" ht="15.75" customHeight="1">
      <c r="U427" s="4"/>
      <c r="V427" s="4"/>
      <c r="W427" s="4"/>
      <c r="X427" s="4"/>
      <c r="Y427" s="4"/>
      <c r="Z427" s="4"/>
      <c r="AA427" s="4"/>
    </row>
    <row r="428" ht="15.75" customHeight="1">
      <c r="U428" s="4"/>
      <c r="V428" s="4"/>
      <c r="W428" s="4"/>
      <c r="X428" s="4"/>
      <c r="Y428" s="4"/>
      <c r="Z428" s="4"/>
      <c r="AA428" s="4"/>
    </row>
    <row r="429" ht="15.75" customHeight="1">
      <c r="U429" s="4"/>
      <c r="V429" s="4"/>
      <c r="W429" s="4"/>
      <c r="X429" s="4"/>
      <c r="Y429" s="4"/>
      <c r="Z429" s="4"/>
      <c r="AA429" s="4"/>
    </row>
    <row r="430" ht="15.75" customHeight="1">
      <c r="U430" s="4"/>
      <c r="V430" s="4"/>
      <c r="W430" s="4"/>
      <c r="X430" s="4"/>
      <c r="Y430" s="4"/>
      <c r="Z430" s="4"/>
      <c r="AA430" s="4"/>
    </row>
    <row r="431" ht="15.75" customHeight="1">
      <c r="U431" s="4"/>
      <c r="V431" s="4"/>
      <c r="W431" s="4"/>
      <c r="X431" s="4"/>
      <c r="Y431" s="4"/>
      <c r="Z431" s="4"/>
      <c r="AA431" s="4"/>
    </row>
    <row r="432" ht="15.75" customHeight="1">
      <c r="U432" s="4"/>
      <c r="V432" s="4"/>
      <c r="W432" s="4"/>
      <c r="X432" s="4"/>
      <c r="Y432" s="4"/>
      <c r="Z432" s="4"/>
      <c r="AA432" s="4"/>
    </row>
    <row r="433" ht="15.75" customHeight="1">
      <c r="U433" s="4"/>
      <c r="V433" s="4"/>
      <c r="W433" s="4"/>
      <c r="X433" s="4"/>
      <c r="Y433" s="4"/>
      <c r="Z433" s="4"/>
      <c r="AA433" s="4"/>
    </row>
    <row r="434" ht="15.75" customHeight="1">
      <c r="U434" s="4"/>
      <c r="V434" s="4"/>
      <c r="W434" s="4"/>
      <c r="X434" s="4"/>
      <c r="Y434" s="4"/>
      <c r="Z434" s="4"/>
      <c r="AA434" s="4"/>
    </row>
    <row r="435" ht="15.75" customHeight="1">
      <c r="U435" s="4"/>
      <c r="V435" s="4"/>
      <c r="W435" s="4"/>
      <c r="X435" s="4"/>
      <c r="Y435" s="4"/>
      <c r="Z435" s="4"/>
      <c r="AA435" s="4"/>
    </row>
    <row r="436" ht="15.75" customHeight="1">
      <c r="U436" s="4"/>
      <c r="V436" s="4"/>
      <c r="W436" s="4"/>
      <c r="X436" s="4"/>
      <c r="Y436" s="4"/>
      <c r="Z436" s="4"/>
      <c r="AA436" s="4"/>
    </row>
    <row r="437" ht="15.75" customHeight="1">
      <c r="U437" s="4"/>
      <c r="V437" s="4"/>
      <c r="W437" s="4"/>
      <c r="X437" s="4"/>
      <c r="Y437" s="4"/>
      <c r="Z437" s="4"/>
      <c r="AA437" s="4"/>
    </row>
    <row r="438" ht="15.75" customHeight="1">
      <c r="U438" s="4"/>
      <c r="V438" s="4"/>
      <c r="W438" s="4"/>
      <c r="X438" s="4"/>
      <c r="Y438" s="4"/>
      <c r="Z438" s="4"/>
      <c r="AA438" s="4"/>
    </row>
    <row r="439" ht="15.75" customHeight="1">
      <c r="U439" s="4"/>
      <c r="V439" s="4"/>
      <c r="W439" s="4"/>
      <c r="X439" s="4"/>
      <c r="Y439" s="4"/>
      <c r="Z439" s="4"/>
      <c r="AA439" s="4"/>
    </row>
    <row r="440" ht="15.75" customHeight="1">
      <c r="U440" s="4"/>
      <c r="V440" s="4"/>
      <c r="W440" s="4"/>
      <c r="X440" s="4"/>
      <c r="Y440" s="4"/>
      <c r="Z440" s="4"/>
      <c r="AA440" s="4"/>
    </row>
    <row r="441" ht="15.75" customHeight="1">
      <c r="U441" s="4"/>
      <c r="V441" s="4"/>
      <c r="W441" s="4"/>
      <c r="X441" s="4"/>
      <c r="Y441" s="4"/>
      <c r="Z441" s="4"/>
      <c r="AA441" s="4"/>
    </row>
    <row r="442" ht="15.75" customHeight="1">
      <c r="U442" s="4"/>
      <c r="V442" s="4"/>
      <c r="W442" s="4"/>
      <c r="X442" s="4"/>
      <c r="Y442" s="4"/>
      <c r="Z442" s="4"/>
      <c r="AA442" s="4"/>
    </row>
    <row r="443" ht="15.75" customHeight="1">
      <c r="U443" s="4"/>
      <c r="V443" s="4"/>
      <c r="W443" s="4"/>
      <c r="X443" s="4"/>
      <c r="Y443" s="4"/>
      <c r="Z443" s="4"/>
      <c r="AA443" s="4"/>
    </row>
    <row r="444" ht="15.75" customHeight="1">
      <c r="U444" s="4"/>
      <c r="V444" s="4"/>
      <c r="W444" s="4"/>
      <c r="X444" s="4"/>
      <c r="Y444" s="4"/>
      <c r="Z444" s="4"/>
      <c r="AA444" s="4"/>
    </row>
    <row r="445" ht="15.75" customHeight="1">
      <c r="U445" s="4"/>
      <c r="V445" s="4"/>
      <c r="W445" s="4"/>
      <c r="X445" s="4"/>
      <c r="Y445" s="4"/>
      <c r="Z445" s="4"/>
      <c r="AA445" s="4"/>
    </row>
    <row r="446" ht="15.75" customHeight="1">
      <c r="U446" s="4"/>
      <c r="V446" s="4"/>
      <c r="W446" s="4"/>
      <c r="X446" s="4"/>
      <c r="Y446" s="4"/>
      <c r="Z446" s="4"/>
      <c r="AA446" s="4"/>
    </row>
    <row r="447" ht="15.75" customHeight="1">
      <c r="U447" s="4"/>
      <c r="V447" s="4"/>
      <c r="W447" s="4"/>
      <c r="X447" s="4"/>
      <c r="Y447" s="4"/>
      <c r="Z447" s="4"/>
      <c r="AA447" s="4"/>
    </row>
    <row r="448" ht="15.75" customHeight="1">
      <c r="U448" s="4"/>
      <c r="V448" s="4"/>
      <c r="W448" s="4"/>
      <c r="X448" s="4"/>
      <c r="Y448" s="4"/>
      <c r="Z448" s="4"/>
      <c r="AA448" s="4"/>
    </row>
    <row r="449" ht="15.75" customHeight="1">
      <c r="U449" s="4"/>
      <c r="V449" s="4"/>
      <c r="W449" s="4"/>
      <c r="X449" s="4"/>
      <c r="Y449" s="4"/>
      <c r="Z449" s="4"/>
      <c r="AA449" s="4"/>
    </row>
    <row r="450" ht="15.75" customHeight="1">
      <c r="U450" s="4"/>
      <c r="V450" s="4"/>
      <c r="W450" s="4"/>
      <c r="X450" s="4"/>
      <c r="Y450" s="4"/>
      <c r="Z450" s="4"/>
      <c r="AA450" s="4"/>
    </row>
    <row r="451" ht="15.75" customHeight="1">
      <c r="U451" s="4"/>
      <c r="V451" s="4"/>
      <c r="W451" s="4"/>
      <c r="X451" s="4"/>
      <c r="Y451" s="4"/>
      <c r="Z451" s="4"/>
      <c r="AA451" s="4"/>
    </row>
    <row r="452" ht="15.75" customHeight="1">
      <c r="U452" s="4"/>
      <c r="V452" s="4"/>
      <c r="W452" s="4"/>
      <c r="X452" s="4"/>
      <c r="Y452" s="4"/>
      <c r="Z452" s="4"/>
      <c r="AA452" s="4"/>
    </row>
    <row r="453" ht="15.75" customHeight="1">
      <c r="U453" s="4"/>
      <c r="V453" s="4"/>
      <c r="W453" s="4"/>
      <c r="X453" s="4"/>
      <c r="Y453" s="4"/>
      <c r="Z453" s="4"/>
      <c r="AA453" s="4"/>
    </row>
    <row r="454" ht="15.75" customHeight="1">
      <c r="U454" s="4"/>
      <c r="V454" s="4"/>
      <c r="W454" s="4"/>
      <c r="X454" s="4"/>
      <c r="Y454" s="4"/>
      <c r="Z454" s="4"/>
      <c r="AA454" s="4"/>
    </row>
    <row r="455" ht="15.75" customHeight="1">
      <c r="U455" s="4"/>
      <c r="V455" s="4"/>
      <c r="W455" s="4"/>
      <c r="X455" s="4"/>
      <c r="Y455" s="4"/>
      <c r="Z455" s="4"/>
      <c r="AA455" s="4"/>
    </row>
    <row r="456" ht="15.75" customHeight="1">
      <c r="U456" s="4"/>
      <c r="V456" s="4"/>
      <c r="W456" s="4"/>
      <c r="X456" s="4"/>
      <c r="Y456" s="4"/>
      <c r="Z456" s="4"/>
      <c r="AA456" s="4"/>
    </row>
    <row r="457" ht="15.75" customHeight="1">
      <c r="U457" s="4"/>
      <c r="V457" s="4"/>
      <c r="W457" s="4"/>
      <c r="X457" s="4"/>
      <c r="Y457" s="4"/>
      <c r="Z457" s="4"/>
      <c r="AA457" s="4"/>
    </row>
    <row r="458" ht="15.75" customHeight="1">
      <c r="U458" s="4"/>
      <c r="V458" s="4"/>
      <c r="W458" s="4"/>
      <c r="X458" s="4"/>
      <c r="Y458" s="4"/>
      <c r="Z458" s="4"/>
      <c r="AA458" s="4"/>
    </row>
    <row r="459" ht="15.75" customHeight="1">
      <c r="U459" s="4"/>
      <c r="V459" s="4"/>
      <c r="W459" s="4"/>
      <c r="X459" s="4"/>
      <c r="Y459" s="4"/>
      <c r="Z459" s="4"/>
      <c r="AA459" s="4"/>
    </row>
    <row r="460" ht="15.75" customHeight="1">
      <c r="U460" s="4"/>
      <c r="V460" s="4"/>
      <c r="W460" s="4"/>
      <c r="X460" s="4"/>
      <c r="Y460" s="4"/>
      <c r="Z460" s="4"/>
      <c r="AA460" s="4"/>
    </row>
    <row r="461" ht="15.75" customHeight="1">
      <c r="U461" s="4"/>
      <c r="V461" s="4"/>
      <c r="W461" s="4"/>
      <c r="X461" s="4"/>
      <c r="Y461" s="4"/>
      <c r="Z461" s="4"/>
      <c r="AA461" s="4"/>
    </row>
    <row r="462" ht="15.75" customHeight="1">
      <c r="U462" s="4"/>
      <c r="V462" s="4"/>
      <c r="W462" s="4"/>
      <c r="X462" s="4"/>
      <c r="Y462" s="4"/>
      <c r="Z462" s="4"/>
      <c r="AA462" s="4"/>
    </row>
    <row r="463" ht="15.75" customHeight="1">
      <c r="U463" s="4"/>
      <c r="V463" s="4"/>
      <c r="W463" s="4"/>
      <c r="X463" s="4"/>
      <c r="Y463" s="4"/>
      <c r="Z463" s="4"/>
      <c r="AA463" s="4"/>
    </row>
    <row r="464" ht="15.75" customHeight="1">
      <c r="U464" s="4"/>
      <c r="V464" s="4"/>
      <c r="W464" s="4"/>
      <c r="X464" s="4"/>
      <c r="Y464" s="4"/>
      <c r="Z464" s="4"/>
      <c r="AA464" s="4"/>
    </row>
    <row r="465" ht="15.75" customHeight="1">
      <c r="U465" s="4"/>
      <c r="V465" s="4"/>
      <c r="W465" s="4"/>
      <c r="X465" s="4"/>
      <c r="Y465" s="4"/>
      <c r="Z465" s="4"/>
      <c r="AA465" s="4"/>
    </row>
    <row r="466" ht="15.75" customHeight="1">
      <c r="U466" s="4"/>
      <c r="V466" s="4"/>
      <c r="W466" s="4"/>
      <c r="X466" s="4"/>
      <c r="Y466" s="4"/>
      <c r="Z466" s="4"/>
      <c r="AA466" s="4"/>
    </row>
    <row r="467" ht="15.75" customHeight="1">
      <c r="U467" s="4"/>
      <c r="V467" s="4"/>
      <c r="W467" s="4"/>
      <c r="X467" s="4"/>
      <c r="Y467" s="4"/>
      <c r="Z467" s="4"/>
      <c r="AA467" s="4"/>
    </row>
    <row r="468" ht="15.75" customHeight="1">
      <c r="U468" s="4"/>
      <c r="V468" s="4"/>
      <c r="W468" s="4"/>
      <c r="X468" s="4"/>
      <c r="Y468" s="4"/>
      <c r="Z468" s="4"/>
      <c r="AA468" s="4"/>
    </row>
    <row r="469" ht="15.75" customHeight="1">
      <c r="U469" s="4"/>
      <c r="V469" s="4"/>
      <c r="W469" s="4"/>
      <c r="X469" s="4"/>
      <c r="Y469" s="4"/>
      <c r="Z469" s="4"/>
      <c r="AA469" s="4"/>
    </row>
    <row r="470" ht="15.75" customHeight="1">
      <c r="U470" s="4"/>
      <c r="V470" s="4"/>
      <c r="W470" s="4"/>
      <c r="X470" s="4"/>
      <c r="Y470" s="4"/>
      <c r="Z470" s="4"/>
      <c r="AA470" s="4"/>
    </row>
    <row r="471" ht="15.75" customHeight="1">
      <c r="U471" s="4"/>
      <c r="V471" s="4"/>
      <c r="W471" s="4"/>
      <c r="X471" s="4"/>
      <c r="Y471" s="4"/>
      <c r="Z471" s="4"/>
      <c r="AA471" s="4"/>
    </row>
    <row r="472" ht="15.75" customHeight="1">
      <c r="U472" s="4"/>
      <c r="V472" s="4"/>
      <c r="W472" s="4"/>
      <c r="X472" s="4"/>
      <c r="Y472" s="4"/>
      <c r="Z472" s="4"/>
      <c r="AA472" s="4"/>
    </row>
    <row r="473" ht="15.75" customHeight="1">
      <c r="U473" s="4"/>
      <c r="V473" s="4"/>
      <c r="W473" s="4"/>
      <c r="X473" s="4"/>
      <c r="Y473" s="4"/>
      <c r="Z473" s="4"/>
      <c r="AA473" s="4"/>
    </row>
    <row r="474" ht="15.75" customHeight="1">
      <c r="U474" s="4"/>
      <c r="V474" s="4"/>
      <c r="W474" s="4"/>
      <c r="X474" s="4"/>
      <c r="Y474" s="4"/>
      <c r="Z474" s="4"/>
      <c r="AA474" s="4"/>
    </row>
    <row r="475" ht="15.75" customHeight="1">
      <c r="U475" s="4"/>
      <c r="V475" s="4"/>
      <c r="W475" s="4"/>
      <c r="X475" s="4"/>
      <c r="Y475" s="4"/>
      <c r="Z475" s="4"/>
      <c r="AA475" s="4"/>
    </row>
    <row r="476" ht="15.75" customHeight="1">
      <c r="U476" s="4"/>
      <c r="V476" s="4"/>
      <c r="W476" s="4"/>
      <c r="X476" s="4"/>
      <c r="Y476" s="4"/>
      <c r="Z476" s="4"/>
      <c r="AA476" s="4"/>
    </row>
    <row r="477" ht="15.75" customHeight="1">
      <c r="U477" s="4"/>
      <c r="V477" s="4"/>
      <c r="W477" s="4"/>
      <c r="X477" s="4"/>
      <c r="Y477" s="4"/>
      <c r="Z477" s="4"/>
      <c r="AA477" s="4"/>
    </row>
    <row r="478" ht="15.75" customHeight="1">
      <c r="U478" s="4"/>
      <c r="V478" s="4"/>
      <c r="W478" s="4"/>
      <c r="X478" s="4"/>
      <c r="Y478" s="4"/>
      <c r="Z478" s="4"/>
      <c r="AA478" s="4"/>
    </row>
    <row r="479" ht="15.75" customHeight="1">
      <c r="U479" s="4"/>
      <c r="V479" s="4"/>
      <c r="W479" s="4"/>
      <c r="X479" s="4"/>
      <c r="Y479" s="4"/>
      <c r="Z479" s="4"/>
      <c r="AA479" s="4"/>
    </row>
    <row r="480" ht="15.75" customHeight="1">
      <c r="U480" s="4"/>
      <c r="V480" s="4"/>
      <c r="W480" s="4"/>
      <c r="X480" s="4"/>
      <c r="Y480" s="4"/>
      <c r="Z480" s="4"/>
      <c r="AA480" s="4"/>
    </row>
    <row r="481" ht="15.75" customHeight="1">
      <c r="U481" s="4"/>
      <c r="V481" s="4"/>
      <c r="W481" s="4"/>
      <c r="X481" s="4"/>
      <c r="Y481" s="4"/>
      <c r="Z481" s="4"/>
      <c r="AA481" s="4"/>
    </row>
    <row r="482" ht="15.75" customHeight="1">
      <c r="U482" s="4"/>
      <c r="V482" s="4"/>
      <c r="W482" s="4"/>
      <c r="X482" s="4"/>
      <c r="Y482" s="4"/>
      <c r="Z482" s="4"/>
      <c r="AA482" s="4"/>
    </row>
    <row r="483" ht="15.75" customHeight="1">
      <c r="U483" s="4"/>
      <c r="V483" s="4"/>
      <c r="W483" s="4"/>
      <c r="X483" s="4"/>
      <c r="Y483" s="4"/>
      <c r="Z483" s="4"/>
      <c r="AA483" s="4"/>
    </row>
    <row r="484" ht="15.75" customHeight="1">
      <c r="U484" s="4"/>
      <c r="V484" s="4"/>
      <c r="W484" s="4"/>
      <c r="X484" s="4"/>
      <c r="Y484" s="4"/>
      <c r="Z484" s="4"/>
      <c r="AA484" s="4"/>
    </row>
    <row r="485" ht="15.75" customHeight="1">
      <c r="U485" s="4"/>
      <c r="V485" s="4"/>
      <c r="W485" s="4"/>
      <c r="X485" s="4"/>
      <c r="Y485" s="4"/>
      <c r="Z485" s="4"/>
      <c r="AA485" s="4"/>
    </row>
    <row r="486" ht="15.75" customHeight="1">
      <c r="U486" s="4"/>
      <c r="V486" s="4"/>
      <c r="W486" s="4"/>
      <c r="X486" s="4"/>
      <c r="Y486" s="4"/>
      <c r="Z486" s="4"/>
      <c r="AA486" s="4"/>
    </row>
    <row r="487" ht="15.75" customHeight="1">
      <c r="U487" s="4"/>
      <c r="V487" s="4"/>
      <c r="W487" s="4"/>
      <c r="X487" s="4"/>
      <c r="Y487" s="4"/>
      <c r="Z487" s="4"/>
      <c r="AA487" s="4"/>
    </row>
    <row r="488" ht="15.75" customHeight="1">
      <c r="U488" s="4"/>
      <c r="V488" s="4"/>
      <c r="W488" s="4"/>
      <c r="X488" s="4"/>
      <c r="Y488" s="4"/>
      <c r="Z488" s="4"/>
      <c r="AA488" s="4"/>
    </row>
    <row r="489" ht="15.75" customHeight="1">
      <c r="U489" s="4"/>
      <c r="V489" s="4"/>
      <c r="W489" s="4"/>
      <c r="X489" s="4"/>
      <c r="Y489" s="4"/>
      <c r="Z489" s="4"/>
      <c r="AA489" s="4"/>
    </row>
    <row r="490" ht="15.75" customHeight="1">
      <c r="U490" s="4"/>
      <c r="V490" s="4"/>
      <c r="W490" s="4"/>
      <c r="X490" s="4"/>
      <c r="Y490" s="4"/>
      <c r="Z490" s="4"/>
      <c r="AA490" s="4"/>
    </row>
    <row r="491" ht="15.75" customHeight="1">
      <c r="U491" s="4"/>
      <c r="V491" s="4"/>
      <c r="W491" s="4"/>
      <c r="X491" s="4"/>
      <c r="Y491" s="4"/>
      <c r="Z491" s="4"/>
      <c r="AA491" s="4"/>
    </row>
    <row r="492" ht="15.75" customHeight="1">
      <c r="U492" s="4"/>
      <c r="V492" s="4"/>
      <c r="W492" s="4"/>
      <c r="X492" s="4"/>
      <c r="Y492" s="4"/>
      <c r="Z492" s="4"/>
      <c r="AA492" s="4"/>
    </row>
    <row r="493" ht="15.75" customHeight="1">
      <c r="U493" s="4"/>
      <c r="V493" s="4"/>
      <c r="W493" s="4"/>
      <c r="X493" s="4"/>
      <c r="Y493" s="4"/>
      <c r="Z493" s="4"/>
      <c r="AA493" s="4"/>
    </row>
    <row r="494" ht="15.75" customHeight="1">
      <c r="U494" s="4"/>
      <c r="V494" s="4"/>
      <c r="W494" s="4"/>
      <c r="X494" s="4"/>
      <c r="Y494" s="4"/>
      <c r="Z494" s="4"/>
      <c r="AA494" s="4"/>
    </row>
    <row r="495" ht="15.75" customHeight="1">
      <c r="U495" s="4"/>
      <c r="V495" s="4"/>
      <c r="W495" s="4"/>
      <c r="X495" s="4"/>
      <c r="Y495" s="4"/>
      <c r="Z495" s="4"/>
      <c r="AA495" s="4"/>
    </row>
    <row r="496" ht="15.75" customHeight="1">
      <c r="U496" s="4"/>
      <c r="V496" s="4"/>
      <c r="W496" s="4"/>
      <c r="X496" s="4"/>
      <c r="Y496" s="4"/>
      <c r="Z496" s="4"/>
      <c r="AA496" s="4"/>
    </row>
    <row r="497" ht="15.75" customHeight="1">
      <c r="U497" s="4"/>
      <c r="V497" s="4"/>
      <c r="W497" s="4"/>
      <c r="X497" s="4"/>
      <c r="Y497" s="4"/>
      <c r="Z497" s="4"/>
      <c r="AA497" s="4"/>
    </row>
    <row r="498" ht="15.75" customHeight="1">
      <c r="U498" s="4"/>
      <c r="V498" s="4"/>
      <c r="W498" s="4"/>
      <c r="X498" s="4"/>
      <c r="Y498" s="4"/>
      <c r="Z498" s="4"/>
      <c r="AA498" s="4"/>
    </row>
    <row r="499" ht="15.75" customHeight="1">
      <c r="U499" s="4"/>
      <c r="V499" s="4"/>
      <c r="W499" s="4"/>
      <c r="X499" s="4"/>
      <c r="Y499" s="4"/>
      <c r="Z499" s="4"/>
      <c r="AA499" s="4"/>
    </row>
    <row r="500" ht="15.75" customHeight="1">
      <c r="U500" s="4"/>
      <c r="V500" s="4"/>
      <c r="W500" s="4"/>
      <c r="X500" s="4"/>
      <c r="Y500" s="4"/>
      <c r="Z500" s="4"/>
      <c r="AA500" s="4"/>
    </row>
    <row r="501" ht="15.75" customHeight="1">
      <c r="U501" s="4"/>
      <c r="V501" s="4"/>
      <c r="W501" s="4"/>
      <c r="X501" s="4"/>
      <c r="Y501" s="4"/>
      <c r="Z501" s="4"/>
      <c r="AA501" s="4"/>
    </row>
    <row r="502" ht="15.75" customHeight="1">
      <c r="U502" s="4"/>
      <c r="V502" s="4"/>
      <c r="W502" s="4"/>
      <c r="X502" s="4"/>
      <c r="Y502" s="4"/>
      <c r="Z502" s="4"/>
      <c r="AA502" s="4"/>
    </row>
    <row r="503" ht="15.75" customHeight="1">
      <c r="U503" s="4"/>
      <c r="V503" s="4"/>
      <c r="W503" s="4"/>
      <c r="X503" s="4"/>
      <c r="Y503" s="4"/>
      <c r="Z503" s="4"/>
      <c r="AA503" s="4"/>
    </row>
    <row r="504" ht="15.75" customHeight="1">
      <c r="U504" s="4"/>
      <c r="V504" s="4"/>
      <c r="W504" s="4"/>
      <c r="X504" s="4"/>
      <c r="Y504" s="4"/>
      <c r="Z504" s="4"/>
      <c r="AA504" s="4"/>
    </row>
    <row r="505" ht="15.75" customHeight="1">
      <c r="U505" s="4"/>
      <c r="V505" s="4"/>
      <c r="W505" s="4"/>
      <c r="X505" s="4"/>
      <c r="Y505" s="4"/>
      <c r="Z505" s="4"/>
      <c r="AA505" s="4"/>
    </row>
    <row r="506" ht="15.75" customHeight="1">
      <c r="U506" s="4"/>
      <c r="V506" s="4"/>
      <c r="W506" s="4"/>
      <c r="X506" s="4"/>
      <c r="Y506" s="4"/>
      <c r="Z506" s="4"/>
      <c r="AA506" s="4"/>
    </row>
    <row r="507" ht="15.75" customHeight="1">
      <c r="U507" s="4"/>
      <c r="V507" s="4"/>
      <c r="W507" s="4"/>
      <c r="X507" s="4"/>
      <c r="Y507" s="4"/>
      <c r="Z507" s="4"/>
      <c r="AA507" s="4"/>
    </row>
    <row r="508" ht="15.75" customHeight="1">
      <c r="U508" s="4"/>
      <c r="V508" s="4"/>
      <c r="W508" s="4"/>
      <c r="X508" s="4"/>
      <c r="Y508" s="4"/>
      <c r="Z508" s="4"/>
      <c r="AA508" s="4"/>
    </row>
    <row r="509" ht="15.75" customHeight="1">
      <c r="U509" s="4"/>
      <c r="V509" s="4"/>
      <c r="W509" s="4"/>
      <c r="X509" s="4"/>
      <c r="Y509" s="4"/>
      <c r="Z509" s="4"/>
      <c r="AA509" s="4"/>
    </row>
    <row r="510" ht="15.75" customHeight="1">
      <c r="U510" s="4"/>
      <c r="V510" s="4"/>
      <c r="W510" s="4"/>
      <c r="X510" s="4"/>
      <c r="Y510" s="4"/>
      <c r="Z510" s="4"/>
      <c r="AA510" s="4"/>
    </row>
    <row r="511" ht="15.75" customHeight="1">
      <c r="U511" s="4"/>
      <c r="V511" s="4"/>
      <c r="W511" s="4"/>
      <c r="X511" s="4"/>
      <c r="Y511" s="4"/>
      <c r="Z511" s="4"/>
      <c r="AA511" s="4"/>
    </row>
    <row r="512" ht="15.75" customHeight="1">
      <c r="U512" s="4"/>
      <c r="V512" s="4"/>
      <c r="W512" s="4"/>
      <c r="X512" s="4"/>
      <c r="Y512" s="4"/>
      <c r="Z512" s="4"/>
      <c r="AA512" s="4"/>
    </row>
    <row r="513" ht="15.75" customHeight="1">
      <c r="U513" s="4"/>
      <c r="V513" s="4"/>
      <c r="W513" s="4"/>
      <c r="X513" s="4"/>
      <c r="Y513" s="4"/>
      <c r="Z513" s="4"/>
      <c r="AA513" s="4"/>
    </row>
    <row r="514" ht="15.75" customHeight="1">
      <c r="U514" s="4"/>
      <c r="V514" s="4"/>
      <c r="W514" s="4"/>
      <c r="X514" s="4"/>
      <c r="Y514" s="4"/>
      <c r="Z514" s="4"/>
      <c r="AA514" s="4"/>
    </row>
    <row r="515" ht="15.75" customHeight="1">
      <c r="U515" s="4"/>
      <c r="V515" s="4"/>
      <c r="W515" s="4"/>
      <c r="X515" s="4"/>
      <c r="Y515" s="4"/>
      <c r="Z515" s="4"/>
      <c r="AA515" s="4"/>
    </row>
    <row r="516" ht="15.75" customHeight="1">
      <c r="U516" s="4"/>
      <c r="V516" s="4"/>
      <c r="W516" s="4"/>
      <c r="X516" s="4"/>
      <c r="Y516" s="4"/>
      <c r="Z516" s="4"/>
      <c r="AA516" s="4"/>
    </row>
    <row r="517" ht="15.75" customHeight="1">
      <c r="U517" s="4"/>
      <c r="V517" s="4"/>
      <c r="W517" s="4"/>
      <c r="X517" s="4"/>
      <c r="Y517" s="4"/>
      <c r="Z517" s="4"/>
      <c r="AA517" s="4"/>
    </row>
    <row r="518" ht="15.75" customHeight="1">
      <c r="U518" s="4"/>
      <c r="V518" s="4"/>
      <c r="W518" s="4"/>
      <c r="X518" s="4"/>
      <c r="Y518" s="4"/>
      <c r="Z518" s="4"/>
      <c r="AA518" s="4"/>
    </row>
    <row r="519" ht="15.75" customHeight="1">
      <c r="U519" s="4"/>
      <c r="V519" s="4"/>
      <c r="W519" s="4"/>
      <c r="X519" s="4"/>
      <c r="Y519" s="4"/>
      <c r="Z519" s="4"/>
      <c r="AA519" s="4"/>
    </row>
    <row r="520" ht="15.75" customHeight="1">
      <c r="U520" s="4"/>
      <c r="V520" s="4"/>
      <c r="W520" s="4"/>
      <c r="X520" s="4"/>
      <c r="Y520" s="4"/>
      <c r="Z520" s="4"/>
      <c r="AA520" s="4"/>
    </row>
    <row r="521" ht="15.75" customHeight="1">
      <c r="U521" s="4"/>
      <c r="V521" s="4"/>
      <c r="W521" s="4"/>
      <c r="X521" s="4"/>
      <c r="Y521" s="4"/>
      <c r="Z521" s="4"/>
      <c r="AA521" s="4"/>
    </row>
    <row r="522" ht="15.75" customHeight="1">
      <c r="U522" s="4"/>
      <c r="V522" s="4"/>
      <c r="W522" s="4"/>
      <c r="X522" s="4"/>
      <c r="Y522" s="4"/>
      <c r="Z522" s="4"/>
      <c r="AA522" s="4"/>
    </row>
    <row r="523" ht="15.75" customHeight="1">
      <c r="U523" s="4"/>
      <c r="V523" s="4"/>
      <c r="W523" s="4"/>
      <c r="X523" s="4"/>
      <c r="Y523" s="4"/>
      <c r="Z523" s="4"/>
      <c r="AA523" s="4"/>
    </row>
    <row r="524" ht="15.75" customHeight="1">
      <c r="U524" s="4"/>
      <c r="V524" s="4"/>
      <c r="W524" s="4"/>
      <c r="X524" s="4"/>
      <c r="Y524" s="4"/>
      <c r="Z524" s="4"/>
      <c r="AA524" s="4"/>
    </row>
    <row r="525" ht="15.75" customHeight="1">
      <c r="U525" s="4"/>
      <c r="V525" s="4"/>
      <c r="W525" s="4"/>
      <c r="X525" s="4"/>
      <c r="Y525" s="4"/>
      <c r="Z525" s="4"/>
      <c r="AA525" s="4"/>
    </row>
    <row r="526" ht="15.75" customHeight="1">
      <c r="U526" s="4"/>
      <c r="V526" s="4"/>
      <c r="W526" s="4"/>
      <c r="X526" s="4"/>
      <c r="Y526" s="4"/>
      <c r="Z526" s="4"/>
      <c r="AA526" s="4"/>
    </row>
    <row r="527" ht="15.75" customHeight="1">
      <c r="U527" s="4"/>
      <c r="V527" s="4"/>
      <c r="W527" s="4"/>
      <c r="X527" s="4"/>
      <c r="Y527" s="4"/>
      <c r="Z527" s="4"/>
      <c r="AA527" s="4"/>
    </row>
    <row r="528" ht="15.75" customHeight="1">
      <c r="U528" s="4"/>
      <c r="V528" s="4"/>
      <c r="W528" s="4"/>
      <c r="X528" s="4"/>
      <c r="Y528" s="4"/>
      <c r="Z528" s="4"/>
      <c r="AA528" s="4"/>
    </row>
    <row r="529" ht="15.75" customHeight="1">
      <c r="U529" s="4"/>
      <c r="V529" s="4"/>
      <c r="W529" s="4"/>
      <c r="X529" s="4"/>
      <c r="Y529" s="4"/>
      <c r="Z529" s="4"/>
      <c r="AA529" s="4"/>
    </row>
    <row r="530" ht="15.75" customHeight="1">
      <c r="U530" s="4"/>
      <c r="V530" s="4"/>
      <c r="W530" s="4"/>
      <c r="X530" s="4"/>
      <c r="Y530" s="4"/>
      <c r="Z530" s="4"/>
      <c r="AA530" s="4"/>
    </row>
    <row r="531" ht="15.75" customHeight="1">
      <c r="U531" s="4"/>
      <c r="V531" s="4"/>
      <c r="W531" s="4"/>
      <c r="X531" s="4"/>
      <c r="Y531" s="4"/>
      <c r="Z531" s="4"/>
      <c r="AA531" s="4"/>
    </row>
    <row r="532" ht="15.75" customHeight="1">
      <c r="U532" s="4"/>
      <c r="V532" s="4"/>
      <c r="W532" s="4"/>
      <c r="X532" s="4"/>
      <c r="Y532" s="4"/>
      <c r="Z532" s="4"/>
      <c r="AA532" s="4"/>
    </row>
    <row r="533" ht="15.75" customHeight="1">
      <c r="U533" s="4"/>
      <c r="V533" s="4"/>
      <c r="W533" s="4"/>
      <c r="X533" s="4"/>
      <c r="Y533" s="4"/>
      <c r="Z533" s="4"/>
      <c r="AA533" s="4"/>
    </row>
    <row r="534" ht="15.75" customHeight="1">
      <c r="U534" s="4"/>
      <c r="V534" s="4"/>
      <c r="W534" s="4"/>
      <c r="X534" s="4"/>
      <c r="Y534" s="4"/>
      <c r="Z534" s="4"/>
      <c r="AA534" s="4"/>
    </row>
    <row r="535" ht="15.75" customHeight="1">
      <c r="U535" s="4"/>
      <c r="V535" s="4"/>
      <c r="W535" s="4"/>
      <c r="X535" s="4"/>
      <c r="Y535" s="4"/>
      <c r="Z535" s="4"/>
      <c r="AA535" s="4"/>
    </row>
    <row r="536" ht="15.75" customHeight="1">
      <c r="U536" s="4"/>
      <c r="V536" s="4"/>
      <c r="W536" s="4"/>
      <c r="X536" s="4"/>
      <c r="Y536" s="4"/>
      <c r="Z536" s="4"/>
      <c r="AA536" s="4"/>
    </row>
    <row r="537" ht="15.75" customHeight="1">
      <c r="U537" s="4"/>
      <c r="V537" s="4"/>
      <c r="W537" s="4"/>
      <c r="X537" s="4"/>
      <c r="Y537" s="4"/>
      <c r="Z537" s="4"/>
      <c r="AA537" s="4"/>
    </row>
    <row r="538" ht="15.75" customHeight="1">
      <c r="U538" s="4"/>
      <c r="V538" s="4"/>
      <c r="W538" s="4"/>
      <c r="X538" s="4"/>
      <c r="Y538" s="4"/>
      <c r="Z538" s="4"/>
      <c r="AA538" s="4"/>
    </row>
    <row r="539" ht="15.75" customHeight="1">
      <c r="U539" s="4"/>
      <c r="V539" s="4"/>
      <c r="W539" s="4"/>
      <c r="X539" s="4"/>
      <c r="Y539" s="4"/>
      <c r="Z539" s="4"/>
      <c r="AA539" s="4"/>
    </row>
    <row r="540" ht="15.75" customHeight="1">
      <c r="U540" s="4"/>
      <c r="V540" s="4"/>
      <c r="W540" s="4"/>
      <c r="X540" s="4"/>
      <c r="Y540" s="4"/>
      <c r="Z540" s="4"/>
      <c r="AA540" s="4"/>
    </row>
    <row r="541" ht="15.75" customHeight="1">
      <c r="U541" s="4"/>
      <c r="V541" s="4"/>
      <c r="W541" s="4"/>
      <c r="X541" s="4"/>
      <c r="Y541" s="4"/>
      <c r="Z541" s="4"/>
      <c r="AA541" s="4"/>
    </row>
    <row r="542" ht="15.75" customHeight="1">
      <c r="U542" s="4"/>
      <c r="V542" s="4"/>
      <c r="W542" s="4"/>
      <c r="X542" s="4"/>
      <c r="Y542" s="4"/>
      <c r="Z542" s="4"/>
      <c r="AA542" s="4"/>
    </row>
    <row r="543" ht="15.75" customHeight="1">
      <c r="U543" s="4"/>
      <c r="V543" s="4"/>
      <c r="W543" s="4"/>
      <c r="X543" s="4"/>
      <c r="Y543" s="4"/>
      <c r="Z543" s="4"/>
      <c r="AA543" s="4"/>
    </row>
    <row r="544" ht="15.75" customHeight="1">
      <c r="U544" s="4"/>
      <c r="V544" s="4"/>
      <c r="W544" s="4"/>
      <c r="X544" s="4"/>
      <c r="Y544" s="4"/>
      <c r="Z544" s="4"/>
      <c r="AA544" s="4"/>
    </row>
    <row r="545" ht="15.75" customHeight="1">
      <c r="U545" s="4"/>
      <c r="V545" s="4"/>
      <c r="W545" s="4"/>
      <c r="X545" s="4"/>
      <c r="Y545" s="4"/>
      <c r="Z545" s="4"/>
      <c r="AA545" s="4"/>
    </row>
    <row r="546" ht="15.75" customHeight="1">
      <c r="U546" s="4"/>
      <c r="V546" s="4"/>
      <c r="W546" s="4"/>
      <c r="X546" s="4"/>
      <c r="Y546" s="4"/>
      <c r="Z546" s="4"/>
      <c r="AA546" s="4"/>
    </row>
    <row r="547" ht="15.75" customHeight="1">
      <c r="U547" s="4"/>
      <c r="V547" s="4"/>
      <c r="W547" s="4"/>
      <c r="X547" s="4"/>
      <c r="Y547" s="4"/>
      <c r="Z547" s="4"/>
      <c r="AA547" s="4"/>
    </row>
    <row r="548" ht="15.75" customHeight="1">
      <c r="U548" s="4"/>
      <c r="V548" s="4"/>
      <c r="W548" s="4"/>
      <c r="X548" s="4"/>
      <c r="Y548" s="4"/>
      <c r="Z548" s="4"/>
      <c r="AA548" s="4"/>
    </row>
    <row r="549" ht="15.75" customHeight="1">
      <c r="U549" s="4"/>
      <c r="V549" s="4"/>
      <c r="W549" s="4"/>
      <c r="X549" s="4"/>
      <c r="Y549" s="4"/>
      <c r="Z549" s="4"/>
      <c r="AA549" s="4"/>
    </row>
    <row r="550" ht="15.75" customHeight="1">
      <c r="U550" s="4"/>
      <c r="V550" s="4"/>
      <c r="W550" s="4"/>
      <c r="X550" s="4"/>
      <c r="Y550" s="4"/>
      <c r="Z550" s="4"/>
      <c r="AA550" s="4"/>
    </row>
    <row r="551" ht="15.75" customHeight="1">
      <c r="U551" s="4"/>
      <c r="V551" s="4"/>
      <c r="W551" s="4"/>
      <c r="X551" s="4"/>
      <c r="Y551" s="4"/>
      <c r="Z551" s="4"/>
      <c r="AA551" s="4"/>
    </row>
    <row r="552" ht="15.75" customHeight="1">
      <c r="U552" s="4"/>
      <c r="V552" s="4"/>
      <c r="W552" s="4"/>
      <c r="X552" s="4"/>
      <c r="Y552" s="4"/>
      <c r="Z552" s="4"/>
      <c r="AA552" s="4"/>
    </row>
    <row r="553" ht="15.75" customHeight="1">
      <c r="U553" s="4"/>
      <c r="V553" s="4"/>
      <c r="W553" s="4"/>
      <c r="X553" s="4"/>
      <c r="Y553" s="4"/>
      <c r="Z553" s="4"/>
      <c r="AA553" s="4"/>
    </row>
    <row r="554" ht="15.75" customHeight="1">
      <c r="U554" s="4"/>
      <c r="V554" s="4"/>
      <c r="W554" s="4"/>
      <c r="X554" s="4"/>
      <c r="Y554" s="4"/>
      <c r="Z554" s="4"/>
      <c r="AA554" s="4"/>
    </row>
    <row r="555" ht="15.75" customHeight="1">
      <c r="U555" s="4"/>
      <c r="V555" s="4"/>
      <c r="W555" s="4"/>
      <c r="X555" s="4"/>
      <c r="Y555" s="4"/>
      <c r="Z555" s="4"/>
      <c r="AA555" s="4"/>
    </row>
    <row r="556" ht="15.75" customHeight="1">
      <c r="U556" s="4"/>
      <c r="V556" s="4"/>
      <c r="W556" s="4"/>
      <c r="X556" s="4"/>
      <c r="Y556" s="4"/>
      <c r="Z556" s="4"/>
      <c r="AA556" s="4"/>
    </row>
    <row r="557" ht="15.75" customHeight="1">
      <c r="U557" s="4"/>
      <c r="V557" s="4"/>
      <c r="W557" s="4"/>
      <c r="X557" s="4"/>
      <c r="Y557" s="4"/>
      <c r="Z557" s="4"/>
      <c r="AA557" s="4"/>
    </row>
    <row r="558" ht="15.75" customHeight="1">
      <c r="U558" s="4"/>
      <c r="V558" s="4"/>
      <c r="W558" s="4"/>
      <c r="X558" s="4"/>
      <c r="Y558" s="4"/>
      <c r="Z558" s="4"/>
      <c r="AA558" s="4"/>
    </row>
    <row r="559" ht="15.75" customHeight="1">
      <c r="U559" s="4"/>
      <c r="V559" s="4"/>
      <c r="W559" s="4"/>
      <c r="X559" s="4"/>
      <c r="Y559" s="4"/>
      <c r="Z559" s="4"/>
      <c r="AA559" s="4"/>
    </row>
    <row r="560" ht="15.75" customHeight="1">
      <c r="U560" s="4"/>
      <c r="V560" s="4"/>
      <c r="W560" s="4"/>
      <c r="X560" s="4"/>
      <c r="Y560" s="4"/>
      <c r="Z560" s="4"/>
      <c r="AA560" s="4"/>
    </row>
    <row r="561" ht="15.75" customHeight="1">
      <c r="U561" s="4"/>
      <c r="V561" s="4"/>
      <c r="W561" s="4"/>
      <c r="X561" s="4"/>
      <c r="Y561" s="4"/>
      <c r="Z561" s="4"/>
      <c r="AA561" s="4"/>
    </row>
    <row r="562" ht="15.75" customHeight="1">
      <c r="U562" s="4"/>
      <c r="V562" s="4"/>
      <c r="W562" s="4"/>
      <c r="X562" s="4"/>
      <c r="Y562" s="4"/>
      <c r="Z562" s="4"/>
      <c r="AA562" s="4"/>
    </row>
    <row r="563" ht="15.75" customHeight="1">
      <c r="U563" s="4"/>
      <c r="V563" s="4"/>
      <c r="W563" s="4"/>
      <c r="X563" s="4"/>
      <c r="Y563" s="4"/>
      <c r="Z563" s="4"/>
      <c r="AA563" s="4"/>
    </row>
    <row r="564" ht="15.75" customHeight="1">
      <c r="U564" s="4"/>
      <c r="V564" s="4"/>
      <c r="W564" s="4"/>
      <c r="X564" s="4"/>
      <c r="Y564" s="4"/>
      <c r="Z564" s="4"/>
      <c r="AA564" s="4"/>
    </row>
    <row r="565" ht="15.75" customHeight="1">
      <c r="U565" s="4"/>
      <c r="V565" s="4"/>
      <c r="W565" s="4"/>
      <c r="X565" s="4"/>
      <c r="Y565" s="4"/>
      <c r="Z565" s="4"/>
      <c r="AA565" s="4"/>
    </row>
    <row r="566" ht="15.75" customHeight="1">
      <c r="U566" s="4"/>
      <c r="V566" s="4"/>
      <c r="W566" s="4"/>
      <c r="X566" s="4"/>
      <c r="Y566" s="4"/>
      <c r="Z566" s="4"/>
      <c r="AA566" s="4"/>
    </row>
    <row r="567" ht="15.75" customHeight="1">
      <c r="U567" s="4"/>
      <c r="V567" s="4"/>
      <c r="W567" s="4"/>
      <c r="X567" s="4"/>
      <c r="Y567" s="4"/>
      <c r="Z567" s="4"/>
      <c r="AA567" s="4"/>
    </row>
    <row r="568" ht="15.75" customHeight="1">
      <c r="U568" s="4"/>
      <c r="V568" s="4"/>
      <c r="W568" s="4"/>
      <c r="X568" s="4"/>
      <c r="Y568" s="4"/>
      <c r="Z568" s="4"/>
      <c r="AA568" s="4"/>
    </row>
    <row r="569" ht="15.75" customHeight="1">
      <c r="U569" s="4"/>
      <c r="V569" s="4"/>
      <c r="W569" s="4"/>
      <c r="X569" s="4"/>
      <c r="Y569" s="4"/>
      <c r="Z569" s="4"/>
      <c r="AA569" s="4"/>
    </row>
    <row r="570" ht="15.75" customHeight="1">
      <c r="U570" s="4"/>
      <c r="V570" s="4"/>
      <c r="W570" s="4"/>
      <c r="X570" s="4"/>
      <c r="Y570" s="4"/>
      <c r="Z570" s="4"/>
      <c r="AA570" s="4"/>
    </row>
    <row r="571" ht="15.75" customHeight="1">
      <c r="U571" s="4"/>
      <c r="V571" s="4"/>
      <c r="W571" s="4"/>
      <c r="X571" s="4"/>
      <c r="Y571" s="4"/>
      <c r="Z571" s="4"/>
      <c r="AA571" s="4"/>
    </row>
    <row r="572" ht="15.75" customHeight="1">
      <c r="U572" s="4"/>
      <c r="V572" s="4"/>
      <c r="W572" s="4"/>
      <c r="X572" s="4"/>
      <c r="Y572" s="4"/>
      <c r="Z572" s="4"/>
      <c r="AA572" s="4"/>
    </row>
    <row r="573" ht="15.75" customHeight="1">
      <c r="U573" s="4"/>
      <c r="V573" s="4"/>
      <c r="W573" s="4"/>
      <c r="X573" s="4"/>
      <c r="Y573" s="4"/>
      <c r="Z573" s="4"/>
      <c r="AA573" s="4"/>
    </row>
    <row r="574" ht="15.75" customHeight="1">
      <c r="U574" s="4"/>
      <c r="V574" s="4"/>
      <c r="W574" s="4"/>
      <c r="X574" s="4"/>
      <c r="Y574" s="4"/>
      <c r="Z574" s="4"/>
      <c r="AA574" s="4"/>
    </row>
    <row r="575" ht="15.75" customHeight="1">
      <c r="U575" s="4"/>
      <c r="V575" s="4"/>
      <c r="W575" s="4"/>
      <c r="X575" s="4"/>
      <c r="Y575" s="4"/>
      <c r="Z575" s="4"/>
      <c r="AA575" s="4"/>
    </row>
    <row r="576" ht="15.75" customHeight="1">
      <c r="U576" s="4"/>
      <c r="V576" s="4"/>
      <c r="W576" s="4"/>
      <c r="X576" s="4"/>
      <c r="Y576" s="4"/>
      <c r="Z576" s="4"/>
      <c r="AA576" s="4"/>
    </row>
    <row r="577" ht="15.75" customHeight="1">
      <c r="U577" s="4"/>
      <c r="V577" s="4"/>
      <c r="W577" s="4"/>
      <c r="X577" s="4"/>
      <c r="Y577" s="4"/>
      <c r="Z577" s="4"/>
      <c r="AA577" s="4"/>
    </row>
    <row r="578" ht="15.75" customHeight="1">
      <c r="U578" s="4"/>
      <c r="V578" s="4"/>
      <c r="W578" s="4"/>
      <c r="X578" s="4"/>
      <c r="Y578" s="4"/>
      <c r="Z578" s="4"/>
      <c r="AA578" s="4"/>
    </row>
    <row r="579" ht="15.75" customHeight="1">
      <c r="U579" s="4"/>
      <c r="V579" s="4"/>
      <c r="W579" s="4"/>
      <c r="X579" s="4"/>
      <c r="Y579" s="4"/>
      <c r="Z579" s="4"/>
      <c r="AA579" s="4"/>
    </row>
    <row r="580" ht="15.75" customHeight="1">
      <c r="U580" s="4"/>
      <c r="V580" s="4"/>
      <c r="W580" s="4"/>
      <c r="X580" s="4"/>
      <c r="Y580" s="4"/>
      <c r="Z580" s="4"/>
      <c r="AA580" s="4"/>
    </row>
    <row r="581" ht="15.75" customHeight="1">
      <c r="U581" s="4"/>
      <c r="V581" s="4"/>
      <c r="W581" s="4"/>
      <c r="X581" s="4"/>
      <c r="Y581" s="4"/>
      <c r="Z581" s="4"/>
      <c r="AA581" s="4"/>
    </row>
    <row r="582" ht="15.75" customHeight="1">
      <c r="U582" s="4"/>
      <c r="V582" s="4"/>
      <c r="W582" s="4"/>
      <c r="X582" s="4"/>
      <c r="Y582" s="4"/>
      <c r="Z582" s="4"/>
      <c r="AA582" s="4"/>
    </row>
    <row r="583" ht="15.75" customHeight="1">
      <c r="U583" s="4"/>
      <c r="V583" s="4"/>
      <c r="W583" s="4"/>
      <c r="X583" s="4"/>
      <c r="Y583" s="4"/>
      <c r="Z583" s="4"/>
      <c r="AA583" s="4"/>
    </row>
    <row r="584" ht="15.75" customHeight="1">
      <c r="U584" s="4"/>
      <c r="V584" s="4"/>
      <c r="W584" s="4"/>
      <c r="X584" s="4"/>
      <c r="Y584" s="4"/>
      <c r="Z584" s="4"/>
      <c r="AA584" s="4"/>
    </row>
    <row r="585" ht="15.75" customHeight="1">
      <c r="U585" s="4"/>
      <c r="V585" s="4"/>
      <c r="W585" s="4"/>
      <c r="X585" s="4"/>
      <c r="Y585" s="4"/>
      <c r="Z585" s="4"/>
      <c r="AA585" s="4"/>
    </row>
    <row r="586" ht="15.75" customHeight="1">
      <c r="U586" s="4"/>
      <c r="V586" s="4"/>
      <c r="W586" s="4"/>
      <c r="X586" s="4"/>
      <c r="Y586" s="4"/>
      <c r="Z586" s="4"/>
      <c r="AA586" s="4"/>
    </row>
    <row r="587" ht="15.75" customHeight="1">
      <c r="U587" s="4"/>
      <c r="V587" s="4"/>
      <c r="W587" s="4"/>
      <c r="X587" s="4"/>
      <c r="Y587" s="4"/>
      <c r="Z587" s="4"/>
      <c r="AA587" s="4"/>
    </row>
    <row r="588" ht="15.75" customHeight="1">
      <c r="U588" s="4"/>
      <c r="V588" s="4"/>
      <c r="W588" s="4"/>
      <c r="X588" s="4"/>
      <c r="Y588" s="4"/>
      <c r="Z588" s="4"/>
      <c r="AA588" s="4"/>
    </row>
    <row r="589" ht="15.75" customHeight="1">
      <c r="U589" s="4"/>
      <c r="V589" s="4"/>
      <c r="W589" s="4"/>
      <c r="X589" s="4"/>
      <c r="Y589" s="4"/>
      <c r="Z589" s="4"/>
      <c r="AA589" s="4"/>
    </row>
    <row r="590" ht="15.75" customHeight="1">
      <c r="U590" s="4"/>
      <c r="V590" s="4"/>
      <c r="W590" s="4"/>
      <c r="X590" s="4"/>
      <c r="Y590" s="4"/>
      <c r="Z590" s="4"/>
      <c r="AA590" s="4"/>
    </row>
    <row r="591" ht="15.75" customHeight="1">
      <c r="U591" s="4"/>
      <c r="V591" s="4"/>
      <c r="W591" s="4"/>
      <c r="X591" s="4"/>
      <c r="Y591" s="4"/>
      <c r="Z591" s="4"/>
      <c r="AA591" s="4"/>
    </row>
    <row r="592" ht="15.75" customHeight="1">
      <c r="U592" s="4"/>
      <c r="V592" s="4"/>
      <c r="W592" s="4"/>
      <c r="X592" s="4"/>
      <c r="Y592" s="4"/>
      <c r="Z592" s="4"/>
      <c r="AA592" s="4"/>
    </row>
    <row r="593" ht="15.75" customHeight="1">
      <c r="U593" s="4"/>
      <c r="V593" s="4"/>
      <c r="W593" s="4"/>
      <c r="X593" s="4"/>
      <c r="Y593" s="4"/>
      <c r="Z593" s="4"/>
      <c r="AA593" s="4"/>
    </row>
    <row r="594" ht="15.75" customHeight="1">
      <c r="U594" s="4"/>
      <c r="V594" s="4"/>
      <c r="W594" s="4"/>
      <c r="X594" s="4"/>
      <c r="Y594" s="4"/>
      <c r="Z594" s="4"/>
      <c r="AA594" s="4"/>
    </row>
    <row r="595" ht="15.75" customHeight="1">
      <c r="U595" s="4"/>
      <c r="V595" s="4"/>
      <c r="W595" s="4"/>
      <c r="X595" s="4"/>
      <c r="Y595" s="4"/>
      <c r="Z595" s="4"/>
      <c r="AA595" s="4"/>
    </row>
    <row r="596" ht="15.75" customHeight="1">
      <c r="U596" s="4"/>
      <c r="V596" s="4"/>
      <c r="W596" s="4"/>
      <c r="X596" s="4"/>
      <c r="Y596" s="4"/>
      <c r="Z596" s="4"/>
      <c r="AA596" s="4"/>
    </row>
    <row r="597" ht="15.75" customHeight="1">
      <c r="U597" s="4"/>
      <c r="V597" s="4"/>
      <c r="W597" s="4"/>
      <c r="X597" s="4"/>
      <c r="Y597" s="4"/>
      <c r="Z597" s="4"/>
      <c r="AA597" s="4"/>
    </row>
    <row r="598" ht="15.75" customHeight="1">
      <c r="U598" s="4"/>
      <c r="V598" s="4"/>
      <c r="W598" s="4"/>
      <c r="X598" s="4"/>
      <c r="Y598" s="4"/>
      <c r="Z598" s="4"/>
      <c r="AA598" s="4"/>
    </row>
    <row r="599" ht="15.75" customHeight="1">
      <c r="U599" s="4"/>
      <c r="V599" s="4"/>
      <c r="W599" s="4"/>
      <c r="X599" s="4"/>
      <c r="Y599" s="4"/>
      <c r="Z599" s="4"/>
      <c r="AA599" s="4"/>
    </row>
    <row r="600" ht="15.75" customHeight="1">
      <c r="U600" s="4"/>
      <c r="V600" s="4"/>
      <c r="W600" s="4"/>
      <c r="X600" s="4"/>
      <c r="Y600" s="4"/>
      <c r="Z600" s="4"/>
      <c r="AA600" s="4"/>
    </row>
    <row r="601" ht="15.75" customHeight="1">
      <c r="U601" s="4"/>
      <c r="V601" s="4"/>
      <c r="W601" s="4"/>
      <c r="X601" s="4"/>
      <c r="Y601" s="4"/>
      <c r="Z601" s="4"/>
      <c r="AA601" s="4"/>
    </row>
    <row r="602" ht="15.75" customHeight="1">
      <c r="U602" s="4"/>
      <c r="V602" s="4"/>
      <c r="W602" s="4"/>
      <c r="X602" s="4"/>
      <c r="Y602" s="4"/>
      <c r="Z602" s="4"/>
      <c r="AA602" s="4"/>
    </row>
    <row r="603" ht="15.75" customHeight="1">
      <c r="U603" s="4"/>
      <c r="V603" s="4"/>
      <c r="W603" s="4"/>
      <c r="X603" s="4"/>
      <c r="Y603" s="4"/>
      <c r="Z603" s="4"/>
      <c r="AA603" s="4"/>
    </row>
    <row r="604" ht="15.75" customHeight="1">
      <c r="U604" s="4"/>
      <c r="V604" s="4"/>
      <c r="W604" s="4"/>
      <c r="X604" s="4"/>
      <c r="Y604" s="4"/>
      <c r="Z604" s="4"/>
      <c r="AA604" s="4"/>
    </row>
    <row r="605" ht="15.75" customHeight="1">
      <c r="U605" s="4"/>
      <c r="V605" s="4"/>
      <c r="W605" s="4"/>
      <c r="X605" s="4"/>
      <c r="Y605" s="4"/>
      <c r="Z605" s="4"/>
      <c r="AA605" s="4"/>
    </row>
    <row r="606" ht="15.75" customHeight="1">
      <c r="U606" s="4"/>
      <c r="V606" s="4"/>
      <c r="W606" s="4"/>
      <c r="X606" s="4"/>
      <c r="Y606" s="4"/>
      <c r="Z606" s="4"/>
      <c r="AA606" s="4"/>
    </row>
    <row r="607" ht="15.75" customHeight="1">
      <c r="U607" s="4"/>
      <c r="V607" s="4"/>
      <c r="W607" s="4"/>
      <c r="X607" s="4"/>
      <c r="Y607" s="4"/>
      <c r="Z607" s="4"/>
      <c r="AA607" s="4"/>
    </row>
    <row r="608" ht="15.75" customHeight="1">
      <c r="U608" s="4"/>
      <c r="V608" s="4"/>
      <c r="W608" s="4"/>
      <c r="X608" s="4"/>
      <c r="Y608" s="4"/>
      <c r="Z608" s="4"/>
      <c r="AA608" s="4"/>
    </row>
    <row r="609" ht="15.75" customHeight="1">
      <c r="U609" s="4"/>
      <c r="V609" s="4"/>
      <c r="W609" s="4"/>
      <c r="X609" s="4"/>
      <c r="Y609" s="4"/>
      <c r="Z609" s="4"/>
      <c r="AA609" s="4"/>
    </row>
    <row r="610" ht="15.75" customHeight="1">
      <c r="U610" s="4"/>
      <c r="V610" s="4"/>
      <c r="W610" s="4"/>
      <c r="X610" s="4"/>
      <c r="Y610" s="4"/>
      <c r="Z610" s="4"/>
      <c r="AA610" s="4"/>
    </row>
    <row r="611" ht="15.75" customHeight="1">
      <c r="U611" s="4"/>
      <c r="V611" s="4"/>
      <c r="W611" s="4"/>
      <c r="X611" s="4"/>
      <c r="Y611" s="4"/>
      <c r="Z611" s="4"/>
      <c r="AA611" s="4"/>
    </row>
    <row r="612" ht="15.75" customHeight="1">
      <c r="U612" s="4"/>
      <c r="V612" s="4"/>
      <c r="W612" s="4"/>
      <c r="X612" s="4"/>
      <c r="Y612" s="4"/>
      <c r="Z612" s="4"/>
      <c r="AA612" s="4"/>
    </row>
    <row r="613" ht="15.75" customHeight="1">
      <c r="U613" s="4"/>
      <c r="V613" s="4"/>
      <c r="W613" s="4"/>
      <c r="X613" s="4"/>
      <c r="Y613" s="4"/>
      <c r="Z613" s="4"/>
      <c r="AA613" s="4"/>
    </row>
    <row r="614" ht="15.75" customHeight="1">
      <c r="U614" s="4"/>
      <c r="V614" s="4"/>
      <c r="W614" s="4"/>
      <c r="X614" s="4"/>
      <c r="Y614" s="4"/>
      <c r="Z614" s="4"/>
      <c r="AA614" s="4"/>
    </row>
    <row r="615" ht="15.75" customHeight="1">
      <c r="U615" s="4"/>
      <c r="V615" s="4"/>
      <c r="W615" s="4"/>
      <c r="X615" s="4"/>
      <c r="Y615" s="4"/>
      <c r="Z615" s="4"/>
      <c r="AA615" s="4"/>
    </row>
    <row r="616" ht="15.75" customHeight="1">
      <c r="U616" s="4"/>
      <c r="V616" s="4"/>
      <c r="W616" s="4"/>
      <c r="X616" s="4"/>
      <c r="Y616" s="4"/>
      <c r="Z616" s="4"/>
      <c r="AA616" s="4"/>
    </row>
    <row r="617" ht="15.75" customHeight="1">
      <c r="U617" s="4"/>
      <c r="V617" s="4"/>
      <c r="W617" s="4"/>
      <c r="X617" s="4"/>
      <c r="Y617" s="4"/>
      <c r="Z617" s="4"/>
      <c r="AA617" s="4"/>
    </row>
    <row r="618" ht="15.75" customHeight="1">
      <c r="U618" s="4"/>
      <c r="V618" s="4"/>
      <c r="W618" s="4"/>
      <c r="X618" s="4"/>
      <c r="Y618" s="4"/>
      <c r="Z618" s="4"/>
      <c r="AA618" s="4"/>
    </row>
    <row r="619" ht="15.75" customHeight="1">
      <c r="U619" s="4"/>
      <c r="V619" s="4"/>
      <c r="W619" s="4"/>
      <c r="X619" s="4"/>
      <c r="Y619" s="4"/>
      <c r="Z619" s="4"/>
      <c r="AA619" s="4"/>
    </row>
    <row r="620" ht="15.75" customHeight="1">
      <c r="U620" s="4"/>
      <c r="V620" s="4"/>
      <c r="W620" s="4"/>
      <c r="X620" s="4"/>
      <c r="Y620" s="4"/>
      <c r="Z620" s="4"/>
      <c r="AA620" s="4"/>
    </row>
    <row r="621" ht="15.75" customHeight="1">
      <c r="U621" s="4"/>
      <c r="V621" s="4"/>
      <c r="W621" s="4"/>
      <c r="X621" s="4"/>
      <c r="Y621" s="4"/>
      <c r="Z621" s="4"/>
      <c r="AA621" s="4"/>
    </row>
    <row r="622" ht="15.75" customHeight="1">
      <c r="U622" s="4"/>
      <c r="V622" s="4"/>
      <c r="W622" s="4"/>
      <c r="X622" s="4"/>
      <c r="Y622" s="4"/>
      <c r="Z622" s="4"/>
      <c r="AA622" s="4"/>
    </row>
    <row r="623" ht="15.75" customHeight="1">
      <c r="U623" s="4"/>
      <c r="V623" s="4"/>
      <c r="W623" s="4"/>
      <c r="X623" s="4"/>
      <c r="Y623" s="4"/>
      <c r="Z623" s="4"/>
      <c r="AA623" s="4"/>
    </row>
    <row r="624" ht="15.75" customHeight="1">
      <c r="U624" s="4"/>
      <c r="V624" s="4"/>
      <c r="W624" s="4"/>
      <c r="X624" s="4"/>
      <c r="Y624" s="4"/>
      <c r="Z624" s="4"/>
      <c r="AA624" s="4"/>
    </row>
    <row r="625" ht="15.75" customHeight="1">
      <c r="U625" s="4"/>
      <c r="V625" s="4"/>
      <c r="W625" s="4"/>
      <c r="X625" s="4"/>
      <c r="Y625" s="4"/>
      <c r="Z625" s="4"/>
      <c r="AA625" s="4"/>
    </row>
    <row r="626" ht="15.75" customHeight="1">
      <c r="U626" s="4"/>
      <c r="V626" s="4"/>
      <c r="W626" s="4"/>
      <c r="X626" s="4"/>
      <c r="Y626" s="4"/>
      <c r="Z626" s="4"/>
      <c r="AA626" s="4"/>
    </row>
    <row r="627" ht="15.75" customHeight="1">
      <c r="U627" s="4"/>
      <c r="V627" s="4"/>
      <c r="W627" s="4"/>
      <c r="X627" s="4"/>
      <c r="Y627" s="4"/>
      <c r="Z627" s="4"/>
      <c r="AA627" s="4"/>
    </row>
    <row r="628" ht="15.75" customHeight="1">
      <c r="U628" s="4"/>
      <c r="V628" s="4"/>
      <c r="W628" s="4"/>
      <c r="X628" s="4"/>
      <c r="Y628" s="4"/>
      <c r="Z628" s="4"/>
      <c r="AA628" s="4"/>
    </row>
    <row r="629" ht="15.75" customHeight="1">
      <c r="U629" s="4"/>
      <c r="V629" s="4"/>
      <c r="W629" s="4"/>
      <c r="X629" s="4"/>
      <c r="Y629" s="4"/>
      <c r="Z629" s="4"/>
      <c r="AA629" s="4"/>
    </row>
    <row r="630" ht="15.75" customHeight="1">
      <c r="U630" s="4"/>
      <c r="V630" s="4"/>
      <c r="W630" s="4"/>
      <c r="X630" s="4"/>
      <c r="Y630" s="4"/>
      <c r="Z630" s="4"/>
      <c r="AA630" s="4"/>
    </row>
    <row r="631" ht="15.75" customHeight="1">
      <c r="U631" s="4"/>
      <c r="V631" s="4"/>
      <c r="W631" s="4"/>
      <c r="X631" s="4"/>
      <c r="Y631" s="4"/>
      <c r="Z631" s="4"/>
      <c r="AA631" s="4"/>
    </row>
    <row r="632" ht="15.75" customHeight="1">
      <c r="U632" s="4"/>
      <c r="V632" s="4"/>
      <c r="W632" s="4"/>
      <c r="X632" s="4"/>
      <c r="Y632" s="4"/>
      <c r="Z632" s="4"/>
      <c r="AA632" s="4"/>
    </row>
    <row r="633" ht="15.75" customHeight="1">
      <c r="U633" s="4"/>
      <c r="V633" s="4"/>
      <c r="W633" s="4"/>
      <c r="X633" s="4"/>
      <c r="Y633" s="4"/>
      <c r="Z633" s="4"/>
      <c r="AA633" s="4"/>
    </row>
    <row r="634" ht="15.75" customHeight="1">
      <c r="U634" s="4"/>
      <c r="V634" s="4"/>
      <c r="W634" s="4"/>
      <c r="X634" s="4"/>
      <c r="Y634" s="4"/>
      <c r="Z634" s="4"/>
      <c r="AA634" s="4"/>
    </row>
    <row r="635" ht="15.75" customHeight="1">
      <c r="U635" s="4"/>
      <c r="V635" s="4"/>
      <c r="W635" s="4"/>
      <c r="X635" s="4"/>
      <c r="Y635" s="4"/>
      <c r="Z635" s="4"/>
      <c r="AA635" s="4"/>
    </row>
    <row r="636" ht="15.75" customHeight="1">
      <c r="U636" s="4"/>
      <c r="V636" s="4"/>
      <c r="W636" s="4"/>
      <c r="X636" s="4"/>
      <c r="Y636" s="4"/>
      <c r="Z636" s="4"/>
      <c r="AA636" s="4"/>
    </row>
    <row r="637" ht="15.75" customHeight="1">
      <c r="U637" s="4"/>
      <c r="V637" s="4"/>
      <c r="W637" s="4"/>
      <c r="X637" s="4"/>
      <c r="Y637" s="4"/>
      <c r="Z637" s="4"/>
      <c r="AA637" s="4"/>
    </row>
    <row r="638" ht="15.75" customHeight="1">
      <c r="U638" s="4"/>
      <c r="V638" s="4"/>
      <c r="W638" s="4"/>
      <c r="X638" s="4"/>
      <c r="Y638" s="4"/>
      <c r="Z638" s="4"/>
      <c r="AA638" s="4"/>
    </row>
    <row r="639" ht="15.75" customHeight="1">
      <c r="U639" s="4"/>
      <c r="V639" s="4"/>
      <c r="W639" s="4"/>
      <c r="X639" s="4"/>
      <c r="Y639" s="4"/>
      <c r="Z639" s="4"/>
      <c r="AA639" s="4"/>
    </row>
    <row r="640" ht="15.75" customHeight="1">
      <c r="U640" s="4"/>
      <c r="V640" s="4"/>
      <c r="W640" s="4"/>
      <c r="X640" s="4"/>
      <c r="Y640" s="4"/>
      <c r="Z640" s="4"/>
      <c r="AA640" s="4"/>
    </row>
    <row r="641" ht="15.75" customHeight="1">
      <c r="U641" s="4"/>
      <c r="V641" s="4"/>
      <c r="W641" s="4"/>
      <c r="X641" s="4"/>
      <c r="Y641" s="4"/>
      <c r="Z641" s="4"/>
      <c r="AA641" s="4"/>
    </row>
    <row r="642" ht="15.75" customHeight="1">
      <c r="U642" s="4"/>
      <c r="V642" s="4"/>
      <c r="W642" s="4"/>
      <c r="X642" s="4"/>
      <c r="Y642" s="4"/>
      <c r="Z642" s="4"/>
      <c r="AA642" s="4"/>
    </row>
    <row r="643" ht="15.75" customHeight="1">
      <c r="U643" s="4"/>
      <c r="V643" s="4"/>
      <c r="W643" s="4"/>
      <c r="X643" s="4"/>
      <c r="Y643" s="4"/>
      <c r="Z643" s="4"/>
      <c r="AA643" s="4"/>
    </row>
    <row r="644" ht="15.75" customHeight="1">
      <c r="U644" s="4"/>
      <c r="V644" s="4"/>
      <c r="W644" s="4"/>
      <c r="X644" s="4"/>
      <c r="Y644" s="4"/>
      <c r="Z644" s="4"/>
      <c r="AA644" s="4"/>
    </row>
    <row r="645" ht="15.75" customHeight="1">
      <c r="U645" s="4"/>
      <c r="V645" s="4"/>
      <c r="W645" s="4"/>
      <c r="X645" s="4"/>
      <c r="Y645" s="4"/>
      <c r="Z645" s="4"/>
      <c r="AA645" s="4"/>
    </row>
    <row r="646" ht="15.75" customHeight="1">
      <c r="U646" s="4"/>
      <c r="V646" s="4"/>
      <c r="W646" s="4"/>
      <c r="X646" s="4"/>
      <c r="Y646" s="4"/>
      <c r="Z646" s="4"/>
      <c r="AA646" s="4"/>
    </row>
    <row r="647" ht="15.75" customHeight="1">
      <c r="U647" s="4"/>
      <c r="V647" s="4"/>
      <c r="W647" s="4"/>
      <c r="X647" s="4"/>
      <c r="Y647" s="4"/>
      <c r="Z647" s="4"/>
      <c r="AA647" s="4"/>
    </row>
    <row r="648" ht="15.75" customHeight="1">
      <c r="U648" s="4"/>
      <c r="V648" s="4"/>
      <c r="W648" s="4"/>
      <c r="X648" s="4"/>
      <c r="Y648" s="4"/>
      <c r="Z648" s="4"/>
      <c r="AA648" s="4"/>
    </row>
    <row r="649" ht="15.75" customHeight="1">
      <c r="U649" s="4"/>
      <c r="V649" s="4"/>
      <c r="W649" s="4"/>
      <c r="X649" s="4"/>
      <c r="Y649" s="4"/>
      <c r="Z649" s="4"/>
      <c r="AA649" s="4"/>
    </row>
    <row r="650" ht="15.75" customHeight="1">
      <c r="U650" s="4"/>
      <c r="V650" s="4"/>
      <c r="W650" s="4"/>
      <c r="X650" s="4"/>
      <c r="Y650" s="4"/>
      <c r="Z650" s="4"/>
      <c r="AA650" s="4"/>
    </row>
    <row r="651" ht="15.75" customHeight="1">
      <c r="U651" s="4"/>
      <c r="V651" s="4"/>
      <c r="W651" s="4"/>
      <c r="X651" s="4"/>
      <c r="Y651" s="4"/>
      <c r="Z651" s="4"/>
      <c r="AA651" s="4"/>
    </row>
    <row r="652" ht="15.75" customHeight="1">
      <c r="U652" s="4"/>
      <c r="V652" s="4"/>
      <c r="W652" s="4"/>
      <c r="X652" s="4"/>
      <c r="Y652" s="4"/>
      <c r="Z652" s="4"/>
      <c r="AA652" s="4"/>
    </row>
    <row r="653" ht="15.75" customHeight="1">
      <c r="U653" s="4"/>
      <c r="V653" s="4"/>
      <c r="W653" s="4"/>
      <c r="X653" s="4"/>
      <c r="Y653" s="4"/>
      <c r="Z653" s="4"/>
      <c r="AA653" s="4"/>
    </row>
    <row r="654" ht="15.75" customHeight="1">
      <c r="U654" s="4"/>
      <c r="V654" s="4"/>
      <c r="W654" s="4"/>
      <c r="X654" s="4"/>
      <c r="Y654" s="4"/>
      <c r="Z654" s="4"/>
      <c r="AA654" s="4"/>
    </row>
    <row r="655" ht="15.75" customHeight="1">
      <c r="U655" s="4"/>
      <c r="V655" s="4"/>
      <c r="W655" s="4"/>
      <c r="X655" s="4"/>
      <c r="Y655" s="4"/>
      <c r="Z655" s="4"/>
      <c r="AA655" s="4"/>
    </row>
    <row r="656" ht="15.75" customHeight="1">
      <c r="U656" s="4"/>
      <c r="V656" s="4"/>
      <c r="W656" s="4"/>
      <c r="X656" s="4"/>
      <c r="Y656" s="4"/>
      <c r="Z656" s="4"/>
      <c r="AA656" s="4"/>
    </row>
    <row r="657" ht="15.75" customHeight="1">
      <c r="U657" s="4"/>
      <c r="V657" s="4"/>
      <c r="W657" s="4"/>
      <c r="X657" s="4"/>
      <c r="Y657" s="4"/>
      <c r="Z657" s="4"/>
      <c r="AA657" s="4"/>
    </row>
    <row r="658" ht="15.75" customHeight="1">
      <c r="U658" s="4"/>
      <c r="V658" s="4"/>
      <c r="W658" s="4"/>
      <c r="X658" s="4"/>
      <c r="Y658" s="4"/>
      <c r="Z658" s="4"/>
      <c r="AA658" s="4"/>
    </row>
    <row r="659" ht="15.75" customHeight="1">
      <c r="U659" s="4"/>
      <c r="V659" s="4"/>
      <c r="W659" s="4"/>
      <c r="X659" s="4"/>
      <c r="Y659" s="4"/>
      <c r="Z659" s="4"/>
      <c r="AA659" s="4"/>
    </row>
    <row r="660" ht="15.75" customHeight="1">
      <c r="U660" s="4"/>
      <c r="V660" s="4"/>
      <c r="W660" s="4"/>
      <c r="X660" s="4"/>
      <c r="Y660" s="4"/>
      <c r="Z660" s="4"/>
      <c r="AA660" s="4"/>
    </row>
    <row r="661" ht="15.75" customHeight="1">
      <c r="U661" s="4"/>
      <c r="V661" s="4"/>
      <c r="W661" s="4"/>
      <c r="X661" s="4"/>
      <c r="Y661" s="4"/>
      <c r="Z661" s="4"/>
      <c r="AA661" s="4"/>
    </row>
    <row r="662" ht="15.75" customHeight="1">
      <c r="U662" s="4"/>
      <c r="V662" s="4"/>
      <c r="W662" s="4"/>
      <c r="X662" s="4"/>
      <c r="Y662" s="4"/>
      <c r="Z662" s="4"/>
      <c r="AA662" s="4"/>
    </row>
    <row r="663" ht="15.75" customHeight="1">
      <c r="U663" s="4"/>
      <c r="V663" s="4"/>
      <c r="W663" s="4"/>
      <c r="X663" s="4"/>
      <c r="Y663" s="4"/>
      <c r="Z663" s="4"/>
      <c r="AA663" s="4"/>
    </row>
    <row r="664" ht="15.75" customHeight="1">
      <c r="U664" s="4"/>
      <c r="V664" s="4"/>
      <c r="W664" s="4"/>
      <c r="X664" s="4"/>
      <c r="Y664" s="4"/>
      <c r="Z664" s="4"/>
      <c r="AA664" s="4"/>
    </row>
    <row r="665" ht="15.75" customHeight="1">
      <c r="U665" s="4"/>
      <c r="V665" s="4"/>
      <c r="W665" s="4"/>
      <c r="X665" s="4"/>
      <c r="Y665" s="4"/>
      <c r="Z665" s="4"/>
      <c r="AA665" s="4"/>
    </row>
    <row r="666" ht="15.75" customHeight="1">
      <c r="U666" s="4"/>
      <c r="V666" s="4"/>
      <c r="W666" s="4"/>
      <c r="X666" s="4"/>
      <c r="Y666" s="4"/>
      <c r="Z666" s="4"/>
      <c r="AA666" s="4"/>
    </row>
    <row r="667" ht="15.75" customHeight="1">
      <c r="U667" s="4"/>
      <c r="V667" s="4"/>
      <c r="W667" s="4"/>
      <c r="X667" s="4"/>
      <c r="Y667" s="4"/>
      <c r="Z667" s="4"/>
      <c r="AA667" s="4"/>
    </row>
    <row r="668" ht="15.75" customHeight="1">
      <c r="U668" s="4"/>
      <c r="V668" s="4"/>
      <c r="W668" s="4"/>
      <c r="X668" s="4"/>
      <c r="Y668" s="4"/>
      <c r="Z668" s="4"/>
      <c r="AA668" s="4"/>
    </row>
    <row r="669" ht="15.75" customHeight="1">
      <c r="U669" s="4"/>
      <c r="V669" s="4"/>
      <c r="W669" s="4"/>
      <c r="X669" s="4"/>
      <c r="Y669" s="4"/>
      <c r="Z669" s="4"/>
      <c r="AA669" s="4"/>
    </row>
    <row r="670" ht="15.75" customHeight="1">
      <c r="U670" s="4"/>
      <c r="V670" s="4"/>
      <c r="W670" s="4"/>
      <c r="X670" s="4"/>
      <c r="Y670" s="4"/>
      <c r="Z670" s="4"/>
      <c r="AA670" s="4"/>
    </row>
    <row r="671" ht="15.75" customHeight="1">
      <c r="U671" s="4"/>
      <c r="V671" s="4"/>
      <c r="W671" s="4"/>
      <c r="X671" s="4"/>
      <c r="Y671" s="4"/>
      <c r="Z671" s="4"/>
      <c r="AA671" s="4"/>
    </row>
    <row r="672" ht="15.75" customHeight="1">
      <c r="U672" s="4"/>
      <c r="V672" s="4"/>
      <c r="W672" s="4"/>
      <c r="X672" s="4"/>
      <c r="Y672" s="4"/>
      <c r="Z672" s="4"/>
      <c r="AA672" s="4"/>
    </row>
    <row r="673" ht="15.75" customHeight="1">
      <c r="U673" s="4"/>
      <c r="V673" s="4"/>
      <c r="W673" s="4"/>
      <c r="X673" s="4"/>
      <c r="Y673" s="4"/>
      <c r="Z673" s="4"/>
      <c r="AA673" s="4"/>
    </row>
    <row r="674" ht="15.75" customHeight="1">
      <c r="U674" s="4"/>
      <c r="V674" s="4"/>
      <c r="W674" s="4"/>
      <c r="X674" s="4"/>
      <c r="Y674" s="4"/>
      <c r="Z674" s="4"/>
      <c r="AA674" s="4"/>
    </row>
    <row r="675" ht="15.75" customHeight="1">
      <c r="U675" s="4"/>
      <c r="V675" s="4"/>
      <c r="W675" s="4"/>
      <c r="X675" s="4"/>
      <c r="Y675" s="4"/>
      <c r="Z675" s="4"/>
      <c r="AA675" s="4"/>
    </row>
    <row r="676" ht="15.75" customHeight="1">
      <c r="U676" s="4"/>
      <c r="V676" s="4"/>
      <c r="W676" s="4"/>
      <c r="X676" s="4"/>
      <c r="Y676" s="4"/>
      <c r="Z676" s="4"/>
      <c r="AA676" s="4"/>
    </row>
    <row r="677" ht="15.75" customHeight="1">
      <c r="U677" s="4"/>
      <c r="V677" s="4"/>
      <c r="W677" s="4"/>
      <c r="X677" s="4"/>
      <c r="Y677" s="4"/>
      <c r="Z677" s="4"/>
      <c r="AA677" s="4"/>
    </row>
    <row r="678" ht="15.75" customHeight="1">
      <c r="U678" s="4"/>
      <c r="V678" s="4"/>
      <c r="W678" s="4"/>
      <c r="X678" s="4"/>
      <c r="Y678" s="4"/>
      <c r="Z678" s="4"/>
      <c r="AA678" s="4"/>
    </row>
    <row r="679" ht="15.75" customHeight="1">
      <c r="U679" s="4"/>
      <c r="V679" s="4"/>
      <c r="W679" s="4"/>
      <c r="X679" s="4"/>
      <c r="Y679" s="4"/>
      <c r="Z679" s="4"/>
      <c r="AA679" s="4"/>
    </row>
    <row r="680" ht="15.75" customHeight="1">
      <c r="U680" s="4"/>
      <c r="V680" s="4"/>
      <c r="W680" s="4"/>
      <c r="X680" s="4"/>
      <c r="Y680" s="4"/>
      <c r="Z680" s="4"/>
      <c r="AA680" s="4"/>
    </row>
    <row r="681" ht="15.75" customHeight="1">
      <c r="U681" s="4"/>
      <c r="V681" s="4"/>
      <c r="W681" s="4"/>
      <c r="X681" s="4"/>
      <c r="Y681" s="4"/>
      <c r="Z681" s="4"/>
      <c r="AA681" s="4"/>
    </row>
    <row r="682" ht="15.75" customHeight="1">
      <c r="U682" s="4"/>
      <c r="V682" s="4"/>
      <c r="W682" s="4"/>
      <c r="X682" s="4"/>
      <c r="Y682" s="4"/>
      <c r="Z682" s="4"/>
      <c r="AA682" s="4"/>
    </row>
    <row r="683" ht="15.75" customHeight="1">
      <c r="U683" s="4"/>
      <c r="V683" s="4"/>
      <c r="W683" s="4"/>
      <c r="X683" s="4"/>
      <c r="Y683" s="4"/>
      <c r="Z683" s="4"/>
      <c r="AA683" s="4"/>
    </row>
    <row r="684" ht="15.75" customHeight="1">
      <c r="U684" s="4"/>
      <c r="V684" s="4"/>
      <c r="W684" s="4"/>
      <c r="X684" s="4"/>
      <c r="Y684" s="4"/>
      <c r="Z684" s="4"/>
      <c r="AA684" s="4"/>
    </row>
    <row r="685" ht="15.75" customHeight="1">
      <c r="U685" s="4"/>
      <c r="V685" s="4"/>
      <c r="W685" s="4"/>
      <c r="X685" s="4"/>
      <c r="Y685" s="4"/>
      <c r="Z685" s="4"/>
      <c r="AA685" s="4"/>
    </row>
    <row r="686" ht="15.75" customHeight="1">
      <c r="U686" s="4"/>
      <c r="V686" s="4"/>
      <c r="W686" s="4"/>
      <c r="X686" s="4"/>
      <c r="Y686" s="4"/>
      <c r="Z686" s="4"/>
      <c r="AA686" s="4"/>
    </row>
    <row r="687" ht="15.75" customHeight="1">
      <c r="U687" s="4"/>
      <c r="V687" s="4"/>
      <c r="W687" s="4"/>
      <c r="X687" s="4"/>
      <c r="Y687" s="4"/>
      <c r="Z687" s="4"/>
      <c r="AA687" s="4"/>
    </row>
    <row r="688" ht="15.75" customHeight="1">
      <c r="U688" s="4"/>
      <c r="V688" s="4"/>
      <c r="W688" s="4"/>
      <c r="X688" s="4"/>
      <c r="Y688" s="4"/>
      <c r="Z688" s="4"/>
      <c r="AA688" s="4"/>
    </row>
    <row r="689" ht="15.75" customHeight="1">
      <c r="U689" s="4"/>
      <c r="V689" s="4"/>
      <c r="W689" s="4"/>
      <c r="X689" s="4"/>
      <c r="Y689" s="4"/>
      <c r="Z689" s="4"/>
      <c r="AA689" s="4"/>
    </row>
    <row r="690" ht="15.75" customHeight="1">
      <c r="U690" s="4"/>
      <c r="V690" s="4"/>
      <c r="W690" s="4"/>
      <c r="X690" s="4"/>
      <c r="Y690" s="4"/>
      <c r="Z690" s="4"/>
      <c r="AA690" s="4"/>
    </row>
    <row r="691" ht="15.75" customHeight="1">
      <c r="U691" s="4"/>
      <c r="V691" s="4"/>
      <c r="W691" s="4"/>
      <c r="X691" s="4"/>
      <c r="Y691" s="4"/>
      <c r="Z691" s="4"/>
      <c r="AA691" s="4"/>
    </row>
    <row r="692" ht="15.75" customHeight="1">
      <c r="U692" s="4"/>
      <c r="V692" s="4"/>
      <c r="W692" s="4"/>
      <c r="X692" s="4"/>
      <c r="Y692" s="4"/>
      <c r="Z692" s="4"/>
      <c r="AA692" s="4"/>
    </row>
    <row r="693" ht="15.75" customHeight="1">
      <c r="U693" s="4"/>
      <c r="V693" s="4"/>
      <c r="W693" s="4"/>
      <c r="X693" s="4"/>
      <c r="Y693" s="4"/>
      <c r="Z693" s="4"/>
      <c r="AA693" s="4"/>
    </row>
    <row r="694" ht="15.75" customHeight="1">
      <c r="U694" s="4"/>
      <c r="V694" s="4"/>
      <c r="W694" s="4"/>
      <c r="X694" s="4"/>
      <c r="Y694" s="4"/>
      <c r="Z694" s="4"/>
      <c r="AA694" s="4"/>
    </row>
    <row r="695" ht="15.75" customHeight="1">
      <c r="U695" s="4"/>
      <c r="V695" s="4"/>
      <c r="W695" s="4"/>
      <c r="X695" s="4"/>
      <c r="Y695" s="4"/>
      <c r="Z695" s="4"/>
      <c r="AA695" s="4"/>
    </row>
    <row r="696" ht="15.75" customHeight="1">
      <c r="U696" s="4"/>
      <c r="V696" s="4"/>
      <c r="W696" s="4"/>
      <c r="X696" s="4"/>
      <c r="Y696" s="4"/>
      <c r="Z696" s="4"/>
      <c r="AA696" s="4"/>
    </row>
    <row r="697" ht="15.75" customHeight="1">
      <c r="U697" s="4"/>
      <c r="V697" s="4"/>
      <c r="W697" s="4"/>
      <c r="X697" s="4"/>
      <c r="Y697" s="4"/>
      <c r="Z697" s="4"/>
      <c r="AA697" s="4"/>
    </row>
    <row r="698" ht="15.75" customHeight="1">
      <c r="U698" s="4"/>
      <c r="V698" s="4"/>
      <c r="W698" s="4"/>
      <c r="X698" s="4"/>
      <c r="Y698" s="4"/>
      <c r="Z698" s="4"/>
      <c r="AA698" s="4"/>
    </row>
    <row r="699" ht="15.75" customHeight="1">
      <c r="U699" s="4"/>
      <c r="V699" s="4"/>
      <c r="W699" s="4"/>
      <c r="X699" s="4"/>
      <c r="Y699" s="4"/>
      <c r="Z699" s="4"/>
      <c r="AA699" s="4"/>
    </row>
    <row r="700" ht="15.75" customHeight="1">
      <c r="U700" s="4"/>
      <c r="V700" s="4"/>
      <c r="W700" s="4"/>
      <c r="X700" s="4"/>
      <c r="Y700" s="4"/>
      <c r="Z700" s="4"/>
      <c r="AA700" s="4"/>
    </row>
    <row r="701" ht="15.75" customHeight="1">
      <c r="U701" s="4"/>
      <c r="V701" s="4"/>
      <c r="W701" s="4"/>
      <c r="X701" s="4"/>
      <c r="Y701" s="4"/>
      <c r="Z701" s="4"/>
      <c r="AA701" s="4"/>
    </row>
    <row r="702" ht="15.75" customHeight="1">
      <c r="U702" s="4"/>
      <c r="V702" s="4"/>
      <c r="W702" s="4"/>
      <c r="X702" s="4"/>
      <c r="Y702" s="4"/>
      <c r="Z702" s="4"/>
      <c r="AA702" s="4"/>
    </row>
    <row r="703" ht="15.75" customHeight="1">
      <c r="U703" s="4"/>
      <c r="V703" s="4"/>
      <c r="W703" s="4"/>
      <c r="X703" s="4"/>
      <c r="Y703" s="4"/>
      <c r="Z703" s="4"/>
      <c r="AA703" s="4"/>
    </row>
    <row r="704" ht="15.75" customHeight="1">
      <c r="U704" s="4"/>
      <c r="V704" s="4"/>
      <c r="W704" s="4"/>
      <c r="X704" s="4"/>
      <c r="Y704" s="4"/>
      <c r="Z704" s="4"/>
      <c r="AA704" s="4"/>
    </row>
    <row r="705" ht="15.75" customHeight="1">
      <c r="U705" s="4"/>
      <c r="V705" s="4"/>
      <c r="W705" s="4"/>
      <c r="X705" s="4"/>
      <c r="Y705" s="4"/>
      <c r="Z705" s="4"/>
      <c r="AA705" s="4"/>
    </row>
    <row r="706" ht="15.75" customHeight="1">
      <c r="U706" s="4"/>
      <c r="V706" s="4"/>
      <c r="W706" s="4"/>
      <c r="X706" s="4"/>
      <c r="Y706" s="4"/>
      <c r="Z706" s="4"/>
      <c r="AA706" s="4"/>
    </row>
    <row r="707" ht="15.75" customHeight="1">
      <c r="U707" s="4"/>
      <c r="V707" s="4"/>
      <c r="W707" s="4"/>
      <c r="X707" s="4"/>
      <c r="Y707" s="4"/>
      <c r="Z707" s="4"/>
      <c r="AA707" s="4"/>
    </row>
    <row r="708" ht="15.75" customHeight="1">
      <c r="U708" s="4"/>
      <c r="V708" s="4"/>
      <c r="W708" s="4"/>
      <c r="X708" s="4"/>
      <c r="Y708" s="4"/>
      <c r="Z708" s="4"/>
      <c r="AA708" s="4"/>
    </row>
    <row r="709" ht="15.75" customHeight="1">
      <c r="U709" s="4"/>
      <c r="V709" s="4"/>
      <c r="W709" s="4"/>
      <c r="X709" s="4"/>
      <c r="Y709" s="4"/>
      <c r="Z709" s="4"/>
      <c r="AA709" s="4"/>
    </row>
    <row r="710" ht="15.75" customHeight="1">
      <c r="U710" s="4"/>
      <c r="V710" s="4"/>
      <c r="W710" s="4"/>
      <c r="X710" s="4"/>
      <c r="Y710" s="4"/>
      <c r="Z710" s="4"/>
      <c r="AA710" s="4"/>
    </row>
    <row r="711" ht="15.75" customHeight="1">
      <c r="U711" s="4"/>
      <c r="V711" s="4"/>
      <c r="W711" s="4"/>
      <c r="X711" s="4"/>
      <c r="Y711" s="4"/>
      <c r="Z711" s="4"/>
      <c r="AA711" s="4"/>
    </row>
    <row r="712" ht="15.75" customHeight="1">
      <c r="U712" s="4"/>
      <c r="V712" s="4"/>
      <c r="W712" s="4"/>
      <c r="X712" s="4"/>
      <c r="Y712" s="4"/>
      <c r="Z712" s="4"/>
      <c r="AA712" s="4"/>
    </row>
    <row r="713" ht="15.75" customHeight="1">
      <c r="U713" s="4"/>
      <c r="V713" s="4"/>
      <c r="W713" s="4"/>
      <c r="X713" s="4"/>
      <c r="Y713" s="4"/>
      <c r="Z713" s="4"/>
      <c r="AA713" s="4"/>
    </row>
    <row r="714" ht="15.75" customHeight="1">
      <c r="U714" s="4"/>
      <c r="V714" s="4"/>
      <c r="W714" s="4"/>
      <c r="X714" s="4"/>
      <c r="Y714" s="4"/>
      <c r="Z714" s="4"/>
      <c r="AA714" s="4"/>
    </row>
    <row r="715" ht="15.75" customHeight="1">
      <c r="U715" s="4"/>
      <c r="V715" s="4"/>
      <c r="W715" s="4"/>
      <c r="X715" s="4"/>
      <c r="Y715" s="4"/>
      <c r="Z715" s="4"/>
      <c r="AA715" s="4"/>
    </row>
    <row r="716" ht="15.75" customHeight="1">
      <c r="U716" s="4"/>
      <c r="V716" s="4"/>
      <c r="W716" s="4"/>
      <c r="X716" s="4"/>
      <c r="Y716" s="4"/>
      <c r="Z716" s="4"/>
      <c r="AA716" s="4"/>
    </row>
    <row r="717" ht="15.75" customHeight="1">
      <c r="U717" s="4"/>
      <c r="V717" s="4"/>
      <c r="W717" s="4"/>
      <c r="X717" s="4"/>
      <c r="Y717" s="4"/>
      <c r="Z717" s="4"/>
      <c r="AA717" s="4"/>
    </row>
    <row r="718" ht="15.75" customHeight="1">
      <c r="U718" s="4"/>
      <c r="V718" s="4"/>
      <c r="W718" s="4"/>
      <c r="X718" s="4"/>
      <c r="Y718" s="4"/>
      <c r="Z718" s="4"/>
      <c r="AA718" s="4"/>
    </row>
    <row r="719" ht="15.75" customHeight="1">
      <c r="U719" s="4"/>
      <c r="V719" s="4"/>
      <c r="W719" s="4"/>
      <c r="X719" s="4"/>
      <c r="Y719" s="4"/>
      <c r="Z719" s="4"/>
      <c r="AA719" s="4"/>
    </row>
    <row r="720" ht="15.75" customHeight="1">
      <c r="U720" s="4"/>
      <c r="V720" s="4"/>
      <c r="W720" s="4"/>
      <c r="X720" s="4"/>
      <c r="Y720" s="4"/>
      <c r="Z720" s="4"/>
      <c r="AA720" s="4"/>
    </row>
    <row r="721" ht="15.75" customHeight="1">
      <c r="U721" s="4"/>
      <c r="V721" s="4"/>
      <c r="W721" s="4"/>
      <c r="X721" s="4"/>
      <c r="Y721" s="4"/>
      <c r="Z721" s="4"/>
      <c r="AA721" s="4"/>
    </row>
    <row r="722" ht="15.75" customHeight="1">
      <c r="U722" s="4"/>
      <c r="V722" s="4"/>
      <c r="W722" s="4"/>
      <c r="X722" s="4"/>
      <c r="Y722" s="4"/>
      <c r="Z722" s="4"/>
      <c r="AA722" s="4"/>
    </row>
    <row r="723" ht="15.75" customHeight="1">
      <c r="U723" s="4"/>
      <c r="V723" s="4"/>
      <c r="W723" s="4"/>
      <c r="X723" s="4"/>
      <c r="Y723" s="4"/>
      <c r="Z723" s="4"/>
      <c r="AA723" s="4"/>
    </row>
    <row r="724" ht="15.75" customHeight="1">
      <c r="U724" s="4"/>
      <c r="V724" s="4"/>
      <c r="W724" s="4"/>
      <c r="X724" s="4"/>
      <c r="Y724" s="4"/>
      <c r="Z724" s="4"/>
      <c r="AA724" s="4"/>
    </row>
    <row r="725" ht="15.75" customHeight="1">
      <c r="U725" s="4"/>
      <c r="V725" s="4"/>
      <c r="W725" s="4"/>
      <c r="X725" s="4"/>
      <c r="Y725" s="4"/>
      <c r="Z725" s="4"/>
      <c r="AA725" s="4"/>
    </row>
    <row r="726" ht="15.75" customHeight="1">
      <c r="U726" s="4"/>
      <c r="V726" s="4"/>
      <c r="W726" s="4"/>
      <c r="X726" s="4"/>
      <c r="Y726" s="4"/>
      <c r="Z726" s="4"/>
      <c r="AA726" s="4"/>
    </row>
    <row r="727" ht="15.75" customHeight="1">
      <c r="U727" s="4"/>
      <c r="V727" s="4"/>
      <c r="W727" s="4"/>
      <c r="X727" s="4"/>
      <c r="Y727" s="4"/>
      <c r="Z727" s="4"/>
      <c r="AA727" s="4"/>
    </row>
    <row r="728" ht="15.75" customHeight="1">
      <c r="U728" s="4"/>
      <c r="V728" s="4"/>
      <c r="W728" s="4"/>
      <c r="X728" s="4"/>
      <c r="Y728" s="4"/>
      <c r="Z728" s="4"/>
      <c r="AA728" s="4"/>
    </row>
    <row r="729" ht="15.75" customHeight="1">
      <c r="U729" s="4"/>
      <c r="V729" s="4"/>
      <c r="W729" s="4"/>
      <c r="X729" s="4"/>
      <c r="Y729" s="4"/>
      <c r="Z729" s="4"/>
      <c r="AA729" s="4"/>
    </row>
    <row r="730" ht="15.75" customHeight="1">
      <c r="U730" s="4"/>
      <c r="V730" s="4"/>
      <c r="W730" s="4"/>
      <c r="X730" s="4"/>
      <c r="Y730" s="4"/>
      <c r="Z730" s="4"/>
      <c r="AA730" s="4"/>
    </row>
    <row r="731" ht="15.75" customHeight="1">
      <c r="U731" s="4"/>
      <c r="V731" s="4"/>
      <c r="W731" s="4"/>
      <c r="X731" s="4"/>
      <c r="Y731" s="4"/>
      <c r="Z731" s="4"/>
      <c r="AA731" s="4"/>
    </row>
    <row r="732" ht="15.75" customHeight="1">
      <c r="U732" s="4"/>
      <c r="V732" s="4"/>
      <c r="W732" s="4"/>
      <c r="X732" s="4"/>
      <c r="Y732" s="4"/>
      <c r="Z732" s="4"/>
      <c r="AA732" s="4"/>
    </row>
    <row r="733" ht="15.75" customHeight="1">
      <c r="U733" s="4"/>
      <c r="V733" s="4"/>
      <c r="W733" s="4"/>
      <c r="X733" s="4"/>
      <c r="Y733" s="4"/>
      <c r="Z733" s="4"/>
      <c r="AA733" s="4"/>
    </row>
    <row r="734" ht="15.75" customHeight="1">
      <c r="U734" s="4"/>
      <c r="V734" s="4"/>
      <c r="W734" s="4"/>
      <c r="X734" s="4"/>
      <c r="Y734" s="4"/>
      <c r="Z734" s="4"/>
      <c r="AA734" s="4"/>
    </row>
    <row r="735" ht="15.75" customHeight="1">
      <c r="U735" s="4"/>
      <c r="V735" s="4"/>
      <c r="W735" s="4"/>
      <c r="X735" s="4"/>
      <c r="Y735" s="4"/>
      <c r="Z735" s="4"/>
      <c r="AA735" s="4"/>
    </row>
    <row r="736" ht="15.75" customHeight="1">
      <c r="U736" s="4"/>
      <c r="V736" s="4"/>
      <c r="W736" s="4"/>
      <c r="X736" s="4"/>
      <c r="Y736" s="4"/>
      <c r="Z736" s="4"/>
      <c r="AA736" s="4"/>
    </row>
    <row r="737" ht="15.75" customHeight="1">
      <c r="U737" s="4"/>
      <c r="V737" s="4"/>
      <c r="W737" s="4"/>
      <c r="X737" s="4"/>
      <c r="Y737" s="4"/>
      <c r="Z737" s="4"/>
      <c r="AA737" s="4"/>
    </row>
    <row r="738" ht="15.75" customHeight="1">
      <c r="U738" s="4"/>
      <c r="V738" s="4"/>
      <c r="W738" s="4"/>
      <c r="X738" s="4"/>
      <c r="Y738" s="4"/>
      <c r="Z738" s="4"/>
      <c r="AA738" s="4"/>
    </row>
    <row r="739" ht="15.75" customHeight="1">
      <c r="U739" s="4"/>
      <c r="V739" s="4"/>
      <c r="W739" s="4"/>
      <c r="X739" s="4"/>
      <c r="Y739" s="4"/>
      <c r="Z739" s="4"/>
      <c r="AA739" s="4"/>
    </row>
    <row r="740" ht="15.75" customHeight="1">
      <c r="U740" s="4"/>
      <c r="V740" s="4"/>
      <c r="W740" s="4"/>
      <c r="X740" s="4"/>
      <c r="Y740" s="4"/>
      <c r="Z740" s="4"/>
      <c r="AA740" s="4"/>
    </row>
    <row r="741" ht="15.75" customHeight="1">
      <c r="U741" s="4"/>
      <c r="V741" s="4"/>
      <c r="W741" s="4"/>
      <c r="X741" s="4"/>
      <c r="Y741" s="4"/>
      <c r="Z741" s="4"/>
      <c r="AA741" s="4"/>
    </row>
    <row r="742" ht="15.75" customHeight="1">
      <c r="U742" s="4"/>
      <c r="V742" s="4"/>
      <c r="W742" s="4"/>
      <c r="X742" s="4"/>
      <c r="Y742" s="4"/>
      <c r="Z742" s="4"/>
      <c r="AA742" s="4"/>
    </row>
    <row r="743" ht="15.75" customHeight="1">
      <c r="U743" s="4"/>
      <c r="V743" s="4"/>
      <c r="W743" s="4"/>
      <c r="X743" s="4"/>
      <c r="Y743" s="4"/>
      <c r="Z743" s="4"/>
      <c r="AA743" s="4"/>
    </row>
    <row r="744" ht="15.75" customHeight="1">
      <c r="U744" s="4"/>
      <c r="V744" s="4"/>
      <c r="W744" s="4"/>
      <c r="X744" s="4"/>
      <c r="Y744" s="4"/>
      <c r="Z744" s="4"/>
      <c r="AA744" s="4"/>
    </row>
    <row r="745" ht="15.75" customHeight="1">
      <c r="U745" s="4"/>
      <c r="V745" s="4"/>
      <c r="W745" s="4"/>
      <c r="X745" s="4"/>
      <c r="Y745" s="4"/>
      <c r="Z745" s="4"/>
      <c r="AA745" s="4"/>
    </row>
    <row r="746" ht="15.75" customHeight="1">
      <c r="U746" s="4"/>
      <c r="V746" s="4"/>
      <c r="W746" s="4"/>
      <c r="X746" s="4"/>
      <c r="Y746" s="4"/>
      <c r="Z746" s="4"/>
      <c r="AA746" s="4"/>
    </row>
    <row r="747" ht="15.75" customHeight="1">
      <c r="U747" s="4"/>
      <c r="V747" s="4"/>
      <c r="W747" s="4"/>
      <c r="X747" s="4"/>
      <c r="Y747" s="4"/>
      <c r="Z747" s="4"/>
      <c r="AA747" s="4"/>
    </row>
    <row r="748" ht="15.75" customHeight="1">
      <c r="U748" s="4"/>
      <c r="V748" s="4"/>
      <c r="W748" s="4"/>
      <c r="X748" s="4"/>
      <c r="Y748" s="4"/>
      <c r="Z748" s="4"/>
      <c r="AA748" s="4"/>
    </row>
    <row r="749" ht="15.75" customHeight="1">
      <c r="U749" s="4"/>
      <c r="V749" s="4"/>
      <c r="W749" s="4"/>
      <c r="X749" s="4"/>
      <c r="Y749" s="4"/>
      <c r="Z749" s="4"/>
      <c r="AA749" s="4"/>
    </row>
    <row r="750" ht="15.75" customHeight="1">
      <c r="U750" s="4"/>
      <c r="V750" s="4"/>
      <c r="W750" s="4"/>
      <c r="X750" s="4"/>
      <c r="Y750" s="4"/>
      <c r="Z750" s="4"/>
      <c r="AA750" s="4"/>
    </row>
    <row r="751" ht="15.75" customHeight="1">
      <c r="U751" s="4"/>
      <c r="V751" s="4"/>
      <c r="W751" s="4"/>
      <c r="X751" s="4"/>
      <c r="Y751" s="4"/>
      <c r="Z751" s="4"/>
      <c r="AA751" s="4"/>
    </row>
    <row r="752" ht="15.75" customHeight="1">
      <c r="U752" s="4"/>
      <c r="V752" s="4"/>
      <c r="W752" s="4"/>
      <c r="X752" s="4"/>
      <c r="Y752" s="4"/>
      <c r="Z752" s="4"/>
      <c r="AA752" s="4"/>
    </row>
    <row r="753" ht="15.75" customHeight="1">
      <c r="U753" s="4"/>
      <c r="V753" s="4"/>
      <c r="W753" s="4"/>
      <c r="X753" s="4"/>
      <c r="Y753" s="4"/>
      <c r="Z753" s="4"/>
      <c r="AA753" s="4"/>
    </row>
    <row r="754" ht="15.75" customHeight="1">
      <c r="U754" s="4"/>
      <c r="V754" s="4"/>
      <c r="W754" s="4"/>
      <c r="X754" s="4"/>
      <c r="Y754" s="4"/>
      <c r="Z754" s="4"/>
      <c r="AA754" s="4"/>
    </row>
    <row r="755" ht="15.75" customHeight="1">
      <c r="U755" s="4"/>
      <c r="V755" s="4"/>
      <c r="W755" s="4"/>
      <c r="X755" s="4"/>
      <c r="Y755" s="4"/>
      <c r="Z755" s="4"/>
      <c r="AA755" s="4"/>
    </row>
    <row r="756" ht="15.75" customHeight="1">
      <c r="U756" s="4"/>
      <c r="V756" s="4"/>
      <c r="W756" s="4"/>
      <c r="X756" s="4"/>
      <c r="Y756" s="4"/>
      <c r="Z756" s="4"/>
      <c r="AA756" s="4"/>
    </row>
    <row r="757" ht="15.75" customHeight="1">
      <c r="U757" s="4"/>
      <c r="V757" s="4"/>
      <c r="W757" s="4"/>
      <c r="X757" s="4"/>
      <c r="Y757" s="4"/>
      <c r="Z757" s="4"/>
      <c r="AA757" s="4"/>
    </row>
    <row r="758" ht="15.75" customHeight="1">
      <c r="U758" s="4"/>
      <c r="V758" s="4"/>
      <c r="W758" s="4"/>
      <c r="X758" s="4"/>
      <c r="Y758" s="4"/>
      <c r="Z758" s="4"/>
      <c r="AA758" s="4"/>
    </row>
    <row r="759" ht="15.75" customHeight="1">
      <c r="U759" s="4"/>
      <c r="V759" s="4"/>
      <c r="W759" s="4"/>
      <c r="X759" s="4"/>
      <c r="Y759" s="4"/>
      <c r="Z759" s="4"/>
      <c r="AA759" s="4"/>
    </row>
    <row r="760" ht="15.75" customHeight="1">
      <c r="U760" s="4"/>
      <c r="V760" s="4"/>
      <c r="W760" s="4"/>
      <c r="X760" s="4"/>
      <c r="Y760" s="4"/>
      <c r="Z760" s="4"/>
      <c r="AA760" s="4"/>
    </row>
    <row r="761" ht="15.75" customHeight="1">
      <c r="U761" s="4"/>
      <c r="V761" s="4"/>
      <c r="W761" s="4"/>
      <c r="X761" s="4"/>
      <c r="Y761" s="4"/>
      <c r="Z761" s="4"/>
      <c r="AA761" s="4"/>
    </row>
    <row r="762" ht="15.75" customHeight="1">
      <c r="U762" s="4"/>
      <c r="V762" s="4"/>
      <c r="W762" s="4"/>
      <c r="X762" s="4"/>
      <c r="Y762" s="4"/>
      <c r="Z762" s="4"/>
      <c r="AA762" s="4"/>
    </row>
    <row r="763" ht="15.75" customHeight="1">
      <c r="U763" s="4"/>
      <c r="V763" s="4"/>
      <c r="W763" s="4"/>
      <c r="X763" s="4"/>
      <c r="Y763" s="4"/>
      <c r="Z763" s="4"/>
      <c r="AA763" s="4"/>
    </row>
    <row r="764" ht="15.75" customHeight="1">
      <c r="U764" s="4"/>
      <c r="V764" s="4"/>
      <c r="W764" s="4"/>
      <c r="X764" s="4"/>
      <c r="Y764" s="4"/>
      <c r="Z764" s="4"/>
      <c r="AA764" s="4"/>
    </row>
    <row r="765" ht="15.75" customHeight="1">
      <c r="U765" s="4"/>
      <c r="V765" s="4"/>
      <c r="W765" s="4"/>
      <c r="X765" s="4"/>
      <c r="Y765" s="4"/>
      <c r="Z765" s="4"/>
      <c r="AA765" s="4"/>
    </row>
    <row r="766" ht="15.75" customHeight="1">
      <c r="U766" s="4"/>
      <c r="V766" s="4"/>
      <c r="W766" s="4"/>
      <c r="X766" s="4"/>
      <c r="Y766" s="4"/>
      <c r="Z766" s="4"/>
      <c r="AA766" s="4"/>
    </row>
    <row r="767" ht="15.75" customHeight="1">
      <c r="U767" s="4"/>
      <c r="V767" s="4"/>
      <c r="W767" s="4"/>
      <c r="X767" s="4"/>
      <c r="Y767" s="4"/>
      <c r="Z767" s="4"/>
      <c r="AA767" s="4"/>
    </row>
    <row r="768" ht="15.75" customHeight="1">
      <c r="U768" s="4"/>
      <c r="V768" s="4"/>
      <c r="W768" s="4"/>
      <c r="X768" s="4"/>
      <c r="Y768" s="4"/>
      <c r="Z768" s="4"/>
      <c r="AA768" s="4"/>
    </row>
    <row r="769" ht="15.75" customHeight="1">
      <c r="U769" s="4"/>
      <c r="V769" s="4"/>
      <c r="W769" s="4"/>
      <c r="X769" s="4"/>
      <c r="Y769" s="4"/>
      <c r="Z769" s="4"/>
      <c r="AA769" s="4"/>
    </row>
    <row r="770" ht="15.75" customHeight="1">
      <c r="U770" s="4"/>
      <c r="V770" s="4"/>
      <c r="W770" s="4"/>
      <c r="X770" s="4"/>
      <c r="Y770" s="4"/>
      <c r="Z770" s="4"/>
      <c r="AA770" s="4"/>
    </row>
    <row r="771" ht="15.75" customHeight="1">
      <c r="U771" s="4"/>
      <c r="V771" s="4"/>
      <c r="W771" s="4"/>
      <c r="X771" s="4"/>
      <c r="Y771" s="4"/>
      <c r="Z771" s="4"/>
      <c r="AA771" s="4"/>
    </row>
    <row r="772" ht="15.75" customHeight="1">
      <c r="U772" s="4"/>
      <c r="V772" s="4"/>
      <c r="W772" s="4"/>
      <c r="X772" s="4"/>
      <c r="Y772" s="4"/>
      <c r="Z772" s="4"/>
      <c r="AA772" s="4"/>
    </row>
    <row r="773" ht="15.75" customHeight="1">
      <c r="U773" s="4"/>
      <c r="V773" s="4"/>
      <c r="W773" s="4"/>
      <c r="X773" s="4"/>
      <c r="Y773" s="4"/>
      <c r="Z773" s="4"/>
      <c r="AA773" s="4"/>
    </row>
    <row r="774" ht="15.75" customHeight="1">
      <c r="U774" s="4"/>
      <c r="V774" s="4"/>
      <c r="W774" s="4"/>
      <c r="X774" s="4"/>
      <c r="Y774" s="4"/>
      <c r="Z774" s="4"/>
      <c r="AA774" s="4"/>
    </row>
    <row r="775" ht="15.75" customHeight="1">
      <c r="U775" s="4"/>
      <c r="V775" s="4"/>
      <c r="W775" s="4"/>
      <c r="X775" s="4"/>
      <c r="Y775" s="4"/>
      <c r="Z775" s="4"/>
      <c r="AA775" s="4"/>
    </row>
    <row r="776" ht="15.75" customHeight="1">
      <c r="U776" s="4"/>
      <c r="V776" s="4"/>
      <c r="W776" s="4"/>
      <c r="X776" s="4"/>
      <c r="Y776" s="4"/>
      <c r="Z776" s="4"/>
      <c r="AA776" s="4"/>
    </row>
    <row r="777" ht="15.75" customHeight="1">
      <c r="U777" s="4"/>
      <c r="V777" s="4"/>
      <c r="W777" s="4"/>
      <c r="X777" s="4"/>
      <c r="Y777" s="4"/>
      <c r="Z777" s="4"/>
      <c r="AA777" s="4"/>
    </row>
    <row r="778" ht="15.75" customHeight="1">
      <c r="U778" s="4"/>
      <c r="V778" s="4"/>
      <c r="W778" s="4"/>
      <c r="X778" s="4"/>
      <c r="Y778" s="4"/>
      <c r="Z778" s="4"/>
      <c r="AA778" s="4"/>
    </row>
    <row r="779" ht="15.75" customHeight="1">
      <c r="U779" s="4"/>
      <c r="V779" s="4"/>
      <c r="W779" s="4"/>
      <c r="X779" s="4"/>
      <c r="Y779" s="4"/>
      <c r="Z779" s="4"/>
      <c r="AA779" s="4"/>
    </row>
    <row r="780" ht="15.75" customHeight="1">
      <c r="U780" s="4"/>
      <c r="V780" s="4"/>
      <c r="W780" s="4"/>
      <c r="X780" s="4"/>
      <c r="Y780" s="4"/>
      <c r="Z780" s="4"/>
      <c r="AA780" s="4"/>
    </row>
    <row r="781" ht="15.75" customHeight="1">
      <c r="U781" s="4"/>
      <c r="V781" s="4"/>
      <c r="W781" s="4"/>
      <c r="X781" s="4"/>
      <c r="Y781" s="4"/>
      <c r="Z781" s="4"/>
      <c r="AA781" s="4"/>
    </row>
    <row r="782" ht="15.75" customHeight="1">
      <c r="U782" s="4"/>
      <c r="V782" s="4"/>
      <c r="W782" s="4"/>
      <c r="X782" s="4"/>
      <c r="Y782" s="4"/>
      <c r="Z782" s="4"/>
      <c r="AA782" s="4"/>
    </row>
    <row r="783" ht="15.75" customHeight="1">
      <c r="U783" s="4"/>
      <c r="V783" s="4"/>
      <c r="W783" s="4"/>
      <c r="X783" s="4"/>
      <c r="Y783" s="4"/>
      <c r="Z783" s="4"/>
      <c r="AA783" s="4"/>
    </row>
    <row r="784" ht="15.75" customHeight="1">
      <c r="U784" s="4"/>
      <c r="V784" s="4"/>
      <c r="W784" s="4"/>
      <c r="X784" s="4"/>
      <c r="Y784" s="4"/>
      <c r="Z784" s="4"/>
      <c r="AA784" s="4"/>
    </row>
    <row r="785" ht="15.75" customHeight="1">
      <c r="U785" s="4"/>
      <c r="V785" s="4"/>
      <c r="W785" s="4"/>
      <c r="X785" s="4"/>
      <c r="Y785" s="4"/>
      <c r="Z785" s="4"/>
      <c r="AA785" s="4"/>
    </row>
    <row r="786" ht="15.75" customHeight="1">
      <c r="U786" s="4"/>
      <c r="V786" s="4"/>
      <c r="W786" s="4"/>
      <c r="X786" s="4"/>
      <c r="Y786" s="4"/>
      <c r="Z786" s="4"/>
      <c r="AA786" s="4"/>
    </row>
    <row r="787" ht="15.75" customHeight="1">
      <c r="U787" s="4"/>
      <c r="V787" s="4"/>
      <c r="W787" s="4"/>
      <c r="X787" s="4"/>
      <c r="Y787" s="4"/>
      <c r="Z787" s="4"/>
      <c r="AA787" s="4"/>
    </row>
    <row r="788" ht="15.75" customHeight="1">
      <c r="U788" s="4"/>
      <c r="V788" s="4"/>
      <c r="W788" s="4"/>
      <c r="X788" s="4"/>
      <c r="Y788" s="4"/>
      <c r="Z788" s="4"/>
      <c r="AA788" s="4"/>
    </row>
    <row r="789" ht="15.75" customHeight="1">
      <c r="U789" s="4"/>
      <c r="V789" s="4"/>
      <c r="W789" s="4"/>
      <c r="X789" s="4"/>
      <c r="Y789" s="4"/>
      <c r="Z789" s="4"/>
      <c r="AA789" s="4"/>
    </row>
    <row r="790" ht="15.75" customHeight="1">
      <c r="U790" s="4"/>
      <c r="V790" s="4"/>
      <c r="W790" s="4"/>
      <c r="X790" s="4"/>
      <c r="Y790" s="4"/>
      <c r="Z790" s="4"/>
      <c r="AA790" s="4"/>
    </row>
    <row r="791" ht="15.75" customHeight="1">
      <c r="U791" s="4"/>
      <c r="V791" s="4"/>
      <c r="W791" s="4"/>
      <c r="X791" s="4"/>
      <c r="Y791" s="4"/>
      <c r="Z791" s="4"/>
      <c r="AA791" s="4"/>
    </row>
    <row r="792" ht="15.75" customHeight="1">
      <c r="U792" s="4"/>
      <c r="V792" s="4"/>
      <c r="W792" s="4"/>
      <c r="X792" s="4"/>
      <c r="Y792" s="4"/>
      <c r="Z792" s="4"/>
      <c r="AA792" s="4"/>
    </row>
    <row r="793" ht="15.75" customHeight="1">
      <c r="U793" s="4"/>
      <c r="V793" s="4"/>
      <c r="W793" s="4"/>
      <c r="X793" s="4"/>
      <c r="Y793" s="4"/>
      <c r="Z793" s="4"/>
      <c r="AA793" s="4"/>
    </row>
    <row r="794" ht="15.75" customHeight="1">
      <c r="U794" s="4"/>
      <c r="V794" s="4"/>
      <c r="W794" s="4"/>
      <c r="X794" s="4"/>
      <c r="Y794" s="4"/>
      <c r="Z794" s="4"/>
      <c r="AA794" s="4"/>
    </row>
    <row r="795" ht="15.75" customHeight="1">
      <c r="U795" s="4"/>
      <c r="V795" s="4"/>
      <c r="W795" s="4"/>
      <c r="X795" s="4"/>
      <c r="Y795" s="4"/>
      <c r="Z795" s="4"/>
      <c r="AA795" s="4"/>
    </row>
    <row r="796" ht="15.75" customHeight="1">
      <c r="U796" s="4"/>
      <c r="V796" s="4"/>
      <c r="W796" s="4"/>
      <c r="X796" s="4"/>
      <c r="Y796" s="4"/>
      <c r="Z796" s="4"/>
      <c r="AA796" s="4"/>
    </row>
    <row r="797" ht="15.75" customHeight="1">
      <c r="U797" s="4"/>
      <c r="V797" s="4"/>
      <c r="W797" s="4"/>
      <c r="X797" s="4"/>
      <c r="Y797" s="4"/>
      <c r="Z797" s="4"/>
      <c r="AA797" s="4"/>
    </row>
    <row r="798" ht="15.75" customHeight="1">
      <c r="U798" s="4"/>
      <c r="V798" s="4"/>
      <c r="W798" s="4"/>
      <c r="X798" s="4"/>
      <c r="Y798" s="4"/>
      <c r="Z798" s="4"/>
      <c r="AA798" s="4"/>
    </row>
    <row r="799" ht="15.75" customHeight="1">
      <c r="U799" s="4"/>
      <c r="V799" s="4"/>
      <c r="W799" s="4"/>
      <c r="X799" s="4"/>
      <c r="Y799" s="4"/>
      <c r="Z799" s="4"/>
      <c r="AA799" s="4"/>
    </row>
    <row r="800" ht="15.75" customHeight="1">
      <c r="U800" s="4"/>
      <c r="V800" s="4"/>
      <c r="W800" s="4"/>
      <c r="X800" s="4"/>
      <c r="Y800" s="4"/>
      <c r="Z800" s="4"/>
      <c r="AA800" s="4"/>
    </row>
    <row r="801" ht="15.75" customHeight="1">
      <c r="U801" s="4"/>
      <c r="V801" s="4"/>
      <c r="W801" s="4"/>
      <c r="X801" s="4"/>
      <c r="Y801" s="4"/>
      <c r="Z801" s="4"/>
      <c r="AA801" s="4"/>
    </row>
    <row r="802" ht="15.75" customHeight="1">
      <c r="U802" s="4"/>
      <c r="V802" s="4"/>
      <c r="W802" s="4"/>
      <c r="X802" s="4"/>
      <c r="Y802" s="4"/>
      <c r="Z802" s="4"/>
      <c r="AA802" s="4"/>
    </row>
    <row r="803" ht="15.75" customHeight="1">
      <c r="U803" s="4"/>
      <c r="V803" s="4"/>
      <c r="W803" s="4"/>
      <c r="X803" s="4"/>
      <c r="Y803" s="4"/>
      <c r="Z803" s="4"/>
      <c r="AA803" s="4"/>
    </row>
    <row r="804" ht="15.75" customHeight="1">
      <c r="U804" s="4"/>
      <c r="V804" s="4"/>
      <c r="W804" s="4"/>
      <c r="X804" s="4"/>
      <c r="Y804" s="4"/>
      <c r="Z804" s="4"/>
      <c r="AA804" s="4"/>
    </row>
    <row r="805" ht="15.75" customHeight="1">
      <c r="U805" s="4"/>
      <c r="V805" s="4"/>
      <c r="W805" s="4"/>
      <c r="X805" s="4"/>
      <c r="Y805" s="4"/>
      <c r="Z805" s="4"/>
      <c r="AA805" s="4"/>
    </row>
    <row r="806" ht="15.75" customHeight="1">
      <c r="U806" s="4"/>
      <c r="V806" s="4"/>
      <c r="W806" s="4"/>
      <c r="X806" s="4"/>
      <c r="Y806" s="4"/>
      <c r="Z806" s="4"/>
      <c r="AA806" s="4"/>
    </row>
    <row r="807" ht="15.75" customHeight="1">
      <c r="U807" s="4"/>
      <c r="V807" s="4"/>
      <c r="W807" s="4"/>
      <c r="X807" s="4"/>
      <c r="Y807" s="4"/>
      <c r="Z807" s="4"/>
      <c r="AA807" s="4"/>
    </row>
    <row r="808" ht="15.75" customHeight="1">
      <c r="U808" s="4"/>
      <c r="V808" s="4"/>
      <c r="W808" s="4"/>
      <c r="X808" s="4"/>
      <c r="Y808" s="4"/>
      <c r="Z808" s="4"/>
      <c r="AA808" s="4"/>
    </row>
    <row r="809" ht="15.75" customHeight="1">
      <c r="U809" s="4"/>
      <c r="V809" s="4"/>
      <c r="W809" s="4"/>
      <c r="X809" s="4"/>
      <c r="Y809" s="4"/>
      <c r="Z809" s="4"/>
      <c r="AA809" s="4"/>
    </row>
    <row r="810" ht="15.75" customHeight="1">
      <c r="U810" s="4"/>
      <c r="V810" s="4"/>
      <c r="W810" s="4"/>
      <c r="X810" s="4"/>
      <c r="Y810" s="4"/>
      <c r="Z810" s="4"/>
      <c r="AA810" s="4"/>
    </row>
    <row r="811" ht="15.75" customHeight="1">
      <c r="U811" s="4"/>
      <c r="V811" s="4"/>
      <c r="W811" s="4"/>
      <c r="X811" s="4"/>
      <c r="Y811" s="4"/>
      <c r="Z811" s="4"/>
      <c r="AA811" s="4"/>
    </row>
    <row r="812" ht="15.75" customHeight="1">
      <c r="U812" s="4"/>
      <c r="V812" s="4"/>
      <c r="W812" s="4"/>
      <c r="X812" s="4"/>
      <c r="Y812" s="4"/>
      <c r="Z812" s="4"/>
      <c r="AA812" s="4"/>
    </row>
    <row r="813" ht="15.75" customHeight="1">
      <c r="U813" s="4"/>
      <c r="V813" s="4"/>
      <c r="W813" s="4"/>
      <c r="X813" s="4"/>
      <c r="Y813" s="4"/>
      <c r="Z813" s="4"/>
      <c r="AA813" s="4"/>
    </row>
    <row r="814" ht="15.75" customHeight="1">
      <c r="U814" s="4"/>
      <c r="V814" s="4"/>
      <c r="W814" s="4"/>
      <c r="X814" s="4"/>
      <c r="Y814" s="4"/>
      <c r="Z814" s="4"/>
      <c r="AA814" s="4"/>
    </row>
    <row r="815" ht="15.75" customHeight="1">
      <c r="U815" s="4"/>
      <c r="V815" s="4"/>
      <c r="W815" s="4"/>
      <c r="X815" s="4"/>
      <c r="Y815" s="4"/>
      <c r="Z815" s="4"/>
      <c r="AA815" s="4"/>
    </row>
    <row r="816" ht="15.75" customHeight="1">
      <c r="U816" s="4"/>
      <c r="V816" s="4"/>
      <c r="W816" s="4"/>
      <c r="X816" s="4"/>
      <c r="Y816" s="4"/>
      <c r="Z816" s="4"/>
      <c r="AA816" s="4"/>
    </row>
    <row r="817" ht="15.75" customHeight="1">
      <c r="U817" s="4"/>
      <c r="V817" s="4"/>
      <c r="W817" s="4"/>
      <c r="X817" s="4"/>
      <c r="Y817" s="4"/>
      <c r="Z817" s="4"/>
      <c r="AA817" s="4"/>
    </row>
    <row r="818" ht="15.75" customHeight="1">
      <c r="U818" s="4"/>
      <c r="V818" s="4"/>
      <c r="W818" s="4"/>
      <c r="X818" s="4"/>
      <c r="Y818" s="4"/>
      <c r="Z818" s="4"/>
      <c r="AA818" s="4"/>
    </row>
    <row r="819" ht="15.75" customHeight="1">
      <c r="U819" s="4"/>
      <c r="V819" s="4"/>
      <c r="W819" s="4"/>
      <c r="X819" s="4"/>
      <c r="Y819" s="4"/>
      <c r="Z819" s="4"/>
      <c r="AA819" s="4"/>
    </row>
    <row r="820" ht="15.75" customHeight="1">
      <c r="U820" s="4"/>
      <c r="V820" s="4"/>
      <c r="W820" s="4"/>
      <c r="X820" s="4"/>
      <c r="Y820" s="4"/>
      <c r="Z820" s="4"/>
      <c r="AA820" s="4"/>
    </row>
    <row r="821" ht="15.75" customHeight="1">
      <c r="U821" s="4"/>
      <c r="V821" s="4"/>
      <c r="W821" s="4"/>
      <c r="X821" s="4"/>
      <c r="Y821" s="4"/>
      <c r="Z821" s="4"/>
      <c r="AA821" s="4"/>
    </row>
    <row r="822" ht="15.75" customHeight="1">
      <c r="U822" s="4"/>
      <c r="V822" s="4"/>
      <c r="W822" s="4"/>
      <c r="X822" s="4"/>
      <c r="Y822" s="4"/>
      <c r="Z822" s="4"/>
      <c r="AA822" s="4"/>
    </row>
    <row r="823" ht="15.75" customHeight="1">
      <c r="U823" s="4"/>
      <c r="V823" s="4"/>
      <c r="W823" s="4"/>
      <c r="X823" s="4"/>
      <c r="Y823" s="4"/>
      <c r="Z823" s="4"/>
      <c r="AA823" s="4"/>
    </row>
    <row r="824" ht="15.75" customHeight="1">
      <c r="U824" s="4"/>
      <c r="V824" s="4"/>
      <c r="W824" s="4"/>
      <c r="X824" s="4"/>
      <c r="Y824" s="4"/>
      <c r="Z824" s="4"/>
      <c r="AA824" s="4"/>
    </row>
    <row r="825" ht="15.75" customHeight="1">
      <c r="U825" s="4"/>
      <c r="V825" s="4"/>
      <c r="W825" s="4"/>
      <c r="X825" s="4"/>
      <c r="Y825" s="4"/>
      <c r="Z825" s="4"/>
      <c r="AA825" s="4"/>
    </row>
    <row r="826" ht="15.75" customHeight="1">
      <c r="U826" s="4"/>
      <c r="V826" s="4"/>
      <c r="W826" s="4"/>
      <c r="X826" s="4"/>
      <c r="Y826" s="4"/>
      <c r="Z826" s="4"/>
      <c r="AA826" s="4"/>
    </row>
    <row r="827" ht="15.75" customHeight="1">
      <c r="U827" s="4"/>
      <c r="V827" s="4"/>
      <c r="W827" s="4"/>
      <c r="X827" s="4"/>
      <c r="Y827" s="4"/>
      <c r="Z827" s="4"/>
      <c r="AA827" s="4"/>
    </row>
    <row r="828" ht="15.75" customHeight="1">
      <c r="U828" s="4"/>
      <c r="V828" s="4"/>
      <c r="W828" s="4"/>
      <c r="X828" s="4"/>
      <c r="Y828" s="4"/>
      <c r="Z828" s="4"/>
      <c r="AA828" s="4"/>
    </row>
    <row r="829" ht="15.75" customHeight="1">
      <c r="U829" s="4"/>
      <c r="V829" s="4"/>
      <c r="W829" s="4"/>
      <c r="X829" s="4"/>
      <c r="Y829" s="4"/>
      <c r="Z829" s="4"/>
      <c r="AA829" s="4"/>
    </row>
    <row r="830" ht="15.75" customHeight="1">
      <c r="U830" s="4"/>
      <c r="V830" s="4"/>
      <c r="W830" s="4"/>
      <c r="X830" s="4"/>
      <c r="Y830" s="4"/>
      <c r="Z830" s="4"/>
      <c r="AA830" s="4"/>
    </row>
    <row r="831" ht="15.75" customHeight="1">
      <c r="U831" s="4"/>
      <c r="V831" s="4"/>
      <c r="W831" s="4"/>
      <c r="X831" s="4"/>
      <c r="Y831" s="4"/>
      <c r="Z831" s="4"/>
      <c r="AA831" s="4"/>
    </row>
    <row r="832" ht="15.75" customHeight="1">
      <c r="U832" s="4"/>
      <c r="V832" s="4"/>
      <c r="W832" s="4"/>
      <c r="X832" s="4"/>
      <c r="Y832" s="4"/>
      <c r="Z832" s="4"/>
      <c r="AA832" s="4"/>
    </row>
    <row r="833" ht="15.75" customHeight="1">
      <c r="U833" s="4"/>
      <c r="V833" s="4"/>
      <c r="W833" s="4"/>
      <c r="X833" s="4"/>
      <c r="Y833" s="4"/>
      <c r="Z833" s="4"/>
      <c r="AA833" s="4"/>
    </row>
    <row r="834" ht="15.75" customHeight="1">
      <c r="U834" s="4"/>
      <c r="V834" s="4"/>
      <c r="W834" s="4"/>
      <c r="X834" s="4"/>
      <c r="Y834" s="4"/>
      <c r="Z834" s="4"/>
      <c r="AA834" s="4"/>
    </row>
    <row r="835" ht="15.75" customHeight="1">
      <c r="U835" s="4"/>
      <c r="V835" s="4"/>
      <c r="W835" s="4"/>
      <c r="X835" s="4"/>
      <c r="Y835" s="4"/>
      <c r="Z835" s="4"/>
      <c r="AA835" s="4"/>
    </row>
    <row r="836" ht="15.75" customHeight="1">
      <c r="U836" s="4"/>
      <c r="V836" s="4"/>
      <c r="W836" s="4"/>
      <c r="X836" s="4"/>
      <c r="Y836" s="4"/>
      <c r="Z836" s="4"/>
      <c r="AA836" s="4"/>
    </row>
    <row r="837" ht="15.75" customHeight="1">
      <c r="U837" s="4"/>
      <c r="V837" s="4"/>
      <c r="W837" s="4"/>
      <c r="X837" s="4"/>
      <c r="Y837" s="4"/>
      <c r="Z837" s="4"/>
      <c r="AA837" s="4"/>
    </row>
    <row r="838" ht="15.75" customHeight="1">
      <c r="U838" s="4"/>
      <c r="V838" s="4"/>
      <c r="W838" s="4"/>
      <c r="X838" s="4"/>
      <c r="Y838" s="4"/>
      <c r="Z838" s="4"/>
      <c r="AA838" s="4"/>
    </row>
    <row r="839" ht="15.75" customHeight="1">
      <c r="U839" s="4"/>
      <c r="V839" s="4"/>
      <c r="W839" s="4"/>
      <c r="X839" s="4"/>
      <c r="Y839" s="4"/>
      <c r="Z839" s="4"/>
      <c r="AA839" s="4"/>
    </row>
    <row r="840" ht="15.75" customHeight="1">
      <c r="U840" s="4"/>
      <c r="V840" s="4"/>
      <c r="W840" s="4"/>
      <c r="X840" s="4"/>
      <c r="Y840" s="4"/>
      <c r="Z840" s="4"/>
      <c r="AA840" s="4"/>
    </row>
    <row r="841" ht="15.75" customHeight="1">
      <c r="U841" s="4"/>
      <c r="V841" s="4"/>
      <c r="W841" s="4"/>
      <c r="X841" s="4"/>
      <c r="Y841" s="4"/>
      <c r="Z841" s="4"/>
      <c r="AA841" s="4"/>
    </row>
    <row r="842" ht="15.75" customHeight="1">
      <c r="U842" s="4"/>
      <c r="V842" s="4"/>
      <c r="W842" s="4"/>
      <c r="X842" s="4"/>
      <c r="Y842" s="4"/>
      <c r="Z842" s="4"/>
      <c r="AA842" s="4"/>
    </row>
    <row r="843" ht="15.75" customHeight="1">
      <c r="U843" s="4"/>
      <c r="V843" s="4"/>
      <c r="W843" s="4"/>
      <c r="X843" s="4"/>
      <c r="Y843" s="4"/>
      <c r="Z843" s="4"/>
      <c r="AA843" s="4"/>
    </row>
    <row r="844" ht="15.75" customHeight="1">
      <c r="U844" s="4"/>
      <c r="V844" s="4"/>
      <c r="W844" s="4"/>
      <c r="X844" s="4"/>
      <c r="Y844" s="4"/>
      <c r="Z844" s="4"/>
      <c r="AA844" s="4"/>
    </row>
    <row r="845" ht="15.75" customHeight="1">
      <c r="U845" s="4"/>
      <c r="V845" s="4"/>
      <c r="W845" s="4"/>
      <c r="X845" s="4"/>
      <c r="Y845" s="4"/>
      <c r="Z845" s="4"/>
      <c r="AA845" s="4"/>
    </row>
    <row r="846" ht="15.75" customHeight="1">
      <c r="U846" s="4"/>
      <c r="V846" s="4"/>
      <c r="W846" s="4"/>
      <c r="X846" s="4"/>
      <c r="Y846" s="4"/>
      <c r="Z846" s="4"/>
      <c r="AA846" s="4"/>
    </row>
    <row r="847" ht="15.75" customHeight="1">
      <c r="U847" s="4"/>
      <c r="V847" s="4"/>
      <c r="W847" s="4"/>
      <c r="X847" s="4"/>
      <c r="Y847" s="4"/>
      <c r="Z847" s="4"/>
      <c r="AA847" s="4"/>
    </row>
    <row r="848" ht="15.75" customHeight="1">
      <c r="U848" s="4"/>
      <c r="V848" s="4"/>
      <c r="W848" s="4"/>
      <c r="X848" s="4"/>
      <c r="Y848" s="4"/>
      <c r="Z848" s="4"/>
      <c r="AA848" s="4"/>
    </row>
    <row r="849" ht="15.75" customHeight="1">
      <c r="U849" s="4"/>
      <c r="V849" s="4"/>
      <c r="W849" s="4"/>
      <c r="X849" s="4"/>
      <c r="Y849" s="4"/>
      <c r="Z849" s="4"/>
      <c r="AA849" s="4"/>
    </row>
    <row r="850" ht="15.75" customHeight="1">
      <c r="U850" s="4"/>
      <c r="V850" s="4"/>
      <c r="W850" s="4"/>
      <c r="X850" s="4"/>
      <c r="Y850" s="4"/>
      <c r="Z850" s="4"/>
      <c r="AA850" s="4"/>
    </row>
    <row r="851" ht="15.75" customHeight="1">
      <c r="U851" s="4"/>
      <c r="V851" s="4"/>
      <c r="W851" s="4"/>
      <c r="X851" s="4"/>
      <c r="Y851" s="4"/>
      <c r="Z851" s="4"/>
      <c r="AA851" s="4"/>
    </row>
    <row r="852" ht="15.75" customHeight="1">
      <c r="U852" s="4"/>
      <c r="V852" s="4"/>
      <c r="W852" s="4"/>
      <c r="X852" s="4"/>
      <c r="Y852" s="4"/>
      <c r="Z852" s="4"/>
      <c r="AA852" s="4"/>
    </row>
    <row r="853" ht="15.75" customHeight="1">
      <c r="U853" s="4"/>
      <c r="V853" s="4"/>
      <c r="W853" s="4"/>
      <c r="X853" s="4"/>
      <c r="Y853" s="4"/>
      <c r="Z853" s="4"/>
      <c r="AA853" s="4"/>
    </row>
    <row r="854" ht="15.75" customHeight="1">
      <c r="U854" s="4"/>
      <c r="V854" s="4"/>
      <c r="W854" s="4"/>
      <c r="X854" s="4"/>
      <c r="Y854" s="4"/>
      <c r="Z854" s="4"/>
      <c r="AA854" s="4"/>
    </row>
    <row r="855" ht="15.75" customHeight="1">
      <c r="U855" s="4"/>
      <c r="V855" s="4"/>
      <c r="W855" s="4"/>
      <c r="X855" s="4"/>
      <c r="Y855" s="4"/>
      <c r="Z855" s="4"/>
      <c r="AA855" s="4"/>
    </row>
    <row r="856" ht="15.75" customHeight="1">
      <c r="U856" s="4"/>
      <c r="V856" s="4"/>
      <c r="W856" s="4"/>
      <c r="X856" s="4"/>
      <c r="Y856" s="4"/>
      <c r="Z856" s="4"/>
      <c r="AA856" s="4"/>
    </row>
    <row r="857" ht="15.75" customHeight="1">
      <c r="U857" s="4"/>
      <c r="V857" s="4"/>
      <c r="W857" s="4"/>
      <c r="X857" s="4"/>
      <c r="Y857" s="4"/>
      <c r="Z857" s="4"/>
      <c r="AA857" s="4"/>
    </row>
    <row r="858" ht="15.75" customHeight="1">
      <c r="U858" s="4"/>
      <c r="V858" s="4"/>
      <c r="W858" s="4"/>
      <c r="X858" s="4"/>
      <c r="Y858" s="4"/>
      <c r="Z858" s="4"/>
      <c r="AA858" s="4"/>
    </row>
    <row r="859" ht="15.75" customHeight="1">
      <c r="U859" s="4"/>
      <c r="V859" s="4"/>
      <c r="W859" s="4"/>
      <c r="X859" s="4"/>
      <c r="Y859" s="4"/>
      <c r="Z859" s="4"/>
      <c r="AA859" s="4"/>
    </row>
    <row r="860" ht="15.75" customHeight="1">
      <c r="U860" s="4"/>
      <c r="V860" s="4"/>
      <c r="W860" s="4"/>
      <c r="X860" s="4"/>
      <c r="Y860" s="4"/>
      <c r="Z860" s="4"/>
      <c r="AA860" s="4"/>
    </row>
    <row r="861" ht="15.75" customHeight="1">
      <c r="U861" s="4"/>
      <c r="V861" s="4"/>
      <c r="W861" s="4"/>
      <c r="X861" s="4"/>
      <c r="Y861" s="4"/>
      <c r="Z861" s="4"/>
      <c r="AA861" s="4"/>
    </row>
    <row r="862" ht="15.75" customHeight="1">
      <c r="U862" s="4"/>
      <c r="V862" s="4"/>
      <c r="W862" s="4"/>
      <c r="X862" s="4"/>
      <c r="Y862" s="4"/>
      <c r="Z862" s="4"/>
      <c r="AA862" s="4"/>
    </row>
    <row r="863" ht="15.75" customHeight="1">
      <c r="U863" s="4"/>
      <c r="V863" s="4"/>
      <c r="W863" s="4"/>
      <c r="X863" s="4"/>
      <c r="Y863" s="4"/>
      <c r="Z863" s="4"/>
      <c r="AA863" s="4"/>
    </row>
    <row r="864" ht="15.75" customHeight="1">
      <c r="U864" s="4"/>
      <c r="V864" s="4"/>
      <c r="W864" s="4"/>
      <c r="X864" s="4"/>
      <c r="Y864" s="4"/>
      <c r="Z864" s="4"/>
      <c r="AA864" s="4"/>
    </row>
    <row r="865" ht="15.75" customHeight="1">
      <c r="U865" s="4"/>
      <c r="V865" s="4"/>
      <c r="W865" s="4"/>
      <c r="X865" s="4"/>
      <c r="Y865" s="4"/>
      <c r="Z865" s="4"/>
      <c r="AA865" s="4"/>
    </row>
    <row r="866" ht="15.75" customHeight="1">
      <c r="U866" s="4"/>
      <c r="V866" s="4"/>
      <c r="W866" s="4"/>
      <c r="X866" s="4"/>
      <c r="Y866" s="4"/>
      <c r="Z866" s="4"/>
      <c r="AA866" s="4"/>
    </row>
    <row r="867" ht="15.75" customHeight="1">
      <c r="U867" s="4"/>
      <c r="V867" s="4"/>
      <c r="W867" s="4"/>
      <c r="X867" s="4"/>
      <c r="Y867" s="4"/>
      <c r="Z867" s="4"/>
      <c r="AA867" s="4"/>
    </row>
    <row r="868" ht="15.75" customHeight="1">
      <c r="U868" s="4"/>
      <c r="V868" s="4"/>
      <c r="W868" s="4"/>
      <c r="X868" s="4"/>
      <c r="Y868" s="4"/>
      <c r="Z868" s="4"/>
      <c r="AA868" s="4"/>
    </row>
    <row r="869" ht="15.75" customHeight="1">
      <c r="U869" s="4"/>
      <c r="V869" s="4"/>
      <c r="W869" s="4"/>
      <c r="X869" s="4"/>
      <c r="Y869" s="4"/>
      <c r="Z869" s="4"/>
      <c r="AA869" s="4"/>
    </row>
    <row r="870" ht="15.75" customHeight="1">
      <c r="U870" s="4"/>
      <c r="V870" s="4"/>
      <c r="W870" s="4"/>
      <c r="X870" s="4"/>
      <c r="Y870" s="4"/>
      <c r="Z870" s="4"/>
      <c r="AA870" s="4"/>
    </row>
    <row r="871" ht="15.75" customHeight="1">
      <c r="U871" s="4"/>
      <c r="V871" s="4"/>
      <c r="W871" s="4"/>
      <c r="X871" s="4"/>
      <c r="Y871" s="4"/>
      <c r="Z871" s="4"/>
      <c r="AA871" s="4"/>
    </row>
    <row r="872" ht="15.75" customHeight="1">
      <c r="U872" s="4"/>
      <c r="V872" s="4"/>
      <c r="W872" s="4"/>
      <c r="X872" s="4"/>
      <c r="Y872" s="4"/>
      <c r="Z872" s="4"/>
      <c r="AA872" s="4"/>
    </row>
    <row r="873" ht="15.75" customHeight="1">
      <c r="U873" s="4"/>
      <c r="V873" s="4"/>
      <c r="W873" s="4"/>
      <c r="X873" s="4"/>
      <c r="Y873" s="4"/>
      <c r="Z873" s="4"/>
      <c r="AA873" s="4"/>
    </row>
    <row r="874" ht="15.75" customHeight="1">
      <c r="U874" s="4"/>
      <c r="V874" s="4"/>
      <c r="W874" s="4"/>
      <c r="X874" s="4"/>
      <c r="Y874" s="4"/>
      <c r="Z874" s="4"/>
      <c r="AA874" s="4"/>
    </row>
    <row r="875" ht="15.75" customHeight="1">
      <c r="U875" s="4"/>
      <c r="V875" s="4"/>
      <c r="W875" s="4"/>
      <c r="X875" s="4"/>
      <c r="Y875" s="4"/>
      <c r="Z875" s="4"/>
      <c r="AA875" s="4"/>
    </row>
    <row r="876" ht="15.75" customHeight="1">
      <c r="U876" s="4"/>
      <c r="V876" s="4"/>
      <c r="W876" s="4"/>
      <c r="X876" s="4"/>
      <c r="Y876" s="4"/>
      <c r="Z876" s="4"/>
      <c r="AA876" s="4"/>
    </row>
    <row r="877" ht="15.75" customHeight="1">
      <c r="U877" s="4"/>
      <c r="V877" s="4"/>
      <c r="W877" s="4"/>
      <c r="X877" s="4"/>
      <c r="Y877" s="4"/>
      <c r="Z877" s="4"/>
      <c r="AA877" s="4"/>
    </row>
    <row r="878" ht="15.75" customHeight="1">
      <c r="U878" s="4"/>
      <c r="V878" s="4"/>
      <c r="W878" s="4"/>
      <c r="X878" s="4"/>
      <c r="Y878" s="4"/>
      <c r="Z878" s="4"/>
      <c r="AA878" s="4"/>
    </row>
    <row r="879" ht="15.75" customHeight="1">
      <c r="U879" s="4"/>
      <c r="V879" s="4"/>
      <c r="W879" s="4"/>
      <c r="X879" s="4"/>
      <c r="Y879" s="4"/>
      <c r="Z879" s="4"/>
      <c r="AA879" s="4"/>
    </row>
    <row r="880" ht="15.75" customHeight="1">
      <c r="U880" s="4"/>
      <c r="V880" s="4"/>
      <c r="W880" s="4"/>
      <c r="X880" s="4"/>
      <c r="Y880" s="4"/>
      <c r="Z880" s="4"/>
      <c r="AA880" s="4"/>
    </row>
    <row r="881" ht="15.75" customHeight="1">
      <c r="U881" s="4"/>
      <c r="V881" s="4"/>
      <c r="W881" s="4"/>
      <c r="X881" s="4"/>
      <c r="Y881" s="4"/>
      <c r="Z881" s="4"/>
      <c r="AA881" s="4"/>
    </row>
    <row r="882" ht="15.75" customHeight="1">
      <c r="U882" s="4"/>
      <c r="V882" s="4"/>
      <c r="W882" s="4"/>
      <c r="X882" s="4"/>
      <c r="Y882" s="4"/>
      <c r="Z882" s="4"/>
      <c r="AA882" s="4"/>
    </row>
    <row r="883" ht="15.75" customHeight="1">
      <c r="U883" s="4"/>
      <c r="V883" s="4"/>
      <c r="W883" s="4"/>
      <c r="X883" s="4"/>
      <c r="Y883" s="4"/>
      <c r="Z883" s="4"/>
      <c r="AA883" s="4"/>
    </row>
    <row r="884" ht="15.75" customHeight="1">
      <c r="U884" s="4"/>
      <c r="V884" s="4"/>
      <c r="W884" s="4"/>
      <c r="X884" s="4"/>
      <c r="Y884" s="4"/>
      <c r="Z884" s="4"/>
      <c r="AA884" s="4"/>
    </row>
    <row r="885" ht="15.75" customHeight="1">
      <c r="U885" s="4"/>
      <c r="V885" s="4"/>
      <c r="W885" s="4"/>
      <c r="X885" s="4"/>
      <c r="Y885" s="4"/>
      <c r="Z885" s="4"/>
      <c r="AA885" s="4"/>
    </row>
    <row r="886" ht="15.75" customHeight="1">
      <c r="U886" s="4"/>
      <c r="V886" s="4"/>
      <c r="W886" s="4"/>
      <c r="X886" s="4"/>
      <c r="Y886" s="4"/>
      <c r="Z886" s="4"/>
      <c r="AA886" s="4"/>
    </row>
    <row r="887" ht="15.75" customHeight="1">
      <c r="U887" s="4"/>
      <c r="V887" s="4"/>
      <c r="W887" s="4"/>
      <c r="X887" s="4"/>
      <c r="Y887" s="4"/>
      <c r="Z887" s="4"/>
      <c r="AA887" s="4"/>
    </row>
    <row r="888" ht="15.75" customHeight="1">
      <c r="U888" s="4"/>
      <c r="V888" s="4"/>
      <c r="W888" s="4"/>
      <c r="X888" s="4"/>
      <c r="Y888" s="4"/>
      <c r="Z888" s="4"/>
      <c r="AA888" s="4"/>
    </row>
    <row r="889" ht="15.75" customHeight="1">
      <c r="U889" s="4"/>
      <c r="V889" s="4"/>
      <c r="W889" s="4"/>
      <c r="X889" s="4"/>
      <c r="Y889" s="4"/>
      <c r="Z889" s="4"/>
      <c r="AA889" s="4"/>
    </row>
    <row r="890" ht="15.75" customHeight="1">
      <c r="U890" s="4"/>
      <c r="V890" s="4"/>
      <c r="W890" s="4"/>
      <c r="X890" s="4"/>
      <c r="Y890" s="4"/>
      <c r="Z890" s="4"/>
      <c r="AA890" s="4"/>
    </row>
    <row r="891" ht="15.75" customHeight="1">
      <c r="U891" s="4"/>
      <c r="V891" s="4"/>
      <c r="W891" s="4"/>
      <c r="X891" s="4"/>
      <c r="Y891" s="4"/>
      <c r="Z891" s="4"/>
      <c r="AA891" s="4"/>
    </row>
    <row r="892" ht="15.75" customHeight="1">
      <c r="U892" s="4"/>
      <c r="V892" s="4"/>
      <c r="W892" s="4"/>
      <c r="X892" s="4"/>
      <c r="Y892" s="4"/>
      <c r="Z892" s="4"/>
      <c r="AA892" s="4"/>
    </row>
    <row r="893" ht="15.75" customHeight="1">
      <c r="U893" s="4"/>
      <c r="V893" s="4"/>
      <c r="W893" s="4"/>
      <c r="X893" s="4"/>
      <c r="Y893" s="4"/>
      <c r="Z893" s="4"/>
      <c r="AA893" s="4"/>
    </row>
    <row r="894" ht="15.75" customHeight="1">
      <c r="U894" s="4"/>
      <c r="V894" s="4"/>
      <c r="W894" s="4"/>
      <c r="X894" s="4"/>
      <c r="Y894" s="4"/>
      <c r="Z894" s="4"/>
      <c r="AA894" s="4"/>
    </row>
    <row r="895" ht="15.75" customHeight="1">
      <c r="U895" s="4"/>
      <c r="V895" s="4"/>
      <c r="W895" s="4"/>
      <c r="X895" s="4"/>
      <c r="Y895" s="4"/>
      <c r="Z895" s="4"/>
      <c r="AA895" s="4"/>
    </row>
    <row r="896" ht="15.75" customHeight="1">
      <c r="U896" s="4"/>
      <c r="V896" s="4"/>
      <c r="W896" s="4"/>
      <c r="X896" s="4"/>
      <c r="Y896" s="4"/>
      <c r="Z896" s="4"/>
      <c r="AA896" s="4"/>
    </row>
    <row r="897" ht="15.75" customHeight="1">
      <c r="U897" s="4"/>
      <c r="V897" s="4"/>
      <c r="W897" s="4"/>
      <c r="X897" s="4"/>
      <c r="Y897" s="4"/>
      <c r="Z897" s="4"/>
      <c r="AA897" s="4"/>
    </row>
    <row r="898" ht="15.75" customHeight="1">
      <c r="U898" s="4"/>
      <c r="V898" s="4"/>
      <c r="W898" s="4"/>
      <c r="X898" s="4"/>
      <c r="Y898" s="4"/>
      <c r="Z898" s="4"/>
      <c r="AA898" s="4"/>
    </row>
    <row r="899" ht="15.75" customHeight="1">
      <c r="U899" s="4"/>
      <c r="V899" s="4"/>
      <c r="W899" s="4"/>
      <c r="X899" s="4"/>
      <c r="Y899" s="4"/>
      <c r="Z899" s="4"/>
      <c r="AA899" s="4"/>
    </row>
    <row r="900" ht="15.75" customHeight="1">
      <c r="U900" s="4"/>
      <c r="V900" s="4"/>
      <c r="W900" s="4"/>
      <c r="X900" s="4"/>
      <c r="Y900" s="4"/>
      <c r="Z900" s="4"/>
      <c r="AA900" s="4"/>
    </row>
    <row r="901" ht="15.75" customHeight="1">
      <c r="U901" s="4"/>
      <c r="V901" s="4"/>
      <c r="W901" s="4"/>
      <c r="X901" s="4"/>
      <c r="Y901" s="4"/>
      <c r="Z901" s="4"/>
      <c r="AA901" s="4"/>
    </row>
    <row r="902" ht="15.75" customHeight="1">
      <c r="U902" s="4"/>
      <c r="V902" s="4"/>
      <c r="W902" s="4"/>
      <c r="X902" s="4"/>
      <c r="Y902" s="4"/>
      <c r="Z902" s="4"/>
      <c r="AA902" s="4"/>
    </row>
    <row r="903" ht="15.75" customHeight="1">
      <c r="U903" s="4"/>
      <c r="V903" s="4"/>
      <c r="W903" s="4"/>
      <c r="X903" s="4"/>
      <c r="Y903" s="4"/>
      <c r="Z903" s="4"/>
      <c r="AA903" s="4"/>
    </row>
    <row r="904" ht="15.75" customHeight="1">
      <c r="U904" s="4"/>
      <c r="V904" s="4"/>
      <c r="W904" s="4"/>
      <c r="X904" s="4"/>
      <c r="Y904" s="4"/>
      <c r="Z904" s="4"/>
      <c r="AA904" s="4"/>
    </row>
    <row r="905" ht="15.75" customHeight="1">
      <c r="U905" s="4"/>
      <c r="V905" s="4"/>
      <c r="W905" s="4"/>
      <c r="X905" s="4"/>
      <c r="Y905" s="4"/>
      <c r="Z905" s="4"/>
      <c r="AA905" s="4"/>
    </row>
    <row r="906" ht="15.75" customHeight="1">
      <c r="U906" s="4"/>
      <c r="V906" s="4"/>
      <c r="W906" s="4"/>
      <c r="X906" s="4"/>
      <c r="Y906" s="4"/>
      <c r="Z906" s="4"/>
      <c r="AA906" s="4"/>
    </row>
    <row r="907" ht="15.75" customHeight="1">
      <c r="U907" s="4"/>
      <c r="V907" s="4"/>
      <c r="W907" s="4"/>
      <c r="X907" s="4"/>
      <c r="Y907" s="4"/>
      <c r="Z907" s="4"/>
      <c r="AA907" s="4"/>
    </row>
    <row r="908" ht="15.75" customHeight="1">
      <c r="U908" s="4"/>
      <c r="V908" s="4"/>
      <c r="W908" s="4"/>
      <c r="X908" s="4"/>
      <c r="Y908" s="4"/>
      <c r="Z908" s="4"/>
      <c r="AA908" s="4"/>
    </row>
    <row r="909" ht="15.75" customHeight="1">
      <c r="U909" s="4"/>
      <c r="V909" s="4"/>
      <c r="W909" s="4"/>
      <c r="X909" s="4"/>
      <c r="Y909" s="4"/>
      <c r="Z909" s="4"/>
      <c r="AA909" s="4"/>
    </row>
    <row r="910" ht="15.75" customHeight="1">
      <c r="U910" s="4"/>
      <c r="V910" s="4"/>
      <c r="W910" s="4"/>
      <c r="X910" s="4"/>
      <c r="Y910" s="4"/>
      <c r="Z910" s="4"/>
      <c r="AA910" s="4"/>
    </row>
    <row r="911" ht="15.75" customHeight="1">
      <c r="U911" s="4"/>
      <c r="V911" s="4"/>
      <c r="W911" s="4"/>
      <c r="X911" s="4"/>
      <c r="Y911" s="4"/>
      <c r="Z911" s="4"/>
      <c r="AA911" s="4"/>
    </row>
    <row r="912" ht="15.75" customHeight="1">
      <c r="U912" s="4"/>
      <c r="V912" s="4"/>
      <c r="W912" s="4"/>
      <c r="X912" s="4"/>
      <c r="Y912" s="4"/>
      <c r="Z912" s="4"/>
      <c r="AA912" s="4"/>
    </row>
    <row r="913" ht="15.75" customHeight="1">
      <c r="U913" s="4"/>
      <c r="V913" s="4"/>
      <c r="W913" s="4"/>
      <c r="X913" s="4"/>
      <c r="Y913" s="4"/>
      <c r="Z913" s="4"/>
      <c r="AA913" s="4"/>
    </row>
    <row r="914" ht="15.75" customHeight="1">
      <c r="U914" s="4"/>
      <c r="V914" s="4"/>
      <c r="W914" s="4"/>
      <c r="X914" s="4"/>
      <c r="Y914" s="4"/>
      <c r="Z914" s="4"/>
      <c r="AA914" s="4"/>
    </row>
    <row r="915" ht="15.75" customHeight="1">
      <c r="U915" s="4"/>
      <c r="V915" s="4"/>
      <c r="W915" s="4"/>
      <c r="X915" s="4"/>
      <c r="Y915" s="4"/>
      <c r="Z915" s="4"/>
      <c r="AA915" s="4"/>
    </row>
    <row r="916" ht="15.75" customHeight="1">
      <c r="U916" s="4"/>
      <c r="V916" s="4"/>
      <c r="W916" s="4"/>
      <c r="X916" s="4"/>
      <c r="Y916" s="4"/>
      <c r="Z916" s="4"/>
      <c r="AA916" s="4"/>
    </row>
    <row r="917" ht="15.75" customHeight="1">
      <c r="U917" s="4"/>
      <c r="V917" s="4"/>
      <c r="W917" s="4"/>
      <c r="X917" s="4"/>
      <c r="Y917" s="4"/>
      <c r="Z917" s="4"/>
      <c r="AA917" s="4"/>
    </row>
    <row r="918" ht="15.75" customHeight="1">
      <c r="U918" s="4"/>
      <c r="V918" s="4"/>
      <c r="W918" s="4"/>
      <c r="X918" s="4"/>
      <c r="Y918" s="4"/>
      <c r="Z918" s="4"/>
      <c r="AA918" s="4"/>
    </row>
    <row r="919" ht="15.75" customHeight="1">
      <c r="U919" s="4"/>
      <c r="V919" s="4"/>
      <c r="W919" s="4"/>
      <c r="X919" s="4"/>
      <c r="Y919" s="4"/>
      <c r="Z919" s="4"/>
      <c r="AA919" s="4"/>
    </row>
    <row r="920" ht="15.75" customHeight="1">
      <c r="U920" s="4"/>
      <c r="V920" s="4"/>
      <c r="W920" s="4"/>
      <c r="X920" s="4"/>
      <c r="Y920" s="4"/>
      <c r="Z920" s="4"/>
      <c r="AA920" s="4"/>
    </row>
    <row r="921" ht="15.75" customHeight="1">
      <c r="U921" s="4"/>
      <c r="V921" s="4"/>
      <c r="W921" s="4"/>
      <c r="X921" s="4"/>
      <c r="Y921" s="4"/>
      <c r="Z921" s="4"/>
      <c r="AA921" s="4"/>
    </row>
    <row r="922" ht="15.75" customHeight="1">
      <c r="U922" s="4"/>
      <c r="V922" s="4"/>
      <c r="W922" s="4"/>
      <c r="X922" s="4"/>
      <c r="Y922" s="4"/>
      <c r="Z922" s="4"/>
      <c r="AA922" s="4"/>
    </row>
    <row r="923" ht="15.75" customHeight="1">
      <c r="U923" s="4"/>
      <c r="V923" s="4"/>
      <c r="W923" s="4"/>
      <c r="X923" s="4"/>
      <c r="Y923" s="4"/>
      <c r="Z923" s="4"/>
      <c r="AA923" s="4"/>
    </row>
    <row r="924" ht="15.75" customHeight="1">
      <c r="U924" s="4"/>
      <c r="V924" s="4"/>
      <c r="W924" s="4"/>
      <c r="X924" s="4"/>
      <c r="Y924" s="4"/>
      <c r="Z924" s="4"/>
      <c r="AA924" s="4"/>
    </row>
    <row r="925" ht="15.75" customHeight="1">
      <c r="U925" s="4"/>
      <c r="V925" s="4"/>
      <c r="W925" s="4"/>
      <c r="X925" s="4"/>
      <c r="Y925" s="4"/>
      <c r="Z925" s="4"/>
      <c r="AA925" s="4"/>
    </row>
    <row r="926" ht="15.75" customHeight="1">
      <c r="U926" s="4"/>
      <c r="V926" s="4"/>
      <c r="W926" s="4"/>
      <c r="X926" s="4"/>
      <c r="Y926" s="4"/>
      <c r="Z926" s="4"/>
      <c r="AA926" s="4"/>
    </row>
    <row r="927" ht="15.75" customHeight="1">
      <c r="U927" s="4"/>
      <c r="V927" s="4"/>
      <c r="W927" s="4"/>
      <c r="X927" s="4"/>
      <c r="Y927" s="4"/>
      <c r="Z927" s="4"/>
      <c r="AA927" s="4"/>
    </row>
    <row r="928" ht="15.75" customHeight="1">
      <c r="U928" s="4"/>
      <c r="V928" s="4"/>
      <c r="W928" s="4"/>
      <c r="X928" s="4"/>
      <c r="Y928" s="4"/>
      <c r="Z928" s="4"/>
      <c r="AA928" s="4"/>
    </row>
    <row r="929" ht="15.75" customHeight="1">
      <c r="U929" s="4"/>
      <c r="V929" s="4"/>
      <c r="W929" s="4"/>
      <c r="X929" s="4"/>
      <c r="Y929" s="4"/>
      <c r="Z929" s="4"/>
      <c r="AA929" s="4"/>
    </row>
    <row r="930" ht="15.75" customHeight="1">
      <c r="U930" s="4"/>
      <c r="V930" s="4"/>
      <c r="W930" s="4"/>
      <c r="X930" s="4"/>
      <c r="Y930" s="4"/>
      <c r="Z930" s="4"/>
      <c r="AA930" s="4"/>
    </row>
    <row r="931" ht="15.75" customHeight="1">
      <c r="U931" s="4"/>
      <c r="V931" s="4"/>
      <c r="W931" s="4"/>
      <c r="X931" s="4"/>
      <c r="Y931" s="4"/>
      <c r="Z931" s="4"/>
      <c r="AA931" s="4"/>
    </row>
    <row r="932" ht="15.75" customHeight="1">
      <c r="U932" s="4"/>
      <c r="V932" s="4"/>
      <c r="W932" s="4"/>
      <c r="X932" s="4"/>
      <c r="Y932" s="4"/>
      <c r="Z932" s="4"/>
      <c r="AA932" s="4"/>
    </row>
    <row r="933" ht="15.75" customHeight="1">
      <c r="U933" s="4"/>
      <c r="V933" s="4"/>
      <c r="W933" s="4"/>
      <c r="X933" s="4"/>
      <c r="Y933" s="4"/>
      <c r="Z933" s="4"/>
      <c r="AA933" s="4"/>
    </row>
    <row r="934" ht="15.75" customHeight="1">
      <c r="U934" s="4"/>
      <c r="V934" s="4"/>
      <c r="W934" s="4"/>
      <c r="X934" s="4"/>
      <c r="Y934" s="4"/>
      <c r="Z934" s="4"/>
      <c r="AA934" s="4"/>
    </row>
    <row r="935" ht="15.75" customHeight="1">
      <c r="U935" s="4"/>
      <c r="V935" s="4"/>
      <c r="W935" s="4"/>
      <c r="X935" s="4"/>
      <c r="Y935" s="4"/>
      <c r="Z935" s="4"/>
      <c r="AA935" s="4"/>
    </row>
    <row r="936" ht="15.75" customHeight="1">
      <c r="U936" s="4"/>
      <c r="V936" s="4"/>
      <c r="W936" s="4"/>
      <c r="X936" s="4"/>
      <c r="Y936" s="4"/>
      <c r="Z936" s="4"/>
      <c r="AA936" s="4"/>
    </row>
    <row r="937" ht="15.75" customHeight="1">
      <c r="U937" s="4"/>
      <c r="V937" s="4"/>
      <c r="W937" s="4"/>
      <c r="X937" s="4"/>
      <c r="Y937" s="4"/>
      <c r="Z937" s="4"/>
      <c r="AA937" s="4"/>
    </row>
    <row r="938" ht="15.75" customHeight="1">
      <c r="U938" s="4"/>
      <c r="V938" s="4"/>
      <c r="W938" s="4"/>
      <c r="X938" s="4"/>
      <c r="Y938" s="4"/>
      <c r="Z938" s="4"/>
      <c r="AA938" s="4"/>
    </row>
    <row r="939" ht="15.75" customHeight="1">
      <c r="U939" s="4"/>
      <c r="V939" s="4"/>
      <c r="W939" s="4"/>
      <c r="X939" s="4"/>
      <c r="Y939" s="4"/>
      <c r="Z939" s="4"/>
      <c r="AA939" s="4"/>
    </row>
    <row r="940" ht="15.75" customHeight="1">
      <c r="U940" s="4"/>
      <c r="V940" s="4"/>
      <c r="W940" s="4"/>
      <c r="X940" s="4"/>
      <c r="Y940" s="4"/>
      <c r="Z940" s="4"/>
      <c r="AA940" s="4"/>
    </row>
    <row r="941" ht="15.75" customHeight="1">
      <c r="U941" s="4"/>
      <c r="V941" s="4"/>
      <c r="W941" s="4"/>
      <c r="X941" s="4"/>
      <c r="Y941" s="4"/>
      <c r="Z941" s="4"/>
      <c r="AA941" s="4"/>
    </row>
    <row r="942" ht="15.75" customHeight="1">
      <c r="U942" s="4"/>
      <c r="V942" s="4"/>
      <c r="W942" s="4"/>
      <c r="X942" s="4"/>
      <c r="Y942" s="4"/>
      <c r="Z942" s="4"/>
      <c r="AA942" s="4"/>
    </row>
    <row r="943" ht="15.75" customHeight="1">
      <c r="U943" s="4"/>
      <c r="V943" s="4"/>
      <c r="W943" s="4"/>
      <c r="X943" s="4"/>
      <c r="Y943" s="4"/>
      <c r="Z943" s="4"/>
      <c r="AA943" s="4"/>
    </row>
    <row r="944" ht="15.75" customHeight="1">
      <c r="U944" s="4"/>
      <c r="V944" s="4"/>
      <c r="W944" s="4"/>
      <c r="X944" s="4"/>
      <c r="Y944" s="4"/>
      <c r="Z944" s="4"/>
      <c r="AA944" s="4"/>
    </row>
    <row r="945" ht="15.75" customHeight="1">
      <c r="U945" s="4"/>
      <c r="V945" s="4"/>
      <c r="W945" s="4"/>
      <c r="X945" s="4"/>
      <c r="Y945" s="4"/>
      <c r="Z945" s="4"/>
      <c r="AA945" s="4"/>
    </row>
    <row r="946" ht="15.75" customHeight="1">
      <c r="U946" s="4"/>
      <c r="V946" s="4"/>
      <c r="W946" s="4"/>
      <c r="X946" s="4"/>
      <c r="Y946" s="4"/>
      <c r="Z946" s="4"/>
      <c r="AA946" s="4"/>
    </row>
    <row r="947" ht="15.75" customHeight="1">
      <c r="U947" s="4"/>
      <c r="V947" s="4"/>
      <c r="W947" s="4"/>
      <c r="X947" s="4"/>
      <c r="Y947" s="4"/>
      <c r="Z947" s="4"/>
      <c r="AA947" s="4"/>
    </row>
    <row r="948" ht="15.75" customHeight="1">
      <c r="U948" s="4"/>
      <c r="V948" s="4"/>
      <c r="W948" s="4"/>
      <c r="X948" s="4"/>
      <c r="Y948" s="4"/>
      <c r="Z948" s="4"/>
      <c r="AA948" s="4"/>
    </row>
    <row r="949" ht="15.75" customHeight="1">
      <c r="U949" s="4"/>
      <c r="V949" s="4"/>
      <c r="W949" s="4"/>
      <c r="X949" s="4"/>
      <c r="Y949" s="4"/>
      <c r="Z949" s="4"/>
      <c r="AA949" s="4"/>
    </row>
    <row r="950" ht="15.75" customHeight="1">
      <c r="U950" s="4"/>
      <c r="V950" s="4"/>
      <c r="W950" s="4"/>
      <c r="X950" s="4"/>
      <c r="Y950" s="4"/>
      <c r="Z950" s="4"/>
      <c r="AA950" s="4"/>
    </row>
    <row r="951" ht="15.75" customHeight="1">
      <c r="U951" s="4"/>
      <c r="V951" s="4"/>
      <c r="W951" s="4"/>
      <c r="X951" s="4"/>
      <c r="Y951" s="4"/>
      <c r="Z951" s="4"/>
      <c r="AA951" s="4"/>
    </row>
    <row r="952" ht="15.75" customHeight="1">
      <c r="U952" s="4"/>
      <c r="V952" s="4"/>
      <c r="W952" s="4"/>
      <c r="X952" s="4"/>
      <c r="Y952" s="4"/>
      <c r="Z952" s="4"/>
      <c r="AA952" s="4"/>
    </row>
    <row r="953" ht="15.75" customHeight="1">
      <c r="U953" s="4"/>
      <c r="V953" s="4"/>
      <c r="W953" s="4"/>
      <c r="X953" s="4"/>
      <c r="Y953" s="4"/>
      <c r="Z953" s="4"/>
      <c r="AA953" s="4"/>
    </row>
    <row r="954" ht="15.75" customHeight="1">
      <c r="U954" s="4"/>
      <c r="V954" s="4"/>
      <c r="W954" s="4"/>
      <c r="X954" s="4"/>
      <c r="Y954" s="4"/>
      <c r="Z954" s="4"/>
      <c r="AA954" s="4"/>
    </row>
    <row r="955" ht="15.75" customHeight="1">
      <c r="U955" s="4"/>
      <c r="V955" s="4"/>
      <c r="W955" s="4"/>
      <c r="X955" s="4"/>
      <c r="Y955" s="4"/>
      <c r="Z955" s="4"/>
      <c r="AA955" s="4"/>
    </row>
    <row r="956" ht="15.75" customHeight="1">
      <c r="U956" s="4"/>
      <c r="V956" s="4"/>
      <c r="W956" s="4"/>
      <c r="X956" s="4"/>
      <c r="Y956" s="4"/>
      <c r="Z956" s="4"/>
      <c r="AA956" s="4"/>
    </row>
    <row r="957" ht="15.75" customHeight="1">
      <c r="U957" s="4"/>
      <c r="V957" s="4"/>
      <c r="W957" s="4"/>
      <c r="X957" s="4"/>
      <c r="Y957" s="4"/>
      <c r="Z957" s="4"/>
      <c r="AA957" s="4"/>
    </row>
    <row r="958" ht="15.75" customHeight="1">
      <c r="U958" s="4"/>
      <c r="V958" s="4"/>
      <c r="W958" s="4"/>
      <c r="X958" s="4"/>
      <c r="Y958" s="4"/>
      <c r="Z958" s="4"/>
      <c r="AA958" s="4"/>
    </row>
    <row r="959" ht="15.75" customHeight="1">
      <c r="U959" s="4"/>
      <c r="V959" s="4"/>
      <c r="W959" s="4"/>
      <c r="X959" s="4"/>
      <c r="Y959" s="4"/>
      <c r="Z959" s="4"/>
      <c r="AA959" s="4"/>
    </row>
    <row r="960" ht="15.75" customHeight="1">
      <c r="U960" s="4"/>
      <c r="V960" s="4"/>
      <c r="W960" s="4"/>
      <c r="X960" s="4"/>
      <c r="Y960" s="4"/>
      <c r="Z960" s="4"/>
      <c r="AA960" s="4"/>
    </row>
    <row r="961" ht="15.75" customHeight="1">
      <c r="U961" s="4"/>
      <c r="V961" s="4"/>
      <c r="W961" s="4"/>
      <c r="X961" s="4"/>
      <c r="Y961" s="4"/>
      <c r="Z961" s="4"/>
      <c r="AA961" s="4"/>
    </row>
    <row r="962" ht="15.75" customHeight="1">
      <c r="U962" s="4"/>
      <c r="V962" s="4"/>
      <c r="W962" s="4"/>
      <c r="X962" s="4"/>
      <c r="Y962" s="4"/>
      <c r="Z962" s="4"/>
      <c r="AA962" s="4"/>
    </row>
    <row r="963" ht="15.75" customHeight="1">
      <c r="U963" s="4"/>
      <c r="V963" s="4"/>
      <c r="W963" s="4"/>
      <c r="X963" s="4"/>
      <c r="Y963" s="4"/>
      <c r="Z963" s="4"/>
      <c r="AA963" s="4"/>
    </row>
    <row r="964" ht="15.75" customHeight="1">
      <c r="U964" s="4"/>
      <c r="V964" s="4"/>
      <c r="W964" s="4"/>
      <c r="X964" s="4"/>
      <c r="Y964" s="4"/>
      <c r="Z964" s="4"/>
      <c r="AA964" s="4"/>
    </row>
    <row r="965" ht="15.75" customHeight="1">
      <c r="U965" s="4"/>
      <c r="V965" s="4"/>
      <c r="W965" s="4"/>
      <c r="X965" s="4"/>
      <c r="Y965" s="4"/>
      <c r="Z965" s="4"/>
      <c r="AA965" s="4"/>
    </row>
    <row r="966" ht="15.75" customHeight="1">
      <c r="U966" s="4"/>
      <c r="V966" s="4"/>
      <c r="W966" s="4"/>
      <c r="X966" s="4"/>
      <c r="Y966" s="4"/>
      <c r="Z966" s="4"/>
      <c r="AA966" s="4"/>
    </row>
    <row r="967" ht="15.75" customHeight="1">
      <c r="U967" s="4"/>
      <c r="V967" s="4"/>
      <c r="W967" s="4"/>
      <c r="X967" s="4"/>
      <c r="Y967" s="4"/>
      <c r="Z967" s="4"/>
      <c r="AA967" s="4"/>
    </row>
    <row r="968" ht="15.75" customHeight="1">
      <c r="U968" s="4"/>
      <c r="V968" s="4"/>
      <c r="W968" s="4"/>
      <c r="X968" s="4"/>
      <c r="Y968" s="4"/>
      <c r="Z968" s="4"/>
      <c r="AA968" s="4"/>
    </row>
    <row r="969" ht="15.75" customHeight="1">
      <c r="U969" s="4"/>
      <c r="V969" s="4"/>
      <c r="W969" s="4"/>
      <c r="X969" s="4"/>
      <c r="Y969" s="4"/>
      <c r="Z969" s="4"/>
      <c r="AA969" s="4"/>
    </row>
    <row r="970" ht="15.75" customHeight="1">
      <c r="U970" s="4"/>
      <c r="V970" s="4"/>
      <c r="W970" s="4"/>
      <c r="X970" s="4"/>
      <c r="Y970" s="4"/>
      <c r="Z970" s="4"/>
      <c r="AA970" s="4"/>
    </row>
    <row r="971" ht="15.75" customHeight="1">
      <c r="U971" s="4"/>
      <c r="V971" s="4"/>
      <c r="W971" s="4"/>
      <c r="X971" s="4"/>
      <c r="Y971" s="4"/>
      <c r="Z971" s="4"/>
      <c r="AA971" s="4"/>
    </row>
    <row r="972" ht="15.75" customHeight="1">
      <c r="U972" s="4"/>
      <c r="V972" s="4"/>
      <c r="W972" s="4"/>
      <c r="X972" s="4"/>
      <c r="Y972" s="4"/>
      <c r="Z972" s="4"/>
      <c r="AA972" s="4"/>
    </row>
    <row r="973" ht="15.75" customHeight="1">
      <c r="U973" s="4"/>
      <c r="V973" s="4"/>
      <c r="W973" s="4"/>
      <c r="X973" s="4"/>
      <c r="Y973" s="4"/>
      <c r="Z973" s="4"/>
      <c r="AA973" s="4"/>
    </row>
    <row r="974" ht="15.75" customHeight="1">
      <c r="U974" s="4"/>
      <c r="V974" s="4"/>
      <c r="W974" s="4"/>
      <c r="X974" s="4"/>
      <c r="Y974" s="4"/>
      <c r="Z974" s="4"/>
      <c r="AA974" s="4"/>
    </row>
    <row r="975" ht="15.75" customHeight="1">
      <c r="U975" s="4"/>
      <c r="V975" s="4"/>
      <c r="W975" s="4"/>
      <c r="X975" s="4"/>
      <c r="Y975" s="4"/>
      <c r="Z975" s="4"/>
      <c r="AA975" s="4"/>
    </row>
    <row r="976" ht="15.75" customHeight="1">
      <c r="U976" s="4"/>
      <c r="V976" s="4"/>
      <c r="W976" s="4"/>
      <c r="X976" s="4"/>
      <c r="Y976" s="4"/>
      <c r="Z976" s="4"/>
      <c r="AA976" s="4"/>
    </row>
    <row r="977" ht="15.75" customHeight="1">
      <c r="U977" s="4"/>
      <c r="V977" s="4"/>
      <c r="W977" s="4"/>
      <c r="X977" s="4"/>
      <c r="Y977" s="4"/>
      <c r="Z977" s="4"/>
      <c r="AA977" s="4"/>
    </row>
    <row r="978" ht="15.75" customHeight="1">
      <c r="U978" s="4"/>
      <c r="V978" s="4"/>
      <c r="W978" s="4"/>
      <c r="X978" s="4"/>
      <c r="Y978" s="4"/>
      <c r="Z978" s="4"/>
      <c r="AA978" s="4"/>
    </row>
    <row r="979" ht="15.75" customHeight="1">
      <c r="U979" s="4"/>
      <c r="V979" s="4"/>
      <c r="W979" s="4"/>
      <c r="X979" s="4"/>
      <c r="Y979" s="4"/>
      <c r="Z979" s="4"/>
      <c r="AA979" s="4"/>
    </row>
    <row r="980" ht="15.75" customHeight="1">
      <c r="U980" s="4"/>
      <c r="V980" s="4"/>
      <c r="W980" s="4"/>
      <c r="X980" s="4"/>
      <c r="Y980" s="4"/>
      <c r="Z980" s="4"/>
      <c r="AA980" s="4"/>
    </row>
    <row r="981" ht="15.75" customHeight="1">
      <c r="U981" s="4"/>
      <c r="V981" s="4"/>
      <c r="W981" s="4"/>
      <c r="X981" s="4"/>
      <c r="Y981" s="4"/>
      <c r="Z981" s="4"/>
      <c r="AA981" s="4"/>
    </row>
    <row r="982" ht="15.75" customHeight="1">
      <c r="U982" s="4"/>
      <c r="V982" s="4"/>
      <c r="W982" s="4"/>
      <c r="X982" s="4"/>
      <c r="Y982" s="4"/>
      <c r="Z982" s="4"/>
      <c r="AA982" s="4"/>
    </row>
    <row r="983" ht="15.75" customHeight="1">
      <c r="U983" s="4"/>
      <c r="V983" s="4"/>
      <c r="W983" s="4"/>
      <c r="X983" s="4"/>
      <c r="Y983" s="4"/>
      <c r="Z983" s="4"/>
      <c r="AA983" s="4"/>
    </row>
    <row r="984" ht="15.75" customHeight="1">
      <c r="U984" s="4"/>
      <c r="V984" s="4"/>
      <c r="W984" s="4"/>
      <c r="X984" s="4"/>
      <c r="Y984" s="4"/>
      <c r="Z984" s="4"/>
      <c r="AA984" s="4"/>
    </row>
    <row r="985" ht="15.75" customHeight="1">
      <c r="U985" s="4"/>
      <c r="V985" s="4"/>
      <c r="W985" s="4"/>
      <c r="X985" s="4"/>
      <c r="Y985" s="4"/>
      <c r="Z985" s="4"/>
      <c r="AA985" s="4"/>
    </row>
    <row r="986" ht="15.75" customHeight="1">
      <c r="U986" s="4"/>
      <c r="V986" s="4"/>
      <c r="W986" s="4"/>
      <c r="X986" s="4"/>
      <c r="Y986" s="4"/>
      <c r="Z986" s="4"/>
      <c r="AA986" s="4"/>
    </row>
    <row r="987" ht="15.75" customHeight="1">
      <c r="U987" s="4"/>
      <c r="V987" s="4"/>
      <c r="W987" s="4"/>
      <c r="X987" s="4"/>
      <c r="Y987" s="4"/>
      <c r="Z987" s="4"/>
      <c r="AA987" s="4"/>
    </row>
    <row r="988" ht="15.75" customHeight="1">
      <c r="U988" s="4"/>
      <c r="V988" s="4"/>
      <c r="W988" s="4"/>
      <c r="X988" s="4"/>
      <c r="Y988" s="4"/>
      <c r="Z988" s="4"/>
      <c r="AA988" s="4"/>
    </row>
    <row r="989" ht="15.75" customHeight="1">
      <c r="U989" s="4"/>
      <c r="V989" s="4"/>
      <c r="W989" s="4"/>
      <c r="X989" s="4"/>
      <c r="Y989" s="4"/>
      <c r="Z989" s="4"/>
      <c r="AA989" s="4"/>
    </row>
    <row r="990" ht="15.75" customHeight="1">
      <c r="U990" s="4"/>
      <c r="V990" s="4"/>
      <c r="W990" s="4"/>
      <c r="X990" s="4"/>
      <c r="Y990" s="4"/>
      <c r="Z990" s="4"/>
      <c r="AA990" s="4"/>
    </row>
    <row r="991" ht="15.75" customHeight="1">
      <c r="U991" s="4"/>
      <c r="V991" s="4"/>
      <c r="W991" s="4"/>
      <c r="X991" s="4"/>
      <c r="Y991" s="4"/>
      <c r="Z991" s="4"/>
      <c r="AA991" s="4"/>
    </row>
    <row r="992" ht="15.75" customHeight="1">
      <c r="U992" s="4"/>
      <c r="V992" s="4"/>
      <c r="W992" s="4"/>
      <c r="X992" s="4"/>
      <c r="Y992" s="4"/>
      <c r="Z992" s="4"/>
      <c r="AA992" s="4"/>
    </row>
    <row r="993" ht="15.75" customHeight="1">
      <c r="U993" s="4"/>
      <c r="V993" s="4"/>
      <c r="W993" s="4"/>
      <c r="X993" s="4"/>
      <c r="Y993" s="4"/>
      <c r="Z993" s="4"/>
      <c r="AA993" s="4"/>
    </row>
    <row r="994" ht="15.75" customHeight="1">
      <c r="U994" s="4"/>
      <c r="V994" s="4"/>
      <c r="W994" s="4"/>
      <c r="X994" s="4"/>
      <c r="Y994" s="4"/>
      <c r="Z994" s="4"/>
      <c r="AA994" s="4"/>
    </row>
    <row r="995" ht="15.75" customHeight="1">
      <c r="U995" s="4"/>
      <c r="V995" s="4"/>
      <c r="W995" s="4"/>
      <c r="X995" s="4"/>
      <c r="Y995" s="4"/>
      <c r="Z995" s="4"/>
      <c r="AA995" s="4"/>
    </row>
    <row r="996" ht="15.75" customHeight="1">
      <c r="U996" s="4"/>
      <c r="V996" s="4"/>
      <c r="W996" s="4"/>
      <c r="X996" s="4"/>
      <c r="Y996" s="4"/>
      <c r="Z996" s="4"/>
      <c r="AA996" s="4"/>
    </row>
    <row r="997" ht="15.75" customHeight="1">
      <c r="U997" s="4"/>
      <c r="V997" s="4"/>
      <c r="W997" s="4"/>
      <c r="X997" s="4"/>
      <c r="Y997" s="4"/>
      <c r="Z997" s="4"/>
      <c r="AA997" s="4"/>
    </row>
    <row r="998" ht="15.75" customHeight="1">
      <c r="U998" s="4"/>
      <c r="V998" s="4"/>
      <c r="W998" s="4"/>
      <c r="X998" s="4"/>
      <c r="Y998" s="4"/>
      <c r="Z998" s="4"/>
      <c r="AA998" s="4"/>
    </row>
    <row r="999" ht="15.75" customHeight="1">
      <c r="U999" s="4"/>
      <c r="V999" s="4"/>
      <c r="W999" s="4"/>
      <c r="X999" s="4"/>
      <c r="Y999" s="4"/>
      <c r="Z999" s="4"/>
      <c r="AA999" s="4"/>
    </row>
    <row r="1000" ht="15.75" customHeight="1">
      <c r="U1000" s="4"/>
      <c r="V1000" s="4"/>
      <c r="W1000" s="4"/>
      <c r="X1000" s="4"/>
      <c r="Y1000" s="4"/>
      <c r="Z1000" s="4"/>
      <c r="AA1000" s="4"/>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4.43" defaultRowHeight="15.0"/>
  <sheetData>
    <row r="1">
      <c r="A1" s="7" t="s">
        <v>916</v>
      </c>
      <c r="B1" s="7" t="s">
        <v>917</v>
      </c>
      <c r="C1" s="7" t="s">
        <v>918</v>
      </c>
      <c r="D1" s="7" t="s">
        <v>919</v>
      </c>
      <c r="E1" s="7" t="s">
        <v>920</v>
      </c>
      <c r="F1" s="7" t="s">
        <v>921</v>
      </c>
      <c r="G1" s="7" t="s">
        <v>922</v>
      </c>
    </row>
    <row r="2">
      <c r="A2" s="5">
        <f>COUNTA('01 DATOS PERSONALES'!B2:B1000)</f>
        <v>100</v>
      </c>
      <c r="B2" s="5">
        <f>COUNTIF('01 DATOS PERSONALES'!X2:Y1000,"FEMENINO")</f>
        <v>39</v>
      </c>
      <c r="C2" s="5">
        <f>COUNTIF('01 DATOS PERSONALES'!X2:Y1000,"MASCULINO")</f>
        <v>61</v>
      </c>
      <c r="D2" s="5">
        <f>AVERAGE('01 DATOS PERSONALES'!U2:U1000)</f>
        <v>49.18</v>
      </c>
      <c r="E2" s="5">
        <f>MEDIAN('01 DATOS PERSONALES'!U2:U1000)</f>
        <v>48</v>
      </c>
      <c r="F2" s="5">
        <f>MIN('01 DATOS PERSONALES'!U2:U1000)</f>
        <v>29</v>
      </c>
      <c r="G2" s="5">
        <f>MAX('01 DATOS PERSONALES'!U2:U1000)</f>
        <v>77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6.71"/>
    <col customWidth="1" min="2" max="2" width="24.71"/>
    <col customWidth="1" min="3" max="3" width="16.29"/>
  </cols>
  <sheetData>
    <row r="1">
      <c r="F1" s="8" t="s">
        <v>924</v>
      </c>
      <c r="G1" s="9"/>
    </row>
    <row r="2">
      <c r="F2" s="7" t="s">
        <v>926</v>
      </c>
      <c r="G2" s="7" t="s">
        <v>927</v>
      </c>
    </row>
    <row r="3">
      <c r="F3" s="10">
        <f t="shared" ref="F3:F8" si="1">B3/D3</f>
        <v>0.2222222222</v>
      </c>
      <c r="G3" s="10">
        <f t="shared" ref="G3:G8" si="2">C3/D3</f>
        <v>0.7777777778</v>
      </c>
    </row>
    <row r="4">
      <c r="F4" s="10">
        <f t="shared" si="1"/>
        <v>0.4242424242</v>
      </c>
      <c r="G4" s="10">
        <f t="shared" si="2"/>
        <v>0.5757575758</v>
      </c>
    </row>
    <row r="5">
      <c r="F5" s="10">
        <f t="shared" si="1"/>
        <v>0.4705882353</v>
      </c>
      <c r="G5" s="10">
        <f t="shared" si="2"/>
        <v>0.5294117647</v>
      </c>
    </row>
    <row r="6">
      <c r="F6" s="10">
        <f t="shared" si="1"/>
        <v>0.2307692308</v>
      </c>
      <c r="G6" s="10">
        <f t="shared" si="2"/>
        <v>0.7692307692</v>
      </c>
    </row>
    <row r="7">
      <c r="F7" s="10">
        <f t="shared" si="1"/>
        <v>0.5714285714</v>
      </c>
      <c r="G7" s="10">
        <f t="shared" si="2"/>
        <v>0.4285714286</v>
      </c>
    </row>
    <row r="8">
      <c r="F8" s="10">
        <f t="shared" si="1"/>
        <v>0.2857142857</v>
      </c>
      <c r="G8" s="10">
        <f t="shared" si="2"/>
        <v>0.7142857143</v>
      </c>
    </row>
    <row r="9"/>
    <row r="11"/>
    <row r="12"/>
    <row r="13"/>
    <row r="14"/>
    <row r="15"/>
    <row r="16"/>
    <row r="17"/>
    <row r="18"/>
  </sheetData>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931</v>
      </c>
      <c r="E1" s="1" t="s">
        <v>932</v>
      </c>
      <c r="F1" s="1" t="s">
        <v>933</v>
      </c>
      <c r="G1" s="1" t="s">
        <v>934</v>
      </c>
      <c r="H1" s="1" t="s">
        <v>935</v>
      </c>
      <c r="I1" s="1" t="s">
        <v>936</v>
      </c>
      <c r="J1" s="1" t="s">
        <v>937</v>
      </c>
      <c r="K1" s="1" t="s">
        <v>938</v>
      </c>
      <c r="L1" s="1" t="s">
        <v>939</v>
      </c>
      <c r="M1" s="1" t="s">
        <v>940</v>
      </c>
      <c r="N1" s="1" t="s">
        <v>941</v>
      </c>
      <c r="O1" s="1" t="s">
        <v>942</v>
      </c>
      <c r="P1" s="12" t="s">
        <v>943</v>
      </c>
    </row>
    <row r="2">
      <c r="A2" s="5" t="s">
        <v>26</v>
      </c>
      <c r="B2" s="5" t="s">
        <v>27</v>
      </c>
      <c r="C2" s="5" t="s">
        <v>28</v>
      </c>
      <c r="D2" s="5" t="s">
        <v>944</v>
      </c>
      <c r="E2" s="5" t="s">
        <v>945</v>
      </c>
      <c r="F2" s="5" t="s">
        <v>946</v>
      </c>
      <c r="G2" s="5" t="s">
        <v>947</v>
      </c>
      <c r="H2" s="5" t="s">
        <v>948</v>
      </c>
      <c r="I2" s="5" t="s">
        <v>949</v>
      </c>
      <c r="J2" s="5" t="s">
        <v>950</v>
      </c>
      <c r="K2" s="5" t="s">
        <v>912</v>
      </c>
      <c r="L2" s="5" t="s">
        <v>35</v>
      </c>
      <c r="M2" s="5" t="s">
        <v>35</v>
      </c>
      <c r="N2" s="5" t="s">
        <v>951</v>
      </c>
      <c r="P2" s="13">
        <f>IFERROR(__xludf.DUMMYFUNCTION("IF(REGEXMATCH(UPPER(E2),""CONGRESO""),1,0)"),0.0)</f>
        <v>0</v>
      </c>
    </row>
    <row r="3">
      <c r="A3" s="5" t="s">
        <v>26</v>
      </c>
      <c r="B3" s="5" t="s">
        <v>27</v>
      </c>
      <c r="C3" s="5" t="s">
        <v>28</v>
      </c>
      <c r="D3" s="5" t="s">
        <v>944</v>
      </c>
      <c r="E3" s="5" t="s">
        <v>952</v>
      </c>
      <c r="F3" s="5" t="s">
        <v>953</v>
      </c>
      <c r="G3" s="5" t="s">
        <v>954</v>
      </c>
      <c r="H3" s="5" t="s">
        <v>955</v>
      </c>
      <c r="I3" s="5" t="s">
        <v>956</v>
      </c>
      <c r="J3" s="5" t="s">
        <v>957</v>
      </c>
      <c r="K3" s="5" t="s">
        <v>912</v>
      </c>
      <c r="L3" s="5" t="s">
        <v>35</v>
      </c>
      <c r="M3" s="5" t="s">
        <v>35</v>
      </c>
      <c r="N3" s="5" t="s">
        <v>35</v>
      </c>
      <c r="P3" s="13">
        <f>IFERROR(__xludf.DUMMYFUNCTION("IF(REGEXMATCH(UPPER(E3),""CONGRESO""),1,0)"),0.0)</f>
        <v>0</v>
      </c>
    </row>
    <row r="4">
      <c r="A4" s="5" t="s">
        <v>26</v>
      </c>
      <c r="B4" s="5" t="s">
        <v>39</v>
      </c>
      <c r="C4" s="5" t="s">
        <v>40</v>
      </c>
      <c r="D4" s="5" t="s">
        <v>944</v>
      </c>
      <c r="E4" s="5" t="s">
        <v>958</v>
      </c>
      <c r="F4" s="5" t="s">
        <v>959</v>
      </c>
      <c r="G4" s="5" t="s">
        <v>960</v>
      </c>
      <c r="H4" s="5" t="s">
        <v>961</v>
      </c>
      <c r="I4" s="5" t="s">
        <v>949</v>
      </c>
      <c r="J4" s="5" t="s">
        <v>957</v>
      </c>
      <c r="K4" s="5" t="s">
        <v>912</v>
      </c>
      <c r="L4" s="5" t="s">
        <v>46</v>
      </c>
      <c r="M4" s="5" t="s">
        <v>962</v>
      </c>
      <c r="N4" s="5" t="s">
        <v>963</v>
      </c>
      <c r="O4" s="5" t="s">
        <v>964</v>
      </c>
      <c r="P4" s="13">
        <f>IFERROR(__xludf.DUMMYFUNCTION("IF(REGEXMATCH(UPPER(E4),""CONGRESO""),1,0)"),0.0)</f>
        <v>0</v>
      </c>
    </row>
    <row r="5">
      <c r="A5" s="5" t="s">
        <v>26</v>
      </c>
      <c r="B5" s="5" t="s">
        <v>50</v>
      </c>
      <c r="C5" s="5" t="s">
        <v>51</v>
      </c>
      <c r="D5" s="5" t="s">
        <v>944</v>
      </c>
      <c r="E5" s="5" t="s">
        <v>965</v>
      </c>
      <c r="F5" s="5" t="s">
        <v>966</v>
      </c>
      <c r="H5" s="5" t="s">
        <v>967</v>
      </c>
      <c r="I5" s="5" t="s">
        <v>956</v>
      </c>
      <c r="J5" s="5" t="s">
        <v>968</v>
      </c>
      <c r="K5" s="5" t="s">
        <v>912</v>
      </c>
      <c r="L5" s="5" t="s">
        <v>56</v>
      </c>
      <c r="M5" s="5" t="s">
        <v>56</v>
      </c>
      <c r="N5" s="5" t="s">
        <v>969</v>
      </c>
      <c r="O5" s="5" t="s">
        <v>970</v>
      </c>
      <c r="P5" s="13">
        <f>IFERROR(__xludf.DUMMYFUNCTION("IF(REGEXMATCH(UPPER(E5),""CONGRESO""),1,0)"),0.0)</f>
        <v>0</v>
      </c>
    </row>
    <row r="6">
      <c r="A6" s="5" t="s">
        <v>26</v>
      </c>
      <c r="B6" s="5" t="s">
        <v>50</v>
      </c>
      <c r="C6" s="5" t="s">
        <v>51</v>
      </c>
      <c r="D6" s="5" t="s">
        <v>944</v>
      </c>
      <c r="E6" s="5" t="s">
        <v>971</v>
      </c>
      <c r="F6" s="5" t="s">
        <v>972</v>
      </c>
      <c r="H6" s="5" t="s">
        <v>973</v>
      </c>
      <c r="I6" s="5" t="s">
        <v>974</v>
      </c>
      <c r="J6" s="5" t="s">
        <v>950</v>
      </c>
      <c r="K6" s="5" t="s">
        <v>912</v>
      </c>
      <c r="L6" s="5" t="s">
        <v>196</v>
      </c>
      <c r="M6" s="5" t="s">
        <v>197</v>
      </c>
      <c r="N6" s="5" t="s">
        <v>197</v>
      </c>
      <c r="O6" s="5" t="s">
        <v>975</v>
      </c>
      <c r="P6" s="13">
        <f>IFERROR(__xludf.DUMMYFUNCTION("IF(REGEXMATCH(UPPER(E6),""CONGRESO""),1,0)"),0.0)</f>
        <v>0</v>
      </c>
    </row>
    <row r="7">
      <c r="A7" s="5" t="s">
        <v>26</v>
      </c>
      <c r="B7" s="5" t="s">
        <v>50</v>
      </c>
      <c r="C7" s="5" t="s">
        <v>51</v>
      </c>
      <c r="D7" s="5" t="s">
        <v>944</v>
      </c>
      <c r="E7" s="5" t="s">
        <v>976</v>
      </c>
      <c r="F7" s="5" t="s">
        <v>977</v>
      </c>
      <c r="H7" s="5" t="s">
        <v>978</v>
      </c>
      <c r="I7" s="5" t="s">
        <v>950</v>
      </c>
      <c r="J7" s="5" t="s">
        <v>950</v>
      </c>
      <c r="K7" s="5" t="s">
        <v>912</v>
      </c>
      <c r="L7" s="5" t="s">
        <v>56</v>
      </c>
      <c r="M7" s="5" t="s">
        <v>56</v>
      </c>
      <c r="N7" s="5" t="s">
        <v>176</v>
      </c>
      <c r="O7" s="5" t="s">
        <v>979</v>
      </c>
      <c r="P7" s="13">
        <f>IFERROR(__xludf.DUMMYFUNCTION("IF(REGEXMATCH(UPPER(E7),""CONGRESO""),1,0)"),0.0)</f>
        <v>0</v>
      </c>
    </row>
    <row r="8">
      <c r="A8" s="5" t="s">
        <v>26</v>
      </c>
      <c r="B8" s="5" t="s">
        <v>50</v>
      </c>
      <c r="C8" s="5" t="s">
        <v>51</v>
      </c>
      <c r="D8" s="5" t="s">
        <v>944</v>
      </c>
      <c r="E8" s="5" t="s">
        <v>980</v>
      </c>
      <c r="F8" s="5" t="s">
        <v>981</v>
      </c>
      <c r="H8" s="5" t="s">
        <v>982</v>
      </c>
      <c r="I8" s="5" t="s">
        <v>968</v>
      </c>
      <c r="J8" s="5" t="s">
        <v>968</v>
      </c>
      <c r="K8" s="5" t="s">
        <v>912</v>
      </c>
      <c r="L8" s="5" t="s">
        <v>56</v>
      </c>
      <c r="M8" s="5" t="s">
        <v>56</v>
      </c>
      <c r="N8" s="5" t="s">
        <v>983</v>
      </c>
      <c r="O8" s="5" t="s">
        <v>984</v>
      </c>
      <c r="P8" s="13">
        <f>IFERROR(__xludf.DUMMYFUNCTION("IF(REGEXMATCH(UPPER(E8),""CONGRESO""),1,0)"),0.0)</f>
        <v>0</v>
      </c>
    </row>
    <row r="9">
      <c r="A9" s="5" t="s">
        <v>26</v>
      </c>
      <c r="B9" s="5" t="s">
        <v>50</v>
      </c>
      <c r="C9" s="5" t="s">
        <v>51</v>
      </c>
      <c r="D9" s="5" t="s">
        <v>944</v>
      </c>
      <c r="E9" s="5" t="s">
        <v>985</v>
      </c>
      <c r="F9" s="5" t="s">
        <v>986</v>
      </c>
      <c r="H9" s="5" t="s">
        <v>987</v>
      </c>
      <c r="I9" s="5" t="s">
        <v>950</v>
      </c>
      <c r="J9" s="5" t="s">
        <v>956</v>
      </c>
      <c r="K9" s="5" t="s">
        <v>912</v>
      </c>
      <c r="L9" s="5" t="s">
        <v>56</v>
      </c>
      <c r="M9" s="5" t="s">
        <v>56</v>
      </c>
      <c r="N9" s="5" t="s">
        <v>56</v>
      </c>
      <c r="O9" s="5" t="s">
        <v>988</v>
      </c>
      <c r="P9" s="13">
        <f>IFERROR(__xludf.DUMMYFUNCTION("IF(REGEXMATCH(UPPER(E9),""CONGRESO""),1,0)"),0.0)</f>
        <v>0</v>
      </c>
    </row>
    <row r="10">
      <c r="A10" s="5" t="s">
        <v>26</v>
      </c>
      <c r="B10" s="5" t="s">
        <v>60</v>
      </c>
      <c r="C10" s="5" t="s">
        <v>61</v>
      </c>
      <c r="D10" s="5" t="s">
        <v>944</v>
      </c>
      <c r="E10" s="5" t="s">
        <v>989</v>
      </c>
      <c r="F10" s="5" t="s">
        <v>990</v>
      </c>
      <c r="G10" s="5" t="s">
        <v>991</v>
      </c>
      <c r="H10" s="5" t="s">
        <v>992</v>
      </c>
      <c r="I10" s="5" t="s">
        <v>956</v>
      </c>
      <c r="J10" s="5" t="s">
        <v>968</v>
      </c>
      <c r="K10" s="5" t="s">
        <v>912</v>
      </c>
      <c r="L10" s="5" t="s">
        <v>66</v>
      </c>
      <c r="M10" s="5" t="s">
        <v>66</v>
      </c>
      <c r="N10" s="5" t="s">
        <v>993</v>
      </c>
      <c r="O10" s="5" t="s">
        <v>994</v>
      </c>
      <c r="P10" s="13">
        <f>IFERROR(__xludf.DUMMYFUNCTION("IF(REGEXMATCH(UPPER(E10),""CONGRESO""),1,0)"),0.0)</f>
        <v>0</v>
      </c>
    </row>
    <row r="11">
      <c r="A11" s="5" t="s">
        <v>26</v>
      </c>
      <c r="B11" s="5" t="s">
        <v>60</v>
      </c>
      <c r="C11" s="5" t="s">
        <v>61</v>
      </c>
      <c r="D11" s="5" t="s">
        <v>944</v>
      </c>
      <c r="E11" s="5" t="s">
        <v>995</v>
      </c>
      <c r="F11" s="5" t="s">
        <v>996</v>
      </c>
      <c r="G11" s="5" t="s">
        <v>997</v>
      </c>
      <c r="H11" s="5" t="s">
        <v>998</v>
      </c>
      <c r="I11" s="5" t="s">
        <v>974</v>
      </c>
      <c r="J11" s="5" t="s">
        <v>950</v>
      </c>
      <c r="K11" s="5" t="s">
        <v>912</v>
      </c>
      <c r="L11" s="5" t="s">
        <v>56</v>
      </c>
      <c r="M11" s="5" t="s">
        <v>56</v>
      </c>
      <c r="N11" s="5" t="s">
        <v>56</v>
      </c>
      <c r="O11" s="5" t="s">
        <v>999</v>
      </c>
      <c r="P11" s="13">
        <f>IFERROR(__xludf.DUMMYFUNCTION("IF(REGEXMATCH(UPPER(E11),""CONGRESO""),1,0)"),0.0)</f>
        <v>0</v>
      </c>
    </row>
    <row r="12">
      <c r="A12" s="5" t="s">
        <v>26</v>
      </c>
      <c r="B12" s="5" t="s">
        <v>60</v>
      </c>
      <c r="C12" s="5" t="s">
        <v>61</v>
      </c>
      <c r="D12" s="5" t="s">
        <v>944</v>
      </c>
      <c r="E12" s="5" t="s">
        <v>1000</v>
      </c>
      <c r="F12" s="5" t="s">
        <v>996</v>
      </c>
      <c r="H12" s="5" t="s">
        <v>1001</v>
      </c>
      <c r="I12" s="5" t="s">
        <v>974</v>
      </c>
      <c r="J12" s="5" t="s">
        <v>950</v>
      </c>
      <c r="K12" s="5" t="s">
        <v>912</v>
      </c>
      <c r="L12" s="5" t="s">
        <v>66</v>
      </c>
      <c r="M12" s="5" t="s">
        <v>66</v>
      </c>
      <c r="N12" s="5" t="s">
        <v>66</v>
      </c>
      <c r="O12" s="5" t="s">
        <v>1002</v>
      </c>
      <c r="P12" s="13">
        <f>IFERROR(__xludf.DUMMYFUNCTION("IF(REGEXMATCH(UPPER(E12),""CONGRESO""),1,0)"),0.0)</f>
        <v>0</v>
      </c>
    </row>
    <row r="13">
      <c r="A13" s="5" t="s">
        <v>26</v>
      </c>
      <c r="B13" s="5" t="s">
        <v>60</v>
      </c>
      <c r="C13" s="5" t="s">
        <v>61</v>
      </c>
      <c r="D13" s="5" t="s">
        <v>944</v>
      </c>
      <c r="E13" s="5" t="s">
        <v>1003</v>
      </c>
      <c r="F13" s="5" t="s">
        <v>990</v>
      </c>
      <c r="G13" s="5" t="s">
        <v>1004</v>
      </c>
      <c r="H13" s="5" t="s">
        <v>1005</v>
      </c>
      <c r="I13" s="5" t="s">
        <v>1006</v>
      </c>
      <c r="J13" s="5" t="s">
        <v>957</v>
      </c>
      <c r="K13" s="5" t="s">
        <v>912</v>
      </c>
      <c r="L13" s="5" t="s">
        <v>66</v>
      </c>
      <c r="M13" s="5" t="s">
        <v>67</v>
      </c>
      <c r="N13" s="5" t="s">
        <v>1007</v>
      </c>
      <c r="O13" s="5" t="s">
        <v>1008</v>
      </c>
      <c r="P13" s="13">
        <f>IFERROR(__xludf.DUMMYFUNCTION("IF(REGEXMATCH(UPPER(E13),""CONGRESO""),1,0)"),0.0)</f>
        <v>0</v>
      </c>
    </row>
    <row r="14">
      <c r="A14" s="5" t="s">
        <v>26</v>
      </c>
      <c r="B14" s="5" t="s">
        <v>60</v>
      </c>
      <c r="C14" s="5" t="s">
        <v>61</v>
      </c>
      <c r="D14" s="5" t="s">
        <v>944</v>
      </c>
      <c r="E14" s="5" t="s">
        <v>1009</v>
      </c>
      <c r="F14" s="5" t="s">
        <v>1010</v>
      </c>
      <c r="G14" s="5" t="s">
        <v>1011</v>
      </c>
      <c r="H14" s="5" t="s">
        <v>1012</v>
      </c>
      <c r="I14" s="5" t="s">
        <v>956</v>
      </c>
      <c r="J14" s="5" t="s">
        <v>956</v>
      </c>
      <c r="K14" s="5" t="s">
        <v>912</v>
      </c>
      <c r="L14" s="5" t="s">
        <v>66</v>
      </c>
      <c r="M14" s="5" t="s">
        <v>66</v>
      </c>
      <c r="N14" s="5" t="s">
        <v>1013</v>
      </c>
      <c r="O14" s="5" t="s">
        <v>1014</v>
      </c>
      <c r="P14" s="13">
        <f>IFERROR(__xludf.DUMMYFUNCTION("IF(REGEXMATCH(UPPER(E14),""CONGRESO""),1,0)"),0.0)</f>
        <v>0</v>
      </c>
    </row>
    <row r="15">
      <c r="A15" s="5" t="s">
        <v>26</v>
      </c>
      <c r="B15" s="5" t="s">
        <v>71</v>
      </c>
      <c r="C15" s="5" t="s">
        <v>72</v>
      </c>
      <c r="D15" s="5" t="s">
        <v>944</v>
      </c>
      <c r="E15" s="5" t="s">
        <v>1015</v>
      </c>
      <c r="F15" s="5" t="s">
        <v>1016</v>
      </c>
      <c r="H15" s="5" t="s">
        <v>1017</v>
      </c>
      <c r="I15" s="5" t="s">
        <v>968</v>
      </c>
      <c r="J15" s="5" t="s">
        <v>957</v>
      </c>
      <c r="K15" s="5" t="s">
        <v>912</v>
      </c>
      <c r="L15" s="5" t="s">
        <v>56</v>
      </c>
      <c r="M15" s="5" t="s">
        <v>56</v>
      </c>
      <c r="N15" s="5" t="s">
        <v>176</v>
      </c>
      <c r="P15" s="13">
        <f>IFERROR(__xludf.DUMMYFUNCTION("IF(REGEXMATCH(UPPER(E15),""CONGRESO""),1,0)"),0.0)</f>
        <v>0</v>
      </c>
    </row>
    <row r="16">
      <c r="A16" s="5" t="s">
        <v>26</v>
      </c>
      <c r="B16" s="5" t="s">
        <v>71</v>
      </c>
      <c r="C16" s="5" t="s">
        <v>72</v>
      </c>
      <c r="D16" s="5" t="s">
        <v>944</v>
      </c>
      <c r="E16" s="5" t="s">
        <v>1018</v>
      </c>
      <c r="F16" s="5" t="s">
        <v>1019</v>
      </c>
      <c r="H16" s="5" t="s">
        <v>1020</v>
      </c>
      <c r="I16" s="5" t="s">
        <v>957</v>
      </c>
      <c r="J16" s="5" t="s">
        <v>957</v>
      </c>
      <c r="K16" s="5" t="s">
        <v>912</v>
      </c>
      <c r="L16" s="5" t="s">
        <v>56</v>
      </c>
      <c r="M16" s="5" t="s">
        <v>56</v>
      </c>
      <c r="N16" s="5" t="s">
        <v>56</v>
      </c>
      <c r="P16" s="13">
        <f>IFERROR(__xludf.DUMMYFUNCTION("IF(REGEXMATCH(UPPER(E16),""CONGRESO""),1,0)"),0.0)</f>
        <v>0</v>
      </c>
    </row>
    <row r="17">
      <c r="A17" s="5" t="s">
        <v>26</v>
      </c>
      <c r="B17" s="5" t="s">
        <v>71</v>
      </c>
      <c r="C17" s="5" t="s">
        <v>72</v>
      </c>
      <c r="D17" s="5" t="s">
        <v>944</v>
      </c>
      <c r="E17" s="5" t="s">
        <v>1021</v>
      </c>
      <c r="F17" s="5" t="s">
        <v>1022</v>
      </c>
      <c r="H17" s="5" t="s">
        <v>1023</v>
      </c>
      <c r="I17" s="5" t="s">
        <v>957</v>
      </c>
      <c r="J17" s="5" t="s">
        <v>957</v>
      </c>
      <c r="K17" s="5" t="s">
        <v>912</v>
      </c>
      <c r="L17" s="5" t="s">
        <v>56</v>
      </c>
      <c r="M17" s="5" t="s">
        <v>56</v>
      </c>
      <c r="N17" s="5" t="s">
        <v>1024</v>
      </c>
      <c r="P17" s="13">
        <f>IFERROR(__xludf.DUMMYFUNCTION("IF(REGEXMATCH(UPPER(E17),""CONGRESO""),1,0)"),0.0)</f>
        <v>0</v>
      </c>
    </row>
    <row r="18">
      <c r="A18" s="5" t="s">
        <v>26</v>
      </c>
      <c r="B18" s="5" t="s">
        <v>71</v>
      </c>
      <c r="C18" s="5" t="s">
        <v>72</v>
      </c>
      <c r="D18" s="5" t="s">
        <v>944</v>
      </c>
      <c r="E18" s="5" t="s">
        <v>1025</v>
      </c>
      <c r="F18" s="5" t="s">
        <v>1026</v>
      </c>
      <c r="H18" s="5" t="s">
        <v>1027</v>
      </c>
      <c r="I18" s="5" t="s">
        <v>957</v>
      </c>
      <c r="J18" s="5" t="s">
        <v>957</v>
      </c>
      <c r="K18" s="5" t="s">
        <v>912</v>
      </c>
      <c r="L18" s="5" t="s">
        <v>56</v>
      </c>
      <c r="M18" s="5" t="s">
        <v>56</v>
      </c>
      <c r="N18" s="5" t="s">
        <v>310</v>
      </c>
      <c r="P18" s="13">
        <f>IFERROR(__xludf.DUMMYFUNCTION("IF(REGEXMATCH(UPPER(E18),""CONGRESO""),1,0)"),0.0)</f>
        <v>0</v>
      </c>
    </row>
    <row r="19">
      <c r="A19" s="5" t="s">
        <v>26</v>
      </c>
      <c r="B19" s="5" t="s">
        <v>71</v>
      </c>
      <c r="C19" s="5" t="s">
        <v>72</v>
      </c>
      <c r="D19" s="5" t="s">
        <v>944</v>
      </c>
      <c r="E19" s="5" t="s">
        <v>1028</v>
      </c>
      <c r="F19" s="5" t="s">
        <v>1022</v>
      </c>
      <c r="H19" s="5" t="s">
        <v>1029</v>
      </c>
      <c r="I19" s="5" t="s">
        <v>957</v>
      </c>
      <c r="J19" s="5" t="s">
        <v>957</v>
      </c>
      <c r="K19" s="5" t="s">
        <v>912</v>
      </c>
      <c r="L19" s="5" t="s">
        <v>56</v>
      </c>
      <c r="M19" s="5" t="s">
        <v>56</v>
      </c>
      <c r="N19" s="5" t="s">
        <v>983</v>
      </c>
      <c r="P19" s="13">
        <f>IFERROR(__xludf.DUMMYFUNCTION("IF(REGEXMATCH(UPPER(E19),""CONGRESO""),1,0)"),0.0)</f>
        <v>0</v>
      </c>
    </row>
    <row r="20">
      <c r="A20" s="5" t="s">
        <v>26</v>
      </c>
      <c r="B20" s="5" t="s">
        <v>80</v>
      </c>
      <c r="C20" s="5" t="s">
        <v>81</v>
      </c>
      <c r="D20" s="5" t="s">
        <v>944</v>
      </c>
      <c r="E20" s="5" t="s">
        <v>1030</v>
      </c>
      <c r="F20" s="5" t="s">
        <v>1031</v>
      </c>
      <c r="H20" s="5" t="s">
        <v>1032</v>
      </c>
      <c r="I20" s="5" t="s">
        <v>956</v>
      </c>
      <c r="J20" s="5" t="s">
        <v>957</v>
      </c>
      <c r="K20" s="5" t="s">
        <v>912</v>
      </c>
      <c r="L20" s="5" t="s">
        <v>56</v>
      </c>
      <c r="M20" s="5" t="s">
        <v>56</v>
      </c>
      <c r="N20" s="5" t="s">
        <v>250</v>
      </c>
      <c r="P20" s="13">
        <f>IFERROR(__xludf.DUMMYFUNCTION("IF(REGEXMATCH(UPPER(E20),""CONGRESO""),1,0)"),0.0)</f>
        <v>0</v>
      </c>
    </row>
    <row r="21" ht="15.75" customHeight="1">
      <c r="A21" s="5" t="s">
        <v>26</v>
      </c>
      <c r="B21" s="5" t="s">
        <v>80</v>
      </c>
      <c r="C21" s="5" t="s">
        <v>81</v>
      </c>
      <c r="D21" s="5" t="s">
        <v>944</v>
      </c>
      <c r="E21" s="5" t="s">
        <v>1033</v>
      </c>
      <c r="F21" s="5" t="s">
        <v>1034</v>
      </c>
      <c r="G21" s="5" t="s">
        <v>1035</v>
      </c>
      <c r="H21" s="5" t="s">
        <v>1032</v>
      </c>
      <c r="I21" s="5" t="s">
        <v>1036</v>
      </c>
      <c r="J21" s="5" t="s">
        <v>968</v>
      </c>
      <c r="K21" s="5" t="s">
        <v>912</v>
      </c>
      <c r="L21" s="5" t="s">
        <v>56</v>
      </c>
      <c r="M21" s="5" t="s">
        <v>56</v>
      </c>
      <c r="N21" s="5" t="s">
        <v>250</v>
      </c>
      <c r="P21" s="13">
        <f>IFERROR(__xludf.DUMMYFUNCTION("IF(REGEXMATCH(UPPER(E21),""CONGRESO""),1,0)"),0.0)</f>
        <v>0</v>
      </c>
    </row>
    <row r="22" ht="15.75" customHeight="1">
      <c r="A22" s="5" t="s">
        <v>26</v>
      </c>
      <c r="B22" s="5" t="s">
        <v>80</v>
      </c>
      <c r="C22" s="5" t="s">
        <v>81</v>
      </c>
      <c r="D22" s="5" t="s">
        <v>944</v>
      </c>
      <c r="E22" s="5" t="s">
        <v>1037</v>
      </c>
      <c r="F22" s="5" t="s">
        <v>1038</v>
      </c>
      <c r="G22" s="5" t="s">
        <v>1039</v>
      </c>
      <c r="H22" s="5" t="s">
        <v>1040</v>
      </c>
      <c r="I22" s="5" t="s">
        <v>956</v>
      </c>
      <c r="J22" s="5" t="s">
        <v>956</v>
      </c>
      <c r="K22" s="5" t="s">
        <v>912</v>
      </c>
      <c r="L22" s="5" t="s">
        <v>56</v>
      </c>
      <c r="M22" s="5" t="s">
        <v>56</v>
      </c>
      <c r="N22" s="5" t="s">
        <v>640</v>
      </c>
      <c r="O22" s="5" t="s">
        <v>1041</v>
      </c>
      <c r="P22" s="13">
        <f>IFERROR(__xludf.DUMMYFUNCTION("IF(REGEXMATCH(UPPER(E22),""CONGRESO""),1,0)"),0.0)</f>
        <v>0</v>
      </c>
    </row>
    <row r="23" ht="15.75" customHeight="1">
      <c r="A23" s="5" t="s">
        <v>26</v>
      </c>
      <c r="B23" s="5" t="s">
        <v>80</v>
      </c>
      <c r="C23" s="5" t="s">
        <v>81</v>
      </c>
      <c r="D23" s="5" t="s">
        <v>944</v>
      </c>
      <c r="E23" s="5" t="s">
        <v>1042</v>
      </c>
      <c r="F23" s="5" t="s">
        <v>1043</v>
      </c>
      <c r="G23" s="5" t="s">
        <v>1044</v>
      </c>
      <c r="H23" s="5" t="s">
        <v>1045</v>
      </c>
      <c r="I23" s="5" t="s">
        <v>957</v>
      </c>
      <c r="J23" s="5" t="s">
        <v>957</v>
      </c>
      <c r="K23" s="5" t="s">
        <v>912</v>
      </c>
      <c r="L23" s="5" t="s">
        <v>177</v>
      </c>
      <c r="M23" s="5" t="s">
        <v>177</v>
      </c>
      <c r="N23" s="5" t="s">
        <v>177</v>
      </c>
      <c r="O23" s="5" t="s">
        <v>1046</v>
      </c>
      <c r="P23" s="13">
        <f>IFERROR(__xludf.DUMMYFUNCTION("IF(REGEXMATCH(UPPER(E23),""CONGRESO""),1,0)"),0.0)</f>
        <v>0</v>
      </c>
    </row>
    <row r="24" ht="15.75" customHeight="1">
      <c r="A24" s="5" t="s">
        <v>26</v>
      </c>
      <c r="B24" s="5" t="s">
        <v>80</v>
      </c>
      <c r="C24" s="5" t="s">
        <v>81</v>
      </c>
      <c r="D24" s="5" t="s">
        <v>944</v>
      </c>
      <c r="E24" s="5" t="s">
        <v>1047</v>
      </c>
      <c r="F24" s="5" t="s">
        <v>1048</v>
      </c>
      <c r="G24" s="5" t="s">
        <v>1049</v>
      </c>
      <c r="H24" s="5" t="s">
        <v>1050</v>
      </c>
      <c r="I24" s="5" t="s">
        <v>949</v>
      </c>
      <c r="J24" s="5" t="s">
        <v>1036</v>
      </c>
      <c r="K24" s="5" t="s">
        <v>912</v>
      </c>
      <c r="L24" s="5" t="s">
        <v>56</v>
      </c>
      <c r="M24" s="5" t="s">
        <v>56</v>
      </c>
      <c r="N24" s="5" t="s">
        <v>1051</v>
      </c>
      <c r="P24" s="13">
        <f>IFERROR(__xludf.DUMMYFUNCTION("IF(REGEXMATCH(UPPER(E24),""CONGRESO""),1,0)"),0.0)</f>
        <v>0</v>
      </c>
    </row>
    <row r="25" ht="15.75" customHeight="1">
      <c r="A25" s="5" t="s">
        <v>26</v>
      </c>
      <c r="B25" s="5" t="s">
        <v>91</v>
      </c>
      <c r="C25" s="5" t="s">
        <v>92</v>
      </c>
      <c r="D25" s="5" t="s">
        <v>944</v>
      </c>
      <c r="E25" s="5" t="s">
        <v>1052</v>
      </c>
      <c r="F25" s="5" t="s">
        <v>1053</v>
      </c>
      <c r="G25" s="5" t="s">
        <v>1054</v>
      </c>
      <c r="H25" s="5" t="s">
        <v>1055</v>
      </c>
      <c r="I25" s="5" t="s">
        <v>1056</v>
      </c>
      <c r="J25" s="5" t="s">
        <v>1006</v>
      </c>
      <c r="K25" s="5" t="s">
        <v>912</v>
      </c>
      <c r="L25" s="5" t="s">
        <v>56</v>
      </c>
      <c r="M25" s="5" t="s">
        <v>56</v>
      </c>
      <c r="N25" s="5" t="s">
        <v>983</v>
      </c>
      <c r="P25" s="13">
        <f>IFERROR(__xludf.DUMMYFUNCTION("IF(REGEXMATCH(UPPER(E25),""CONGRESO""),1,0)"),0.0)</f>
        <v>0</v>
      </c>
    </row>
    <row r="26" ht="15.75" customHeight="1">
      <c r="A26" s="5" t="s">
        <v>26</v>
      </c>
      <c r="B26" s="5" t="s">
        <v>91</v>
      </c>
      <c r="C26" s="5" t="s">
        <v>92</v>
      </c>
      <c r="D26" s="5" t="s">
        <v>944</v>
      </c>
      <c r="E26" s="5" t="s">
        <v>1057</v>
      </c>
      <c r="F26" s="5" t="s">
        <v>1058</v>
      </c>
      <c r="G26" s="5" t="s">
        <v>1059</v>
      </c>
      <c r="H26" s="5" t="s">
        <v>1060</v>
      </c>
      <c r="I26" s="5" t="s">
        <v>968</v>
      </c>
      <c r="J26" s="5" t="s">
        <v>957</v>
      </c>
      <c r="K26" s="5" t="s">
        <v>912</v>
      </c>
      <c r="L26" s="5" t="s">
        <v>56</v>
      </c>
      <c r="M26" s="5" t="s">
        <v>56</v>
      </c>
      <c r="N26" s="5" t="s">
        <v>250</v>
      </c>
      <c r="O26" s="5" t="s">
        <v>1061</v>
      </c>
      <c r="P26" s="13">
        <f>IFERROR(__xludf.DUMMYFUNCTION("IF(REGEXMATCH(UPPER(E26),""CONGRESO""),1,0)"),0.0)</f>
        <v>0</v>
      </c>
    </row>
    <row r="27" ht="15.75" customHeight="1">
      <c r="A27" s="5" t="s">
        <v>26</v>
      </c>
      <c r="B27" s="5" t="s">
        <v>91</v>
      </c>
      <c r="C27" s="5" t="s">
        <v>92</v>
      </c>
      <c r="D27" s="5" t="s">
        <v>944</v>
      </c>
      <c r="E27" s="5" t="s">
        <v>1062</v>
      </c>
      <c r="F27" s="5" t="s">
        <v>1063</v>
      </c>
      <c r="G27" s="5" t="s">
        <v>1064</v>
      </c>
      <c r="H27" s="5" t="s">
        <v>1065</v>
      </c>
      <c r="I27" s="5" t="s">
        <v>957</v>
      </c>
      <c r="J27" s="5" t="s">
        <v>957</v>
      </c>
      <c r="K27" s="5" t="s">
        <v>912</v>
      </c>
      <c r="L27" s="5" t="s">
        <v>56</v>
      </c>
      <c r="M27" s="5" t="s">
        <v>56</v>
      </c>
      <c r="N27" s="5" t="s">
        <v>56</v>
      </c>
      <c r="O27" s="5" t="s">
        <v>1066</v>
      </c>
      <c r="P27" s="13">
        <f>IFERROR(__xludf.DUMMYFUNCTION("IF(REGEXMATCH(UPPER(E27),""CONGRESO""),1,0)"),0.0)</f>
        <v>0</v>
      </c>
    </row>
    <row r="28" ht="15.75" customHeight="1">
      <c r="A28" s="5" t="s">
        <v>26</v>
      </c>
      <c r="B28" s="5" t="s">
        <v>91</v>
      </c>
      <c r="C28" s="5" t="s">
        <v>92</v>
      </c>
      <c r="D28" s="5" t="s">
        <v>944</v>
      </c>
      <c r="E28" s="5" t="s">
        <v>1067</v>
      </c>
      <c r="F28" s="5" t="s">
        <v>1068</v>
      </c>
      <c r="G28" s="5" t="s">
        <v>1069</v>
      </c>
      <c r="H28" s="5" t="s">
        <v>1070</v>
      </c>
      <c r="I28" s="5" t="s">
        <v>974</v>
      </c>
      <c r="J28" s="5" t="s">
        <v>950</v>
      </c>
      <c r="K28" s="5" t="s">
        <v>912</v>
      </c>
      <c r="L28" s="5" t="s">
        <v>86</v>
      </c>
      <c r="M28" s="5" t="s">
        <v>1071</v>
      </c>
      <c r="N28" s="5" t="s">
        <v>1072</v>
      </c>
      <c r="P28" s="13">
        <f>IFERROR(__xludf.DUMMYFUNCTION("IF(REGEXMATCH(UPPER(E28),""CONGRESO""),1,0)"),0.0)</f>
        <v>0</v>
      </c>
    </row>
    <row r="29" ht="15.75" customHeight="1">
      <c r="A29" s="5" t="s">
        <v>26</v>
      </c>
      <c r="B29" s="5" t="s">
        <v>100</v>
      </c>
      <c r="C29" s="5" t="s">
        <v>101</v>
      </c>
      <c r="D29" s="5" t="s">
        <v>944</v>
      </c>
      <c r="E29" s="5" t="s">
        <v>1073</v>
      </c>
      <c r="F29" s="5" t="s">
        <v>1074</v>
      </c>
      <c r="H29" s="5" t="s">
        <v>1075</v>
      </c>
      <c r="I29" s="5" t="s">
        <v>968</v>
      </c>
      <c r="J29" s="5" t="s">
        <v>957</v>
      </c>
      <c r="K29" s="5" t="s">
        <v>912</v>
      </c>
      <c r="L29" s="5" t="s">
        <v>105</v>
      </c>
      <c r="M29" s="5" t="s">
        <v>327</v>
      </c>
      <c r="N29" s="5" t="s">
        <v>1076</v>
      </c>
      <c r="O29" s="5" t="s">
        <v>1077</v>
      </c>
      <c r="P29" s="13">
        <f>IFERROR(__xludf.DUMMYFUNCTION("IF(REGEXMATCH(UPPER(E29),""CONGRESO""),1,0)"),0.0)</f>
        <v>0</v>
      </c>
    </row>
    <row r="30" ht="15.75" customHeight="1">
      <c r="A30" s="5" t="s">
        <v>26</v>
      </c>
      <c r="B30" s="5" t="s">
        <v>100</v>
      </c>
      <c r="C30" s="5" t="s">
        <v>101</v>
      </c>
      <c r="D30" s="5" t="s">
        <v>944</v>
      </c>
      <c r="E30" s="5" t="s">
        <v>1078</v>
      </c>
      <c r="F30" s="5" t="s">
        <v>1079</v>
      </c>
      <c r="G30" s="5" t="s">
        <v>1080</v>
      </c>
      <c r="H30" s="5" t="s">
        <v>1081</v>
      </c>
      <c r="I30" s="5" t="s">
        <v>950</v>
      </c>
      <c r="J30" s="5" t="s">
        <v>957</v>
      </c>
      <c r="K30" s="5" t="s">
        <v>912</v>
      </c>
      <c r="L30" s="5" t="s">
        <v>105</v>
      </c>
      <c r="M30" s="5" t="s">
        <v>327</v>
      </c>
      <c r="N30" s="5" t="s">
        <v>1076</v>
      </c>
      <c r="P30" s="13">
        <f>IFERROR(__xludf.DUMMYFUNCTION("IF(REGEXMATCH(UPPER(E30),""CONGRESO""),1,0)"),0.0)</f>
        <v>0</v>
      </c>
    </row>
    <row r="31" ht="15.75" customHeight="1">
      <c r="A31" s="5" t="s">
        <v>26</v>
      </c>
      <c r="B31" s="5" t="s">
        <v>100</v>
      </c>
      <c r="C31" s="5" t="s">
        <v>101</v>
      </c>
      <c r="D31" s="5" t="s">
        <v>944</v>
      </c>
      <c r="E31" s="5" t="s">
        <v>1082</v>
      </c>
      <c r="F31" s="5" t="s">
        <v>1083</v>
      </c>
      <c r="G31" s="5" t="s">
        <v>1084</v>
      </c>
      <c r="H31" s="5" t="s">
        <v>1085</v>
      </c>
      <c r="I31" s="5" t="s">
        <v>1086</v>
      </c>
      <c r="J31" s="5" t="s">
        <v>957</v>
      </c>
      <c r="K31" s="5" t="s">
        <v>912</v>
      </c>
      <c r="L31" s="5" t="s">
        <v>105</v>
      </c>
      <c r="M31" s="5" t="s">
        <v>327</v>
      </c>
      <c r="N31" s="5" t="s">
        <v>327</v>
      </c>
      <c r="O31" s="5" t="s">
        <v>1087</v>
      </c>
      <c r="P31" s="13">
        <f>IFERROR(__xludf.DUMMYFUNCTION("IF(REGEXMATCH(UPPER(E31),""CONGRESO""),1,0)"),0.0)</f>
        <v>0</v>
      </c>
    </row>
    <row r="32" ht="15.75" customHeight="1">
      <c r="A32" s="5" t="s">
        <v>26</v>
      </c>
      <c r="B32" s="5" t="s">
        <v>100</v>
      </c>
      <c r="C32" s="5" t="s">
        <v>101</v>
      </c>
      <c r="D32" s="5" t="s">
        <v>944</v>
      </c>
      <c r="E32" s="5" t="s">
        <v>1088</v>
      </c>
      <c r="F32" s="5" t="s">
        <v>1089</v>
      </c>
      <c r="G32" s="5" t="s">
        <v>1090</v>
      </c>
      <c r="H32" s="5" t="s">
        <v>1075</v>
      </c>
      <c r="I32" s="5" t="s">
        <v>950</v>
      </c>
      <c r="J32" s="5" t="s">
        <v>957</v>
      </c>
      <c r="K32" s="5" t="s">
        <v>912</v>
      </c>
      <c r="L32" s="5" t="s">
        <v>105</v>
      </c>
      <c r="M32" s="5" t="s">
        <v>327</v>
      </c>
      <c r="N32" s="5" t="s">
        <v>1076</v>
      </c>
      <c r="P32" s="13">
        <f>IFERROR(__xludf.DUMMYFUNCTION("IF(REGEXMATCH(UPPER(E32),""CONGRESO""),1,0)"),0.0)</f>
        <v>0</v>
      </c>
    </row>
    <row r="33" ht="15.75" customHeight="1">
      <c r="A33" s="5" t="s">
        <v>26</v>
      </c>
      <c r="B33" s="5" t="s">
        <v>110</v>
      </c>
      <c r="C33" s="5" t="s">
        <v>111</v>
      </c>
      <c r="D33" s="5" t="s">
        <v>944</v>
      </c>
      <c r="E33" s="5" t="s">
        <v>1091</v>
      </c>
      <c r="F33" s="5" t="s">
        <v>1092</v>
      </c>
      <c r="H33" s="5" t="s">
        <v>1093</v>
      </c>
      <c r="I33" s="5" t="s">
        <v>1094</v>
      </c>
      <c r="J33" s="5" t="s">
        <v>957</v>
      </c>
      <c r="K33" s="5" t="s">
        <v>912</v>
      </c>
      <c r="L33" s="5" t="s">
        <v>116</v>
      </c>
      <c r="M33" s="5" t="s">
        <v>1095</v>
      </c>
      <c r="N33" s="5" t="s">
        <v>1096</v>
      </c>
      <c r="O33" s="5" t="s">
        <v>1097</v>
      </c>
      <c r="P33" s="13">
        <f>IFERROR(__xludf.DUMMYFUNCTION("IF(REGEXMATCH(UPPER(E33),""CONGRESO""),1,0)"),0.0)</f>
        <v>0</v>
      </c>
    </row>
    <row r="34" ht="15.75" customHeight="1">
      <c r="A34" s="5" t="s">
        <v>121</v>
      </c>
      <c r="B34" s="5" t="s">
        <v>122</v>
      </c>
      <c r="C34" s="5" t="s">
        <v>123</v>
      </c>
      <c r="D34" s="5" t="s">
        <v>944</v>
      </c>
      <c r="E34" s="5" t="s">
        <v>1098</v>
      </c>
      <c r="F34" s="5" t="s">
        <v>1099</v>
      </c>
      <c r="G34" s="5" t="s">
        <v>1100</v>
      </c>
      <c r="H34" s="5" t="s">
        <v>1101</v>
      </c>
      <c r="I34" s="5" t="s">
        <v>1102</v>
      </c>
      <c r="J34" s="5" t="s">
        <v>957</v>
      </c>
      <c r="K34" s="5" t="s">
        <v>912</v>
      </c>
      <c r="L34" s="5" t="s">
        <v>56</v>
      </c>
      <c r="M34" s="5" t="s">
        <v>56</v>
      </c>
      <c r="N34" s="5" t="s">
        <v>56</v>
      </c>
      <c r="O34" s="5" t="s">
        <v>1103</v>
      </c>
      <c r="P34" s="13">
        <f>IFERROR(__xludf.DUMMYFUNCTION("IF(REGEXMATCH(UPPER(E34),""CONGRESO""),1,0)"),1.0)</f>
        <v>1</v>
      </c>
    </row>
    <row r="35" ht="15.75" customHeight="1">
      <c r="A35" s="5" t="s">
        <v>121</v>
      </c>
      <c r="B35" s="5" t="s">
        <v>122</v>
      </c>
      <c r="C35" s="5" t="s">
        <v>123</v>
      </c>
      <c r="D35" s="5" t="s">
        <v>944</v>
      </c>
      <c r="E35" s="5" t="s">
        <v>1098</v>
      </c>
      <c r="F35" s="5" t="s">
        <v>1104</v>
      </c>
      <c r="G35" s="5" t="s">
        <v>1100</v>
      </c>
      <c r="H35" s="5" t="s">
        <v>1105</v>
      </c>
      <c r="I35" s="5" t="s">
        <v>957</v>
      </c>
      <c r="J35" s="5" t="s">
        <v>957</v>
      </c>
      <c r="K35" s="5" t="s">
        <v>912</v>
      </c>
      <c r="L35" s="5" t="s">
        <v>56</v>
      </c>
      <c r="M35" s="5" t="s">
        <v>56</v>
      </c>
      <c r="N35" s="5" t="s">
        <v>56</v>
      </c>
      <c r="O35" s="5" t="s">
        <v>1106</v>
      </c>
      <c r="P35" s="13">
        <f>IFERROR(__xludf.DUMMYFUNCTION("IF(REGEXMATCH(UPPER(E35),""CONGRESO""),1,0)"),1.0)</f>
        <v>1</v>
      </c>
    </row>
    <row r="36" ht="15.75" customHeight="1">
      <c r="A36" s="5" t="s">
        <v>121</v>
      </c>
      <c r="B36" s="5" t="s">
        <v>133</v>
      </c>
      <c r="C36" s="5" t="s">
        <v>134</v>
      </c>
      <c r="D36" s="5" t="s">
        <v>944</v>
      </c>
      <c r="E36" s="5" t="s">
        <v>1107</v>
      </c>
      <c r="F36" s="5" t="s">
        <v>1108</v>
      </c>
      <c r="G36" s="5" t="s">
        <v>1100</v>
      </c>
      <c r="H36" s="5" t="s">
        <v>1109</v>
      </c>
      <c r="I36" s="5" t="s">
        <v>1110</v>
      </c>
      <c r="J36" s="5" t="s">
        <v>1111</v>
      </c>
      <c r="K36" s="5" t="s">
        <v>912</v>
      </c>
      <c r="L36" s="5" t="s">
        <v>56</v>
      </c>
      <c r="M36" s="5" t="s">
        <v>56</v>
      </c>
      <c r="N36" s="5" t="s">
        <v>56</v>
      </c>
      <c r="O36" s="5" t="s">
        <v>1112</v>
      </c>
      <c r="P36" s="13">
        <f>IFERROR(__xludf.DUMMYFUNCTION("IF(REGEXMATCH(UPPER(E36),""CONGRESO""),1,0)"),1.0)</f>
        <v>1</v>
      </c>
    </row>
    <row r="37" ht="15.75" customHeight="1">
      <c r="A37" s="5" t="s">
        <v>121</v>
      </c>
      <c r="B37" s="5" t="s">
        <v>133</v>
      </c>
      <c r="C37" s="5" t="s">
        <v>134</v>
      </c>
      <c r="D37" s="5" t="s">
        <v>944</v>
      </c>
      <c r="E37" s="5" t="s">
        <v>1107</v>
      </c>
      <c r="F37" s="5" t="s">
        <v>1108</v>
      </c>
      <c r="G37" s="5" t="s">
        <v>1100</v>
      </c>
      <c r="H37" s="5" t="s">
        <v>1109</v>
      </c>
      <c r="I37" s="5" t="s">
        <v>1113</v>
      </c>
      <c r="J37" s="5" t="s">
        <v>1110</v>
      </c>
      <c r="K37" s="5" t="s">
        <v>912</v>
      </c>
      <c r="L37" s="5" t="s">
        <v>56</v>
      </c>
      <c r="M37" s="5" t="s">
        <v>56</v>
      </c>
      <c r="N37" s="5" t="s">
        <v>56</v>
      </c>
      <c r="O37" s="5" t="s">
        <v>1114</v>
      </c>
      <c r="P37" s="13">
        <f>IFERROR(__xludf.DUMMYFUNCTION("IF(REGEXMATCH(UPPER(E37),""CONGRESO""),1,0)"),1.0)</f>
        <v>1</v>
      </c>
    </row>
    <row r="38" ht="15.75" customHeight="1">
      <c r="A38" s="5" t="s">
        <v>121</v>
      </c>
      <c r="B38" s="5" t="s">
        <v>133</v>
      </c>
      <c r="C38" s="5" t="s">
        <v>134</v>
      </c>
      <c r="D38" s="5" t="s">
        <v>944</v>
      </c>
      <c r="E38" s="5" t="s">
        <v>1107</v>
      </c>
      <c r="F38" s="5" t="s">
        <v>1115</v>
      </c>
      <c r="H38" s="5" t="s">
        <v>1109</v>
      </c>
      <c r="I38" s="5" t="s">
        <v>1111</v>
      </c>
      <c r="J38" s="5" t="s">
        <v>1056</v>
      </c>
      <c r="K38" s="5" t="s">
        <v>912</v>
      </c>
      <c r="L38" s="5" t="s">
        <v>56</v>
      </c>
      <c r="M38" s="5" t="s">
        <v>56</v>
      </c>
      <c r="N38" s="5" t="s">
        <v>56</v>
      </c>
      <c r="O38" s="5" t="s">
        <v>1116</v>
      </c>
      <c r="P38" s="13">
        <f>IFERROR(__xludf.DUMMYFUNCTION("IF(REGEXMATCH(UPPER(E38),""CONGRESO""),1,0)"),1.0)</f>
        <v>1</v>
      </c>
    </row>
    <row r="39" ht="15.75" customHeight="1">
      <c r="A39" s="5" t="s">
        <v>121</v>
      </c>
      <c r="B39" s="5" t="s">
        <v>133</v>
      </c>
      <c r="C39" s="5" t="s">
        <v>134</v>
      </c>
      <c r="D39" s="5" t="s">
        <v>944</v>
      </c>
      <c r="E39" s="5" t="s">
        <v>1107</v>
      </c>
      <c r="F39" s="5" t="s">
        <v>1117</v>
      </c>
      <c r="H39" s="5" t="s">
        <v>1109</v>
      </c>
      <c r="I39" s="5" t="s">
        <v>1056</v>
      </c>
      <c r="J39" s="5" t="s">
        <v>1036</v>
      </c>
      <c r="K39" s="5" t="s">
        <v>912</v>
      </c>
      <c r="L39" s="5" t="s">
        <v>56</v>
      </c>
      <c r="M39" s="5" t="s">
        <v>56</v>
      </c>
      <c r="N39" s="5" t="s">
        <v>56</v>
      </c>
      <c r="O39" s="5" t="s">
        <v>1118</v>
      </c>
      <c r="P39" s="13">
        <f>IFERROR(__xludf.DUMMYFUNCTION("IF(REGEXMATCH(UPPER(E39),""CONGRESO""),1,0)"),1.0)</f>
        <v>1</v>
      </c>
    </row>
    <row r="40" ht="15.75" customHeight="1">
      <c r="A40" s="5" t="s">
        <v>121</v>
      </c>
      <c r="B40" s="5" t="s">
        <v>133</v>
      </c>
      <c r="C40" s="5" t="s">
        <v>134</v>
      </c>
      <c r="D40" s="5" t="s">
        <v>944</v>
      </c>
      <c r="E40" s="5" t="s">
        <v>1107</v>
      </c>
      <c r="F40" s="5" t="s">
        <v>1119</v>
      </c>
      <c r="G40" s="5" t="s">
        <v>1100</v>
      </c>
      <c r="H40" s="5" t="s">
        <v>1109</v>
      </c>
      <c r="I40" s="5" t="s">
        <v>974</v>
      </c>
      <c r="J40" s="5" t="s">
        <v>957</v>
      </c>
      <c r="K40" s="5" t="s">
        <v>912</v>
      </c>
      <c r="L40" s="5" t="s">
        <v>56</v>
      </c>
      <c r="M40" s="5" t="s">
        <v>56</v>
      </c>
      <c r="N40" s="5" t="s">
        <v>56</v>
      </c>
      <c r="O40" s="5" t="s">
        <v>1120</v>
      </c>
      <c r="P40" s="13">
        <f>IFERROR(__xludf.DUMMYFUNCTION("IF(REGEXMATCH(UPPER(E40),""CONGRESO""),1,0)"),1.0)</f>
        <v>1</v>
      </c>
    </row>
    <row r="41" ht="15.75" customHeight="1">
      <c r="A41" s="5" t="s">
        <v>121</v>
      </c>
      <c r="B41" s="5" t="s">
        <v>142</v>
      </c>
      <c r="C41" s="5" t="s">
        <v>143</v>
      </c>
      <c r="D41" s="5" t="s">
        <v>944</v>
      </c>
      <c r="E41" s="5" t="s">
        <v>1121</v>
      </c>
      <c r="F41" s="5" t="s">
        <v>1122</v>
      </c>
      <c r="G41" s="5" t="s">
        <v>1123</v>
      </c>
      <c r="H41" s="5" t="s">
        <v>1124</v>
      </c>
      <c r="I41" s="5" t="s">
        <v>968</v>
      </c>
      <c r="J41" s="5" t="s">
        <v>968</v>
      </c>
      <c r="K41" s="5" t="s">
        <v>912</v>
      </c>
      <c r="L41" s="5" t="s">
        <v>56</v>
      </c>
      <c r="M41" s="5" t="s">
        <v>148</v>
      </c>
      <c r="N41" s="5" t="s">
        <v>149</v>
      </c>
      <c r="O41" s="5" t="s">
        <v>1125</v>
      </c>
      <c r="P41" s="13">
        <f>IFERROR(__xludf.DUMMYFUNCTION("IF(REGEXMATCH(UPPER(E41),""CONGRESO""),1,0)"),0.0)</f>
        <v>0</v>
      </c>
    </row>
    <row r="42" ht="15.75" customHeight="1">
      <c r="A42" s="5" t="s">
        <v>121</v>
      </c>
      <c r="B42" s="5" t="s">
        <v>142</v>
      </c>
      <c r="C42" s="5" t="s">
        <v>143</v>
      </c>
      <c r="D42" s="5" t="s">
        <v>944</v>
      </c>
      <c r="E42" s="5" t="s">
        <v>1126</v>
      </c>
      <c r="F42" s="5" t="s">
        <v>1122</v>
      </c>
      <c r="H42" s="5" t="s">
        <v>1127</v>
      </c>
      <c r="I42" s="5" t="s">
        <v>1128</v>
      </c>
      <c r="J42" s="5" t="s">
        <v>1056</v>
      </c>
      <c r="K42" s="5" t="s">
        <v>912</v>
      </c>
      <c r="L42" s="5" t="s">
        <v>56</v>
      </c>
      <c r="M42" s="5" t="s">
        <v>148</v>
      </c>
      <c r="N42" s="5" t="s">
        <v>149</v>
      </c>
      <c r="P42" s="13">
        <f>IFERROR(__xludf.DUMMYFUNCTION("IF(REGEXMATCH(UPPER(E42),""CONGRESO""),1,0)"),0.0)</f>
        <v>0</v>
      </c>
    </row>
    <row r="43" ht="15.75" customHeight="1">
      <c r="A43" s="5" t="s">
        <v>121</v>
      </c>
      <c r="B43" s="5" t="s">
        <v>142</v>
      </c>
      <c r="C43" s="5" t="s">
        <v>143</v>
      </c>
      <c r="D43" s="5" t="s">
        <v>944</v>
      </c>
      <c r="E43" s="5" t="s">
        <v>1129</v>
      </c>
      <c r="F43" s="5" t="s">
        <v>1130</v>
      </c>
      <c r="H43" s="5" t="s">
        <v>1131</v>
      </c>
      <c r="I43" s="5" t="s">
        <v>1056</v>
      </c>
      <c r="J43" s="5" t="s">
        <v>1036</v>
      </c>
      <c r="K43" s="5" t="s">
        <v>912</v>
      </c>
      <c r="L43" s="5" t="s">
        <v>56</v>
      </c>
      <c r="M43" s="5" t="s">
        <v>56</v>
      </c>
      <c r="N43" s="5" t="s">
        <v>56</v>
      </c>
      <c r="P43" s="13">
        <f>IFERROR(__xludf.DUMMYFUNCTION("IF(REGEXMATCH(UPPER(E43),""CONGRESO""),1,0)"),1.0)</f>
        <v>1</v>
      </c>
    </row>
    <row r="44" ht="15.75" customHeight="1">
      <c r="A44" s="5" t="s">
        <v>121</v>
      </c>
      <c r="B44" s="5" t="s">
        <v>142</v>
      </c>
      <c r="C44" s="5" t="s">
        <v>143</v>
      </c>
      <c r="D44" s="5" t="s">
        <v>944</v>
      </c>
      <c r="E44" s="5" t="s">
        <v>1132</v>
      </c>
      <c r="F44" s="5" t="s">
        <v>1133</v>
      </c>
      <c r="H44" s="5" t="s">
        <v>1134</v>
      </c>
      <c r="I44" s="5" t="s">
        <v>950</v>
      </c>
      <c r="J44" s="5" t="s">
        <v>956</v>
      </c>
      <c r="K44" s="5" t="s">
        <v>912</v>
      </c>
      <c r="L44" s="5" t="s">
        <v>177</v>
      </c>
      <c r="M44" s="5" t="s">
        <v>177</v>
      </c>
      <c r="N44" s="5" t="s">
        <v>1135</v>
      </c>
      <c r="P44" s="13">
        <f>IFERROR(__xludf.DUMMYFUNCTION("IF(REGEXMATCH(UPPER(E44),""CONGRESO""),1,0)"),0.0)</f>
        <v>0</v>
      </c>
    </row>
    <row r="45" ht="15.75" customHeight="1">
      <c r="A45" s="5" t="s">
        <v>121</v>
      </c>
      <c r="B45" s="5" t="s">
        <v>142</v>
      </c>
      <c r="C45" s="5" t="s">
        <v>143</v>
      </c>
      <c r="D45" s="5" t="s">
        <v>944</v>
      </c>
      <c r="E45" s="5" t="s">
        <v>1136</v>
      </c>
      <c r="F45" s="5" t="s">
        <v>1122</v>
      </c>
      <c r="G45" s="5" t="s">
        <v>1137</v>
      </c>
      <c r="H45" s="5" t="s">
        <v>1138</v>
      </c>
      <c r="I45" s="5" t="s">
        <v>968</v>
      </c>
      <c r="J45" s="5" t="s">
        <v>968</v>
      </c>
      <c r="K45" s="5" t="s">
        <v>912</v>
      </c>
      <c r="L45" s="5" t="s">
        <v>56</v>
      </c>
      <c r="M45" s="5" t="s">
        <v>148</v>
      </c>
      <c r="N45" s="5" t="s">
        <v>149</v>
      </c>
      <c r="O45" s="5" t="s">
        <v>1139</v>
      </c>
      <c r="P45" s="13">
        <f>IFERROR(__xludf.DUMMYFUNCTION("IF(REGEXMATCH(UPPER(E45),""CONGRESO""),1,0)"),0.0)</f>
        <v>0</v>
      </c>
    </row>
    <row r="46" ht="15.75" customHeight="1">
      <c r="A46" s="5" t="s">
        <v>121</v>
      </c>
      <c r="B46" s="5" t="s">
        <v>153</v>
      </c>
      <c r="C46" s="5" t="s">
        <v>154</v>
      </c>
      <c r="D46" s="5" t="s">
        <v>944</v>
      </c>
      <c r="E46" s="5" t="s">
        <v>1140</v>
      </c>
      <c r="F46" s="5" t="s">
        <v>1141</v>
      </c>
      <c r="H46" s="5" t="s">
        <v>1142</v>
      </c>
      <c r="I46" s="5" t="s">
        <v>1006</v>
      </c>
      <c r="J46" s="5" t="s">
        <v>1006</v>
      </c>
      <c r="K46" s="5" t="s">
        <v>912</v>
      </c>
      <c r="L46" s="5" t="s">
        <v>56</v>
      </c>
      <c r="M46" s="5" t="s">
        <v>56</v>
      </c>
      <c r="N46" s="5" t="s">
        <v>56</v>
      </c>
      <c r="P46" s="13">
        <f>IFERROR(__xludf.DUMMYFUNCTION("IF(REGEXMATCH(UPPER(E46),""CONGRESO""),1,0)"),0.0)</f>
        <v>0</v>
      </c>
    </row>
    <row r="47" ht="15.75" customHeight="1">
      <c r="A47" s="5" t="s">
        <v>121</v>
      </c>
      <c r="B47" s="5" t="s">
        <v>153</v>
      </c>
      <c r="C47" s="5" t="s">
        <v>154</v>
      </c>
      <c r="D47" s="5" t="s">
        <v>944</v>
      </c>
      <c r="E47" s="5" t="s">
        <v>1107</v>
      </c>
      <c r="F47" s="5" t="s">
        <v>1119</v>
      </c>
      <c r="H47" s="5" t="s">
        <v>1143</v>
      </c>
      <c r="I47" s="5" t="s">
        <v>974</v>
      </c>
      <c r="J47" s="5" t="s">
        <v>957</v>
      </c>
      <c r="K47" s="5" t="s">
        <v>912</v>
      </c>
      <c r="L47" s="5" t="s">
        <v>56</v>
      </c>
      <c r="M47" s="5" t="s">
        <v>56</v>
      </c>
      <c r="N47" s="5" t="s">
        <v>56</v>
      </c>
      <c r="P47" s="13">
        <f>IFERROR(__xludf.DUMMYFUNCTION("IF(REGEXMATCH(UPPER(E47),""CONGRESO""),1,0)"),1.0)</f>
        <v>1</v>
      </c>
    </row>
    <row r="48" ht="15.75" customHeight="1">
      <c r="A48" s="5" t="s">
        <v>121</v>
      </c>
      <c r="B48" s="5" t="s">
        <v>153</v>
      </c>
      <c r="C48" s="5" t="s">
        <v>154</v>
      </c>
      <c r="D48" s="5" t="s">
        <v>944</v>
      </c>
      <c r="E48" s="5" t="s">
        <v>1107</v>
      </c>
      <c r="F48" s="5" t="s">
        <v>1144</v>
      </c>
      <c r="H48" s="5" t="s">
        <v>1143</v>
      </c>
      <c r="I48" s="5" t="s">
        <v>1145</v>
      </c>
      <c r="J48" s="5" t="s">
        <v>1006</v>
      </c>
      <c r="K48" s="5" t="s">
        <v>912</v>
      </c>
      <c r="L48" s="5" t="s">
        <v>56</v>
      </c>
      <c r="M48" s="5" t="s">
        <v>56</v>
      </c>
      <c r="N48" s="5" t="s">
        <v>56</v>
      </c>
      <c r="P48" s="13">
        <f>IFERROR(__xludf.DUMMYFUNCTION("IF(REGEXMATCH(UPPER(E48),""CONGRESO""),1,0)"),1.0)</f>
        <v>1</v>
      </c>
    </row>
    <row r="49" ht="15.75" customHeight="1">
      <c r="A49" s="5" t="s">
        <v>121</v>
      </c>
      <c r="B49" s="5" t="s">
        <v>153</v>
      </c>
      <c r="C49" s="5" t="s">
        <v>154</v>
      </c>
      <c r="D49" s="5" t="s">
        <v>944</v>
      </c>
      <c r="E49" s="5" t="s">
        <v>1146</v>
      </c>
      <c r="F49" s="5" t="s">
        <v>1147</v>
      </c>
      <c r="H49" s="5" t="s">
        <v>1148</v>
      </c>
      <c r="I49" s="5" t="s">
        <v>1006</v>
      </c>
      <c r="J49" s="5" t="s">
        <v>1036</v>
      </c>
      <c r="K49" s="5" t="s">
        <v>912</v>
      </c>
      <c r="L49" s="5" t="s">
        <v>167</v>
      </c>
      <c r="M49" s="5" t="s">
        <v>167</v>
      </c>
      <c r="N49" s="5" t="s">
        <v>167</v>
      </c>
      <c r="P49" s="13">
        <f>IFERROR(__xludf.DUMMYFUNCTION("IF(REGEXMATCH(UPPER(E49),""CONGRESO""),1,0)"),0.0)</f>
        <v>0</v>
      </c>
    </row>
    <row r="50" ht="15.75" customHeight="1">
      <c r="A50" s="5" t="s">
        <v>121</v>
      </c>
      <c r="B50" s="5" t="s">
        <v>153</v>
      </c>
      <c r="C50" s="5" t="s">
        <v>154</v>
      </c>
      <c r="D50" s="5" t="s">
        <v>944</v>
      </c>
      <c r="E50" s="5" t="s">
        <v>1107</v>
      </c>
      <c r="F50" s="5" t="s">
        <v>1144</v>
      </c>
      <c r="H50" s="5" t="s">
        <v>1143</v>
      </c>
      <c r="I50" s="5" t="s">
        <v>1036</v>
      </c>
      <c r="J50" s="5" t="s">
        <v>974</v>
      </c>
      <c r="K50" s="5" t="s">
        <v>912</v>
      </c>
      <c r="L50" s="5" t="s">
        <v>56</v>
      </c>
      <c r="M50" s="5" t="s">
        <v>56</v>
      </c>
      <c r="N50" s="5" t="s">
        <v>56</v>
      </c>
      <c r="P50" s="13">
        <f>IFERROR(__xludf.DUMMYFUNCTION("IF(REGEXMATCH(UPPER(E50),""CONGRESO""),1,0)"),1.0)</f>
        <v>1</v>
      </c>
    </row>
    <row r="51" ht="15.75" customHeight="1">
      <c r="A51" s="5" t="s">
        <v>121</v>
      </c>
      <c r="B51" s="5" t="s">
        <v>161</v>
      </c>
      <c r="C51" s="5" t="s">
        <v>162</v>
      </c>
      <c r="D51" s="5" t="s">
        <v>944</v>
      </c>
      <c r="E51" s="5" t="s">
        <v>1129</v>
      </c>
      <c r="F51" s="5" t="s">
        <v>1149</v>
      </c>
      <c r="G51" s="5" t="s">
        <v>1100</v>
      </c>
      <c r="H51" s="5" t="s">
        <v>1150</v>
      </c>
      <c r="I51" s="5" t="s">
        <v>1056</v>
      </c>
      <c r="J51" s="5" t="s">
        <v>1036</v>
      </c>
      <c r="K51" s="5" t="s">
        <v>912</v>
      </c>
      <c r="L51" s="5" t="s">
        <v>56</v>
      </c>
      <c r="M51" s="5" t="s">
        <v>56</v>
      </c>
      <c r="N51" s="5" t="s">
        <v>56</v>
      </c>
      <c r="O51" s="5" t="s">
        <v>1151</v>
      </c>
      <c r="P51" s="13">
        <f>IFERROR(__xludf.DUMMYFUNCTION("IF(REGEXMATCH(UPPER(E51),""CONGRESO""),1,0)"),1.0)</f>
        <v>1</v>
      </c>
    </row>
    <row r="52" ht="15.75" customHeight="1">
      <c r="A52" s="5" t="s">
        <v>121</v>
      </c>
      <c r="B52" s="5" t="s">
        <v>161</v>
      </c>
      <c r="C52" s="5" t="s">
        <v>162</v>
      </c>
      <c r="D52" s="5" t="s">
        <v>944</v>
      </c>
      <c r="E52" s="5" t="s">
        <v>1098</v>
      </c>
      <c r="F52" s="5" t="s">
        <v>1152</v>
      </c>
      <c r="G52" s="5" t="s">
        <v>1100</v>
      </c>
      <c r="H52" s="5" t="s">
        <v>1153</v>
      </c>
      <c r="I52" s="5" t="s">
        <v>968</v>
      </c>
      <c r="J52" s="5" t="s">
        <v>957</v>
      </c>
      <c r="K52" s="5" t="s">
        <v>912</v>
      </c>
      <c r="L52" s="5" t="s">
        <v>56</v>
      </c>
      <c r="M52" s="5" t="s">
        <v>56</v>
      </c>
      <c r="N52" s="5" t="s">
        <v>56</v>
      </c>
      <c r="O52" s="5" t="s">
        <v>1154</v>
      </c>
      <c r="P52" s="13">
        <f>IFERROR(__xludf.DUMMYFUNCTION("IF(REGEXMATCH(UPPER(E52),""CONGRESO""),1,0)"),1.0)</f>
        <v>1</v>
      </c>
    </row>
    <row r="53" ht="15.75" customHeight="1">
      <c r="A53" s="5" t="s">
        <v>121</v>
      </c>
      <c r="B53" s="5" t="s">
        <v>161</v>
      </c>
      <c r="C53" s="5" t="s">
        <v>162</v>
      </c>
      <c r="D53" s="5" t="s">
        <v>944</v>
      </c>
      <c r="E53" s="5" t="s">
        <v>1098</v>
      </c>
      <c r="F53" s="5" t="s">
        <v>1152</v>
      </c>
      <c r="G53" s="5" t="s">
        <v>1100</v>
      </c>
      <c r="H53" s="5" t="s">
        <v>1153</v>
      </c>
      <c r="I53" s="5" t="s">
        <v>950</v>
      </c>
      <c r="J53" s="5" t="s">
        <v>968</v>
      </c>
      <c r="K53" s="5" t="s">
        <v>912</v>
      </c>
      <c r="L53" s="5" t="s">
        <v>56</v>
      </c>
      <c r="M53" s="5" t="s">
        <v>56</v>
      </c>
      <c r="N53" s="5" t="s">
        <v>56</v>
      </c>
      <c r="O53" s="5" t="s">
        <v>1155</v>
      </c>
      <c r="P53" s="13">
        <f>IFERROR(__xludf.DUMMYFUNCTION("IF(REGEXMATCH(UPPER(E53),""CONGRESO""),1,0)"),1.0)</f>
        <v>1</v>
      </c>
    </row>
    <row r="54" ht="15.75" customHeight="1">
      <c r="A54" s="5" t="s">
        <v>121</v>
      </c>
      <c r="B54" s="5" t="s">
        <v>161</v>
      </c>
      <c r="C54" s="5" t="s">
        <v>162</v>
      </c>
      <c r="D54" s="5" t="s">
        <v>944</v>
      </c>
      <c r="E54" s="5" t="s">
        <v>1107</v>
      </c>
      <c r="F54" s="5" t="s">
        <v>1152</v>
      </c>
      <c r="G54" s="5" t="s">
        <v>1100</v>
      </c>
      <c r="H54" s="5" t="s">
        <v>1150</v>
      </c>
      <c r="I54" s="5" t="s">
        <v>974</v>
      </c>
      <c r="J54" s="5" t="s">
        <v>950</v>
      </c>
      <c r="K54" s="5" t="s">
        <v>912</v>
      </c>
      <c r="L54" s="5" t="s">
        <v>56</v>
      </c>
      <c r="M54" s="5" t="s">
        <v>56</v>
      </c>
      <c r="N54" s="5" t="s">
        <v>56</v>
      </c>
      <c r="O54" s="5" t="s">
        <v>1156</v>
      </c>
      <c r="P54" s="13">
        <f>IFERROR(__xludf.DUMMYFUNCTION("IF(REGEXMATCH(UPPER(E54),""CONGRESO""),1,0)"),1.0)</f>
        <v>1</v>
      </c>
    </row>
    <row r="55" ht="15.75" customHeight="1">
      <c r="A55" s="5" t="s">
        <v>121</v>
      </c>
      <c r="B55" s="5" t="s">
        <v>161</v>
      </c>
      <c r="C55" s="5" t="s">
        <v>162</v>
      </c>
      <c r="D55" s="5" t="s">
        <v>944</v>
      </c>
      <c r="E55" s="5" t="s">
        <v>1107</v>
      </c>
      <c r="F55" s="5" t="s">
        <v>1152</v>
      </c>
      <c r="G55" s="5" t="s">
        <v>1100</v>
      </c>
      <c r="H55" s="5" t="s">
        <v>1150</v>
      </c>
      <c r="I55" s="5" t="s">
        <v>1036</v>
      </c>
      <c r="J55" s="5" t="s">
        <v>974</v>
      </c>
      <c r="K55" s="5" t="s">
        <v>912</v>
      </c>
      <c r="L55" s="5" t="s">
        <v>56</v>
      </c>
      <c r="M55" s="5" t="s">
        <v>56</v>
      </c>
      <c r="N55" s="5" t="s">
        <v>56</v>
      </c>
      <c r="O55" s="5" t="s">
        <v>1157</v>
      </c>
      <c r="P55" s="13">
        <f>IFERROR(__xludf.DUMMYFUNCTION("IF(REGEXMATCH(UPPER(E55),""CONGRESO""),1,0)"),1.0)</f>
        <v>1</v>
      </c>
    </row>
    <row r="56" ht="15.75" customHeight="1">
      <c r="A56" s="5" t="s">
        <v>121</v>
      </c>
      <c r="B56" s="5" t="s">
        <v>170</v>
      </c>
      <c r="C56" s="5" t="s">
        <v>171</v>
      </c>
      <c r="D56" s="5" t="s">
        <v>944</v>
      </c>
      <c r="E56" s="5" t="s">
        <v>1158</v>
      </c>
      <c r="F56" s="5" t="s">
        <v>1159</v>
      </c>
      <c r="G56" s="5" t="s">
        <v>1160</v>
      </c>
      <c r="H56" s="5" t="s">
        <v>1161</v>
      </c>
      <c r="I56" s="5" t="s">
        <v>974</v>
      </c>
      <c r="J56" s="5" t="s">
        <v>968</v>
      </c>
      <c r="K56" s="5" t="s">
        <v>912</v>
      </c>
      <c r="L56" s="5" t="s">
        <v>56</v>
      </c>
      <c r="M56" s="5" t="s">
        <v>56</v>
      </c>
      <c r="N56" s="5" t="s">
        <v>56</v>
      </c>
      <c r="O56" s="5" t="s">
        <v>1162</v>
      </c>
      <c r="P56" s="13">
        <f>IFERROR(__xludf.DUMMYFUNCTION("IF(REGEXMATCH(UPPER(E56),""CONGRESO""),1,0)"),0.0)</f>
        <v>0</v>
      </c>
    </row>
    <row r="57" ht="15.75" customHeight="1">
      <c r="A57" s="5" t="s">
        <v>121</v>
      </c>
      <c r="B57" s="5" t="s">
        <v>170</v>
      </c>
      <c r="C57" s="5" t="s">
        <v>171</v>
      </c>
      <c r="D57" s="5" t="s">
        <v>944</v>
      </c>
      <c r="E57" s="5" t="s">
        <v>1129</v>
      </c>
      <c r="F57" s="5" t="s">
        <v>1163</v>
      </c>
      <c r="G57" s="5" t="s">
        <v>1100</v>
      </c>
      <c r="H57" s="5" t="s">
        <v>1164</v>
      </c>
      <c r="I57" s="5" t="s">
        <v>1145</v>
      </c>
      <c r="J57" s="5" t="s">
        <v>949</v>
      </c>
      <c r="K57" s="5" t="s">
        <v>912</v>
      </c>
      <c r="L57" s="5" t="s">
        <v>56</v>
      </c>
      <c r="M57" s="5" t="s">
        <v>56</v>
      </c>
      <c r="N57" s="5" t="s">
        <v>56</v>
      </c>
      <c r="P57" s="13">
        <f>IFERROR(__xludf.DUMMYFUNCTION("IF(REGEXMATCH(UPPER(E57),""CONGRESO""),1,0)"),1.0)</f>
        <v>1</v>
      </c>
    </row>
    <row r="58" ht="15.75" customHeight="1">
      <c r="A58" s="5" t="s">
        <v>121</v>
      </c>
      <c r="B58" s="5" t="s">
        <v>170</v>
      </c>
      <c r="C58" s="5" t="s">
        <v>171</v>
      </c>
      <c r="D58" s="5" t="s">
        <v>944</v>
      </c>
      <c r="E58" s="5" t="s">
        <v>1165</v>
      </c>
      <c r="F58" s="5" t="s">
        <v>1166</v>
      </c>
      <c r="G58" s="5" t="s">
        <v>1167</v>
      </c>
      <c r="H58" s="5" t="s">
        <v>1168</v>
      </c>
      <c r="I58" s="5" t="s">
        <v>1006</v>
      </c>
      <c r="J58" s="5" t="s">
        <v>974</v>
      </c>
      <c r="K58" s="5" t="s">
        <v>912</v>
      </c>
      <c r="L58" s="5" t="s">
        <v>56</v>
      </c>
      <c r="M58" s="5" t="s">
        <v>56</v>
      </c>
      <c r="N58" s="5" t="s">
        <v>1169</v>
      </c>
      <c r="P58" s="13">
        <f>IFERROR(__xludf.DUMMYFUNCTION("IF(REGEXMATCH(UPPER(E58),""CONGRESO""),1,0)"),0.0)</f>
        <v>0</v>
      </c>
    </row>
    <row r="59" ht="15.75" customHeight="1">
      <c r="A59" s="5" t="s">
        <v>121</v>
      </c>
      <c r="B59" s="5" t="s">
        <v>170</v>
      </c>
      <c r="C59" s="5" t="s">
        <v>171</v>
      </c>
      <c r="D59" s="5" t="s">
        <v>944</v>
      </c>
      <c r="E59" s="5" t="s">
        <v>1129</v>
      </c>
      <c r="F59" s="5" t="s">
        <v>1170</v>
      </c>
      <c r="G59" s="5" t="s">
        <v>1100</v>
      </c>
      <c r="H59" s="5" t="s">
        <v>1171</v>
      </c>
      <c r="I59" s="5" t="s">
        <v>949</v>
      </c>
      <c r="J59" s="5" t="s">
        <v>1036</v>
      </c>
      <c r="K59" s="5" t="s">
        <v>912</v>
      </c>
      <c r="L59" s="5" t="s">
        <v>56</v>
      </c>
      <c r="M59" s="5" t="s">
        <v>56</v>
      </c>
      <c r="N59" s="5" t="s">
        <v>56</v>
      </c>
      <c r="P59" s="13">
        <f>IFERROR(__xludf.DUMMYFUNCTION("IF(REGEXMATCH(UPPER(E59),""CONGRESO""),1,0)"),1.0)</f>
        <v>1</v>
      </c>
    </row>
    <row r="60" ht="15.75" customHeight="1">
      <c r="A60" s="5" t="s">
        <v>121</v>
      </c>
      <c r="B60" s="5" t="s">
        <v>170</v>
      </c>
      <c r="C60" s="5" t="s">
        <v>171</v>
      </c>
      <c r="D60" s="5" t="s">
        <v>944</v>
      </c>
      <c r="E60" s="5" t="s">
        <v>1129</v>
      </c>
      <c r="F60" s="5" t="s">
        <v>1172</v>
      </c>
      <c r="G60" s="5" t="s">
        <v>1100</v>
      </c>
      <c r="H60" s="5" t="s">
        <v>1171</v>
      </c>
      <c r="I60" s="5" t="s">
        <v>957</v>
      </c>
      <c r="J60" s="5" t="s">
        <v>957</v>
      </c>
      <c r="K60" s="5" t="s">
        <v>912</v>
      </c>
      <c r="L60" s="5" t="s">
        <v>56</v>
      </c>
      <c r="M60" s="5" t="s">
        <v>56</v>
      </c>
      <c r="N60" s="5" t="s">
        <v>56</v>
      </c>
      <c r="O60" s="5" t="s">
        <v>1173</v>
      </c>
      <c r="P60" s="13">
        <f>IFERROR(__xludf.DUMMYFUNCTION("IF(REGEXMATCH(UPPER(E60),""CONGRESO""),1,0)"),1.0)</f>
        <v>1</v>
      </c>
    </row>
    <row r="61" ht="15.75" customHeight="1">
      <c r="A61" s="5" t="s">
        <v>121</v>
      </c>
      <c r="B61" s="5" t="s">
        <v>180</v>
      </c>
      <c r="C61" s="5" t="s">
        <v>181</v>
      </c>
      <c r="D61" s="5" t="s">
        <v>944</v>
      </c>
      <c r="E61" s="5" t="s">
        <v>1098</v>
      </c>
      <c r="F61" s="5" t="s">
        <v>1174</v>
      </c>
      <c r="G61" s="5" t="s">
        <v>1100</v>
      </c>
      <c r="H61" s="5" t="s">
        <v>1175</v>
      </c>
      <c r="I61" s="5" t="s">
        <v>1056</v>
      </c>
      <c r="J61" s="5" t="s">
        <v>1006</v>
      </c>
      <c r="K61" s="5" t="s">
        <v>912</v>
      </c>
      <c r="L61" s="5" t="s">
        <v>56</v>
      </c>
      <c r="M61" s="5" t="s">
        <v>56</v>
      </c>
      <c r="N61" s="5" t="s">
        <v>56</v>
      </c>
      <c r="P61" s="13">
        <f>IFERROR(__xludf.DUMMYFUNCTION("IF(REGEXMATCH(UPPER(E61),""CONGRESO""),1,0)"),1.0)</f>
        <v>1</v>
      </c>
    </row>
    <row r="62" ht="15.75" customHeight="1">
      <c r="A62" s="5" t="s">
        <v>121</v>
      </c>
      <c r="B62" s="5" t="s">
        <v>180</v>
      </c>
      <c r="C62" s="5" t="s">
        <v>181</v>
      </c>
      <c r="D62" s="5" t="s">
        <v>944</v>
      </c>
      <c r="E62" s="5" t="s">
        <v>1098</v>
      </c>
      <c r="F62" s="5" t="s">
        <v>1176</v>
      </c>
      <c r="G62" s="5" t="s">
        <v>1100</v>
      </c>
      <c r="H62" s="5" t="s">
        <v>1175</v>
      </c>
      <c r="I62" s="5" t="s">
        <v>974</v>
      </c>
      <c r="J62" s="5" t="s">
        <v>957</v>
      </c>
      <c r="K62" s="5" t="s">
        <v>912</v>
      </c>
      <c r="L62" s="5" t="s">
        <v>56</v>
      </c>
      <c r="M62" s="5" t="s">
        <v>56</v>
      </c>
      <c r="N62" s="5" t="s">
        <v>56</v>
      </c>
      <c r="O62" s="5" t="s">
        <v>1177</v>
      </c>
      <c r="P62" s="13">
        <f>IFERROR(__xludf.DUMMYFUNCTION("IF(REGEXMATCH(UPPER(E62),""CONGRESO""),1,0)"),1.0)</f>
        <v>1</v>
      </c>
    </row>
    <row r="63" ht="15.75" customHeight="1">
      <c r="A63" s="5" t="s">
        <v>121</v>
      </c>
      <c r="B63" s="5" t="s">
        <v>180</v>
      </c>
      <c r="C63" s="5" t="s">
        <v>181</v>
      </c>
      <c r="D63" s="5" t="s">
        <v>944</v>
      </c>
      <c r="E63" s="5" t="s">
        <v>1098</v>
      </c>
      <c r="F63" s="5" t="s">
        <v>1178</v>
      </c>
      <c r="G63" s="5" t="s">
        <v>1100</v>
      </c>
      <c r="H63" s="5" t="s">
        <v>1175</v>
      </c>
      <c r="I63" s="5" t="s">
        <v>1036</v>
      </c>
      <c r="J63" s="5" t="s">
        <v>974</v>
      </c>
      <c r="K63" s="5" t="s">
        <v>912</v>
      </c>
      <c r="L63" s="5" t="s">
        <v>56</v>
      </c>
      <c r="M63" s="5" t="s">
        <v>56</v>
      </c>
      <c r="N63" s="5" t="s">
        <v>56</v>
      </c>
      <c r="P63" s="13">
        <f>IFERROR(__xludf.DUMMYFUNCTION("IF(REGEXMATCH(UPPER(E63),""CONGRESO""),1,0)"),1.0)</f>
        <v>1</v>
      </c>
    </row>
    <row r="64" ht="15.75" customHeight="1">
      <c r="A64" s="5" t="s">
        <v>121</v>
      </c>
      <c r="B64" s="5" t="s">
        <v>180</v>
      </c>
      <c r="C64" s="5" t="s">
        <v>181</v>
      </c>
      <c r="D64" s="5" t="s">
        <v>944</v>
      </c>
      <c r="E64" s="5" t="s">
        <v>1098</v>
      </c>
      <c r="F64" s="5" t="s">
        <v>1178</v>
      </c>
      <c r="G64" s="5" t="s">
        <v>1100</v>
      </c>
      <c r="H64" s="5" t="s">
        <v>1175</v>
      </c>
      <c r="I64" s="5" t="s">
        <v>1094</v>
      </c>
      <c r="J64" s="5" t="s">
        <v>1128</v>
      </c>
      <c r="K64" s="5" t="s">
        <v>912</v>
      </c>
      <c r="L64" s="5" t="s">
        <v>56</v>
      </c>
      <c r="M64" s="5" t="s">
        <v>56</v>
      </c>
      <c r="N64" s="5" t="s">
        <v>56</v>
      </c>
      <c r="P64" s="13">
        <f>IFERROR(__xludf.DUMMYFUNCTION("IF(REGEXMATCH(UPPER(E64),""CONGRESO""),1,0)"),1.0)</f>
        <v>1</v>
      </c>
    </row>
    <row r="65" ht="15.75" customHeight="1">
      <c r="A65" s="5" t="s">
        <v>121</v>
      </c>
      <c r="B65" s="5" t="s">
        <v>190</v>
      </c>
      <c r="C65" s="5" t="s">
        <v>191</v>
      </c>
      <c r="D65" s="5" t="s">
        <v>944</v>
      </c>
      <c r="E65" s="5" t="s">
        <v>1179</v>
      </c>
      <c r="F65" s="5" t="s">
        <v>1180</v>
      </c>
      <c r="G65" s="5" t="s">
        <v>1181</v>
      </c>
      <c r="H65" s="5" t="s">
        <v>1182</v>
      </c>
      <c r="I65" s="5" t="s">
        <v>968</v>
      </c>
      <c r="J65" s="5" t="s">
        <v>957</v>
      </c>
      <c r="K65" s="5" t="s">
        <v>912</v>
      </c>
      <c r="L65" s="5" t="s">
        <v>196</v>
      </c>
      <c r="M65" s="5" t="s">
        <v>197</v>
      </c>
      <c r="N65" s="5" t="s">
        <v>197</v>
      </c>
      <c r="O65" s="5" t="s">
        <v>1183</v>
      </c>
      <c r="P65" s="13">
        <f>IFERROR(__xludf.DUMMYFUNCTION("IF(REGEXMATCH(UPPER(E65),""CONGRESO""),1,0)"),0.0)</f>
        <v>0</v>
      </c>
    </row>
    <row r="66" ht="15.75" customHeight="1">
      <c r="A66" s="5" t="s">
        <v>121</v>
      </c>
      <c r="B66" s="5" t="s">
        <v>190</v>
      </c>
      <c r="C66" s="5" t="s">
        <v>191</v>
      </c>
      <c r="D66" s="5" t="s">
        <v>944</v>
      </c>
      <c r="E66" s="5" t="s">
        <v>1184</v>
      </c>
      <c r="F66" s="5" t="s">
        <v>1180</v>
      </c>
      <c r="G66" s="5" t="s">
        <v>1185</v>
      </c>
      <c r="H66" s="5" t="s">
        <v>1182</v>
      </c>
      <c r="I66" s="5" t="s">
        <v>1128</v>
      </c>
      <c r="J66" s="5" t="s">
        <v>956</v>
      </c>
      <c r="K66" s="5" t="s">
        <v>912</v>
      </c>
      <c r="L66" s="5" t="s">
        <v>196</v>
      </c>
      <c r="M66" s="5" t="s">
        <v>197</v>
      </c>
      <c r="N66" s="5" t="s">
        <v>197</v>
      </c>
      <c r="P66" s="13">
        <f>IFERROR(__xludf.DUMMYFUNCTION("IF(REGEXMATCH(UPPER(E66),""CONGRESO""),1,0)"),0.0)</f>
        <v>0</v>
      </c>
    </row>
    <row r="67" ht="15.75" customHeight="1">
      <c r="A67" s="5" t="s">
        <v>121</v>
      </c>
      <c r="B67" s="5" t="s">
        <v>201</v>
      </c>
      <c r="C67" s="5" t="s">
        <v>202</v>
      </c>
      <c r="D67" s="5" t="s">
        <v>944</v>
      </c>
      <c r="E67" s="5" t="s">
        <v>1186</v>
      </c>
      <c r="F67" s="5" t="s">
        <v>1187</v>
      </c>
      <c r="G67" s="5" t="s">
        <v>1188</v>
      </c>
      <c r="H67" s="5" t="s">
        <v>1189</v>
      </c>
      <c r="I67" s="5" t="s">
        <v>1036</v>
      </c>
      <c r="J67" s="5" t="s">
        <v>968</v>
      </c>
      <c r="K67" s="5" t="s">
        <v>912</v>
      </c>
      <c r="L67" s="5" t="s">
        <v>206</v>
      </c>
      <c r="M67" s="5" t="s">
        <v>207</v>
      </c>
      <c r="N67" s="5" t="s">
        <v>208</v>
      </c>
      <c r="P67" s="13">
        <f>IFERROR(__xludf.DUMMYFUNCTION("IF(REGEXMATCH(UPPER(E67),""CONGRESO""),1,0)"),0.0)</f>
        <v>0</v>
      </c>
    </row>
    <row r="68" ht="15.75" customHeight="1">
      <c r="A68" s="5" t="s">
        <v>121</v>
      </c>
      <c r="B68" s="5" t="s">
        <v>201</v>
      </c>
      <c r="C68" s="5" t="s">
        <v>202</v>
      </c>
      <c r="D68" s="5" t="s">
        <v>944</v>
      </c>
      <c r="E68" s="5" t="s">
        <v>1190</v>
      </c>
      <c r="F68" s="5" t="s">
        <v>1187</v>
      </c>
      <c r="G68" s="5" t="s">
        <v>1191</v>
      </c>
      <c r="H68" s="5" t="s">
        <v>1192</v>
      </c>
      <c r="I68" s="5" t="s">
        <v>968</v>
      </c>
      <c r="J68" s="5" t="s">
        <v>968</v>
      </c>
      <c r="K68" s="5" t="s">
        <v>912</v>
      </c>
      <c r="L68" s="5" t="s">
        <v>206</v>
      </c>
      <c r="M68" s="5" t="s">
        <v>1193</v>
      </c>
      <c r="N68" s="5" t="s">
        <v>1194</v>
      </c>
      <c r="P68" s="13">
        <f>IFERROR(__xludf.DUMMYFUNCTION("IF(REGEXMATCH(UPPER(E68),""CONGRESO""),1,0)"),0.0)</f>
        <v>0</v>
      </c>
    </row>
    <row r="69" ht="15.75" customHeight="1">
      <c r="A69" s="5" t="s">
        <v>121</v>
      </c>
      <c r="B69" s="5" t="s">
        <v>201</v>
      </c>
      <c r="C69" s="5" t="s">
        <v>202</v>
      </c>
      <c r="D69" s="5" t="s">
        <v>944</v>
      </c>
      <c r="E69" s="5" t="s">
        <v>1195</v>
      </c>
      <c r="F69" s="5" t="s">
        <v>1187</v>
      </c>
      <c r="G69" s="5" t="s">
        <v>1196</v>
      </c>
      <c r="H69" s="5" t="s">
        <v>1197</v>
      </c>
      <c r="I69" s="5" t="s">
        <v>968</v>
      </c>
      <c r="J69" s="5" t="s">
        <v>957</v>
      </c>
      <c r="K69" s="5" t="s">
        <v>912</v>
      </c>
      <c r="L69" s="5" t="s">
        <v>206</v>
      </c>
      <c r="M69" s="5" t="s">
        <v>1198</v>
      </c>
      <c r="N69" s="5" t="s">
        <v>1198</v>
      </c>
      <c r="O69" s="5" t="s">
        <v>1199</v>
      </c>
      <c r="P69" s="13">
        <f>IFERROR(__xludf.DUMMYFUNCTION("IF(REGEXMATCH(UPPER(E69),""CONGRESO""),1,0)"),0.0)</f>
        <v>0</v>
      </c>
    </row>
    <row r="70" ht="15.75" customHeight="1">
      <c r="A70" s="5" t="s">
        <v>121</v>
      </c>
      <c r="B70" s="5" t="s">
        <v>201</v>
      </c>
      <c r="C70" s="5" t="s">
        <v>202</v>
      </c>
      <c r="D70" s="5" t="s">
        <v>944</v>
      </c>
      <c r="E70" s="5" t="s">
        <v>1200</v>
      </c>
      <c r="F70" s="5" t="s">
        <v>1187</v>
      </c>
      <c r="G70" s="5" t="s">
        <v>1201</v>
      </c>
      <c r="H70" s="5" t="s">
        <v>1202</v>
      </c>
      <c r="I70" s="5" t="s">
        <v>968</v>
      </c>
      <c r="J70" s="5" t="s">
        <v>957</v>
      </c>
      <c r="K70" s="5" t="s">
        <v>912</v>
      </c>
      <c r="L70" s="5" t="s">
        <v>206</v>
      </c>
      <c r="M70" s="5" t="s">
        <v>1198</v>
      </c>
      <c r="N70" s="5" t="s">
        <v>1198</v>
      </c>
      <c r="O70" s="5" t="s">
        <v>1199</v>
      </c>
      <c r="P70" s="13">
        <f>IFERROR(__xludf.DUMMYFUNCTION("IF(REGEXMATCH(UPPER(E70),""CONGRESO""),1,0)"),0.0)</f>
        <v>0</v>
      </c>
    </row>
    <row r="71" ht="15.75" customHeight="1">
      <c r="A71" s="5" t="s">
        <v>121</v>
      </c>
      <c r="B71" s="5" t="s">
        <v>211</v>
      </c>
      <c r="C71" s="5" t="s">
        <v>212</v>
      </c>
      <c r="D71" s="5" t="s">
        <v>944</v>
      </c>
      <c r="E71" s="5" t="s">
        <v>1129</v>
      </c>
      <c r="F71" s="5" t="s">
        <v>1203</v>
      </c>
      <c r="H71" s="5" t="s">
        <v>1204</v>
      </c>
      <c r="I71" s="5" t="s">
        <v>1006</v>
      </c>
      <c r="J71" s="5" t="s">
        <v>1006</v>
      </c>
      <c r="K71" s="5" t="s">
        <v>912</v>
      </c>
      <c r="L71" s="5" t="s">
        <v>56</v>
      </c>
      <c r="M71" s="5" t="s">
        <v>56</v>
      </c>
      <c r="N71" s="5" t="s">
        <v>56</v>
      </c>
      <c r="O71" s="5" t="s">
        <v>1205</v>
      </c>
      <c r="P71" s="13">
        <f>IFERROR(__xludf.DUMMYFUNCTION("IF(REGEXMATCH(UPPER(E71),""CONGRESO""),1,0)"),1.0)</f>
        <v>1</v>
      </c>
    </row>
    <row r="72" ht="15.75" customHeight="1">
      <c r="A72" s="5" t="s">
        <v>121</v>
      </c>
      <c r="B72" s="5" t="s">
        <v>211</v>
      </c>
      <c r="C72" s="5" t="s">
        <v>212</v>
      </c>
      <c r="D72" s="5" t="s">
        <v>944</v>
      </c>
      <c r="E72" s="5" t="s">
        <v>1129</v>
      </c>
      <c r="F72" s="5" t="s">
        <v>1170</v>
      </c>
      <c r="H72" s="5" t="s">
        <v>1204</v>
      </c>
      <c r="I72" s="5" t="s">
        <v>950</v>
      </c>
      <c r="J72" s="5" t="s">
        <v>957</v>
      </c>
      <c r="K72" s="5" t="s">
        <v>912</v>
      </c>
      <c r="L72" s="5" t="s">
        <v>56</v>
      </c>
      <c r="M72" s="5" t="s">
        <v>56</v>
      </c>
      <c r="N72" s="5" t="s">
        <v>56</v>
      </c>
      <c r="O72" s="5" t="s">
        <v>1206</v>
      </c>
      <c r="P72" s="13">
        <f>IFERROR(__xludf.DUMMYFUNCTION("IF(REGEXMATCH(UPPER(E72),""CONGRESO""),1,0)"),1.0)</f>
        <v>1</v>
      </c>
    </row>
    <row r="73" ht="15.75" customHeight="1">
      <c r="A73" s="5" t="s">
        <v>121</v>
      </c>
      <c r="B73" s="5" t="s">
        <v>211</v>
      </c>
      <c r="C73" s="5" t="s">
        <v>212</v>
      </c>
      <c r="D73" s="5" t="s">
        <v>944</v>
      </c>
      <c r="E73" s="5" t="s">
        <v>1129</v>
      </c>
      <c r="F73" s="5" t="s">
        <v>1170</v>
      </c>
      <c r="H73" s="5" t="s">
        <v>1204</v>
      </c>
      <c r="I73" s="5" t="s">
        <v>950</v>
      </c>
      <c r="J73" s="5" t="s">
        <v>950</v>
      </c>
      <c r="K73" s="5" t="s">
        <v>912</v>
      </c>
      <c r="L73" s="5" t="s">
        <v>56</v>
      </c>
      <c r="M73" s="5" t="s">
        <v>56</v>
      </c>
      <c r="N73" s="5" t="s">
        <v>56</v>
      </c>
      <c r="O73" s="5" t="s">
        <v>1207</v>
      </c>
      <c r="P73" s="13">
        <f>IFERROR(__xludf.DUMMYFUNCTION("IF(REGEXMATCH(UPPER(E73),""CONGRESO""),1,0)"),1.0)</f>
        <v>1</v>
      </c>
    </row>
    <row r="74" ht="15.75" customHeight="1">
      <c r="A74" s="5" t="s">
        <v>121</v>
      </c>
      <c r="B74" s="5" t="s">
        <v>211</v>
      </c>
      <c r="C74" s="5" t="s">
        <v>212</v>
      </c>
      <c r="D74" s="5" t="s">
        <v>944</v>
      </c>
      <c r="E74" s="5" t="s">
        <v>1129</v>
      </c>
      <c r="F74" s="5" t="s">
        <v>1163</v>
      </c>
      <c r="H74" s="5" t="s">
        <v>1204</v>
      </c>
      <c r="I74" s="5" t="s">
        <v>974</v>
      </c>
      <c r="J74" s="5" t="s">
        <v>950</v>
      </c>
      <c r="K74" s="5" t="s">
        <v>912</v>
      </c>
      <c r="L74" s="5" t="s">
        <v>56</v>
      </c>
      <c r="M74" s="5" t="s">
        <v>56</v>
      </c>
      <c r="N74" s="5" t="s">
        <v>56</v>
      </c>
      <c r="O74" s="5" t="s">
        <v>1208</v>
      </c>
      <c r="P74" s="13">
        <f>IFERROR(__xludf.DUMMYFUNCTION("IF(REGEXMATCH(UPPER(E74),""CONGRESO""),1,0)"),1.0)</f>
        <v>1</v>
      </c>
    </row>
    <row r="75" ht="15.75" customHeight="1">
      <c r="A75" s="5" t="s">
        <v>121</v>
      </c>
      <c r="B75" s="5" t="s">
        <v>211</v>
      </c>
      <c r="C75" s="5" t="s">
        <v>212</v>
      </c>
      <c r="D75" s="5" t="s">
        <v>944</v>
      </c>
      <c r="E75" s="5" t="s">
        <v>1129</v>
      </c>
      <c r="F75" s="5" t="s">
        <v>1163</v>
      </c>
      <c r="H75" s="5" t="s">
        <v>1204</v>
      </c>
      <c r="I75" s="5" t="s">
        <v>1036</v>
      </c>
      <c r="J75" s="5" t="s">
        <v>974</v>
      </c>
      <c r="K75" s="5" t="s">
        <v>912</v>
      </c>
      <c r="L75" s="5" t="s">
        <v>56</v>
      </c>
      <c r="M75" s="5" t="s">
        <v>56</v>
      </c>
      <c r="N75" s="5" t="s">
        <v>56</v>
      </c>
      <c r="O75" s="5" t="s">
        <v>1209</v>
      </c>
      <c r="P75" s="13">
        <f>IFERROR(__xludf.DUMMYFUNCTION("IF(REGEXMATCH(UPPER(E75),""CONGRESO""),1,0)"),1.0)</f>
        <v>1</v>
      </c>
    </row>
    <row r="76" ht="15.75" customHeight="1">
      <c r="A76" s="5" t="s">
        <v>121</v>
      </c>
      <c r="B76" s="5" t="s">
        <v>219</v>
      </c>
      <c r="C76" s="5" t="s">
        <v>220</v>
      </c>
      <c r="D76" s="5" t="s">
        <v>944</v>
      </c>
      <c r="E76" s="5" t="s">
        <v>1210</v>
      </c>
      <c r="F76" s="5" t="s">
        <v>1211</v>
      </c>
      <c r="G76" s="5" t="s">
        <v>1212</v>
      </c>
      <c r="H76" s="5" t="s">
        <v>1213</v>
      </c>
      <c r="I76" s="5" t="s">
        <v>1006</v>
      </c>
      <c r="J76" s="5" t="s">
        <v>957</v>
      </c>
      <c r="K76" s="5" t="s">
        <v>912</v>
      </c>
      <c r="L76" s="5" t="s">
        <v>56</v>
      </c>
      <c r="M76" s="5" t="s">
        <v>56</v>
      </c>
      <c r="N76" s="5" t="s">
        <v>250</v>
      </c>
      <c r="O76" s="5" t="s">
        <v>1183</v>
      </c>
      <c r="P76" s="13">
        <f>IFERROR(__xludf.DUMMYFUNCTION("IF(REGEXMATCH(UPPER(E76),""CONGRESO""),1,0)"),0.0)</f>
        <v>0</v>
      </c>
    </row>
    <row r="77" ht="15.75" customHeight="1">
      <c r="A77" s="5" t="s">
        <v>121</v>
      </c>
      <c r="B77" s="5" t="s">
        <v>219</v>
      </c>
      <c r="C77" s="5" t="s">
        <v>220</v>
      </c>
      <c r="D77" s="5" t="s">
        <v>944</v>
      </c>
      <c r="E77" s="5" t="s">
        <v>1214</v>
      </c>
      <c r="F77" s="5" t="s">
        <v>1215</v>
      </c>
      <c r="G77" s="5" t="s">
        <v>1216</v>
      </c>
      <c r="H77" s="5" t="s">
        <v>1217</v>
      </c>
      <c r="I77" s="5" t="s">
        <v>968</v>
      </c>
      <c r="J77" s="5" t="s">
        <v>957</v>
      </c>
      <c r="K77" s="5" t="s">
        <v>912</v>
      </c>
      <c r="L77" s="5" t="s">
        <v>56</v>
      </c>
      <c r="M77" s="5" t="s">
        <v>56</v>
      </c>
      <c r="N77" s="5" t="s">
        <v>983</v>
      </c>
      <c r="O77" s="5" t="s">
        <v>1218</v>
      </c>
      <c r="P77" s="13">
        <f>IFERROR(__xludf.DUMMYFUNCTION("IF(REGEXMATCH(UPPER(E77),""CONGRESO""),1,0)"),0.0)</f>
        <v>0</v>
      </c>
    </row>
    <row r="78" ht="15.75" customHeight="1">
      <c r="A78" s="5" t="s">
        <v>121</v>
      </c>
      <c r="B78" s="5" t="s">
        <v>219</v>
      </c>
      <c r="C78" s="5" t="s">
        <v>220</v>
      </c>
      <c r="D78" s="5" t="s">
        <v>944</v>
      </c>
      <c r="E78" s="5" t="s">
        <v>1098</v>
      </c>
      <c r="F78" s="5" t="s">
        <v>1119</v>
      </c>
      <c r="G78" s="5" t="s">
        <v>1100</v>
      </c>
      <c r="H78" s="5" t="s">
        <v>1219</v>
      </c>
      <c r="I78" s="5" t="s">
        <v>1220</v>
      </c>
      <c r="J78" s="5" t="s">
        <v>1006</v>
      </c>
      <c r="K78" s="5" t="s">
        <v>912</v>
      </c>
      <c r="L78" s="5" t="s">
        <v>56</v>
      </c>
      <c r="M78" s="5" t="s">
        <v>56</v>
      </c>
      <c r="N78" s="5" t="s">
        <v>56</v>
      </c>
      <c r="P78" s="13">
        <f>IFERROR(__xludf.DUMMYFUNCTION("IF(REGEXMATCH(UPPER(E78),""CONGRESO""),1,0)"),1.0)</f>
        <v>1</v>
      </c>
    </row>
    <row r="79" ht="15.75" customHeight="1">
      <c r="A79" s="5" t="s">
        <v>121</v>
      </c>
      <c r="B79" s="5" t="s">
        <v>219</v>
      </c>
      <c r="C79" s="5" t="s">
        <v>220</v>
      </c>
      <c r="D79" s="5" t="s">
        <v>944</v>
      </c>
      <c r="E79" s="5" t="s">
        <v>1221</v>
      </c>
      <c r="F79" s="5" t="s">
        <v>1222</v>
      </c>
      <c r="G79" s="5" t="s">
        <v>1223</v>
      </c>
      <c r="H79" s="5" t="s">
        <v>1224</v>
      </c>
      <c r="I79" s="5" t="s">
        <v>968</v>
      </c>
      <c r="J79" s="5" t="s">
        <v>957</v>
      </c>
      <c r="K79" s="5" t="s">
        <v>912</v>
      </c>
      <c r="L79" s="5" t="s">
        <v>56</v>
      </c>
      <c r="M79" s="5" t="s">
        <v>56</v>
      </c>
      <c r="N79" s="5" t="s">
        <v>250</v>
      </c>
      <c r="O79" s="5" t="s">
        <v>1183</v>
      </c>
      <c r="P79" s="13">
        <f>IFERROR(__xludf.DUMMYFUNCTION("IF(REGEXMATCH(UPPER(E79),""CONGRESO""),1,0)"),0.0)</f>
        <v>0</v>
      </c>
    </row>
    <row r="80" ht="15.75" customHeight="1">
      <c r="A80" s="5" t="s">
        <v>121</v>
      </c>
      <c r="B80" s="5" t="s">
        <v>227</v>
      </c>
      <c r="C80" s="5" t="s">
        <v>228</v>
      </c>
      <c r="D80" s="5" t="s">
        <v>944</v>
      </c>
      <c r="E80" s="5" t="s">
        <v>1107</v>
      </c>
      <c r="F80" s="5" t="s">
        <v>1225</v>
      </c>
      <c r="H80" s="5" t="s">
        <v>1150</v>
      </c>
      <c r="I80" s="5" t="s">
        <v>957</v>
      </c>
      <c r="J80" s="5" t="s">
        <v>957</v>
      </c>
      <c r="K80" s="5" t="s">
        <v>912</v>
      </c>
      <c r="L80" s="5" t="s">
        <v>56</v>
      </c>
      <c r="M80" s="5" t="s">
        <v>56</v>
      </c>
      <c r="N80" s="5" t="s">
        <v>56</v>
      </c>
      <c r="O80" s="5" t="s">
        <v>1183</v>
      </c>
      <c r="P80" s="13">
        <f>IFERROR(__xludf.DUMMYFUNCTION("IF(REGEXMATCH(UPPER(E80),""CONGRESO""),1,0)"),1.0)</f>
        <v>1</v>
      </c>
    </row>
    <row r="81" ht="15.75" customHeight="1">
      <c r="A81" s="5" t="s">
        <v>121</v>
      </c>
      <c r="B81" s="5" t="s">
        <v>227</v>
      </c>
      <c r="C81" s="5" t="s">
        <v>228</v>
      </c>
      <c r="D81" s="5" t="s">
        <v>944</v>
      </c>
      <c r="E81" s="5" t="s">
        <v>1226</v>
      </c>
      <c r="F81" s="5" t="s">
        <v>1227</v>
      </c>
      <c r="H81" s="5" t="s">
        <v>1228</v>
      </c>
      <c r="I81" s="5" t="s">
        <v>1056</v>
      </c>
      <c r="J81" s="5" t="s">
        <v>957</v>
      </c>
      <c r="K81" s="5" t="s">
        <v>912</v>
      </c>
      <c r="L81" s="5" t="s">
        <v>56</v>
      </c>
      <c r="M81" s="5" t="s">
        <v>56</v>
      </c>
      <c r="N81" s="5" t="s">
        <v>1169</v>
      </c>
      <c r="P81" s="13">
        <f>IFERROR(__xludf.DUMMYFUNCTION("IF(REGEXMATCH(UPPER(E81),""CONGRESO""),1,0)"),0.0)</f>
        <v>0</v>
      </c>
    </row>
    <row r="82" ht="15.75" customHeight="1">
      <c r="A82" s="5" t="s">
        <v>121</v>
      </c>
      <c r="B82" s="5" t="s">
        <v>227</v>
      </c>
      <c r="C82" s="5" t="s">
        <v>228</v>
      </c>
      <c r="D82" s="5" t="s">
        <v>944</v>
      </c>
      <c r="E82" s="5" t="s">
        <v>1098</v>
      </c>
      <c r="F82" s="5" t="s">
        <v>1229</v>
      </c>
      <c r="H82" s="5" t="s">
        <v>1230</v>
      </c>
      <c r="I82" s="5" t="s">
        <v>974</v>
      </c>
      <c r="J82" s="5" t="s">
        <v>968</v>
      </c>
      <c r="K82" s="5" t="s">
        <v>912</v>
      </c>
      <c r="L82" s="5" t="s">
        <v>56</v>
      </c>
      <c r="M82" s="5" t="s">
        <v>56</v>
      </c>
      <c r="N82" s="5" t="s">
        <v>56</v>
      </c>
      <c r="P82" s="13">
        <f>IFERROR(__xludf.DUMMYFUNCTION("IF(REGEXMATCH(UPPER(E82),""CONGRESO""),1,0)"),1.0)</f>
        <v>1</v>
      </c>
    </row>
    <row r="83" ht="15.75" customHeight="1">
      <c r="A83" s="5" t="s">
        <v>121</v>
      </c>
      <c r="B83" s="5" t="s">
        <v>227</v>
      </c>
      <c r="C83" s="5" t="s">
        <v>228</v>
      </c>
      <c r="D83" s="5" t="s">
        <v>944</v>
      </c>
      <c r="E83" s="5" t="s">
        <v>1107</v>
      </c>
      <c r="F83" s="5" t="s">
        <v>1119</v>
      </c>
      <c r="H83" s="5" t="s">
        <v>1150</v>
      </c>
      <c r="I83" s="5" t="s">
        <v>1036</v>
      </c>
      <c r="J83" s="5" t="s">
        <v>974</v>
      </c>
      <c r="K83" s="5" t="s">
        <v>912</v>
      </c>
      <c r="L83" s="5" t="s">
        <v>56</v>
      </c>
      <c r="M83" s="5" t="s">
        <v>56</v>
      </c>
      <c r="N83" s="5" t="s">
        <v>56</v>
      </c>
      <c r="P83" s="13">
        <f>IFERROR(__xludf.DUMMYFUNCTION("IF(REGEXMATCH(UPPER(E83),""CONGRESO""),1,0)"),1.0)</f>
        <v>1</v>
      </c>
    </row>
    <row r="84" ht="15.75" customHeight="1">
      <c r="A84" s="5" t="s">
        <v>121</v>
      </c>
      <c r="B84" s="5" t="s">
        <v>227</v>
      </c>
      <c r="C84" s="5" t="s">
        <v>228</v>
      </c>
      <c r="D84" s="5" t="s">
        <v>944</v>
      </c>
      <c r="E84" s="5" t="s">
        <v>1107</v>
      </c>
      <c r="F84" s="5" t="s">
        <v>1231</v>
      </c>
      <c r="H84" s="5" t="s">
        <v>1150</v>
      </c>
      <c r="I84" s="5" t="s">
        <v>968</v>
      </c>
      <c r="J84" s="5" t="s">
        <v>957</v>
      </c>
      <c r="K84" s="5" t="s">
        <v>912</v>
      </c>
      <c r="L84" s="5" t="s">
        <v>56</v>
      </c>
      <c r="M84" s="5" t="s">
        <v>56</v>
      </c>
      <c r="N84" s="5" t="s">
        <v>56</v>
      </c>
      <c r="P84" s="13">
        <f>IFERROR(__xludf.DUMMYFUNCTION("IF(REGEXMATCH(UPPER(E84),""CONGRESO""),1,0)"),1.0)</f>
        <v>1</v>
      </c>
    </row>
    <row r="85" ht="15.75" customHeight="1">
      <c r="A85" s="5" t="s">
        <v>121</v>
      </c>
      <c r="B85" s="5" t="s">
        <v>236</v>
      </c>
      <c r="C85" s="5" t="s">
        <v>237</v>
      </c>
      <c r="D85" s="5" t="s">
        <v>944</v>
      </c>
      <c r="E85" s="5" t="s">
        <v>1232</v>
      </c>
      <c r="F85" s="5" t="s">
        <v>1233</v>
      </c>
      <c r="H85" s="5" t="s">
        <v>1234</v>
      </c>
      <c r="I85" s="5" t="s">
        <v>1235</v>
      </c>
      <c r="J85" s="5" t="s">
        <v>1036</v>
      </c>
      <c r="K85" s="5" t="s">
        <v>912</v>
      </c>
      <c r="L85" s="5" t="s">
        <v>177</v>
      </c>
      <c r="M85" s="5" t="s">
        <v>177</v>
      </c>
      <c r="N85" s="5" t="s">
        <v>177</v>
      </c>
      <c r="P85" s="13">
        <f>IFERROR(__xludf.DUMMYFUNCTION("IF(REGEXMATCH(UPPER(E85),""CONGRESO""),1,0)"),0.0)</f>
        <v>0</v>
      </c>
    </row>
    <row r="86" ht="15.75" customHeight="1">
      <c r="A86" s="5" t="s">
        <v>121</v>
      </c>
      <c r="B86" s="5" t="s">
        <v>236</v>
      </c>
      <c r="C86" s="5" t="s">
        <v>237</v>
      </c>
      <c r="D86" s="5" t="s">
        <v>944</v>
      </c>
      <c r="E86" s="5" t="s">
        <v>1236</v>
      </c>
      <c r="F86" s="5" t="s">
        <v>1222</v>
      </c>
      <c r="H86" s="5" t="s">
        <v>1237</v>
      </c>
      <c r="I86" s="5" t="s">
        <v>950</v>
      </c>
      <c r="J86" s="5" t="s">
        <v>957</v>
      </c>
      <c r="K86" s="5" t="s">
        <v>912</v>
      </c>
      <c r="L86" s="5" t="s">
        <v>56</v>
      </c>
      <c r="M86" s="5" t="s">
        <v>56</v>
      </c>
      <c r="N86" s="5" t="s">
        <v>250</v>
      </c>
      <c r="P86" s="13">
        <f>IFERROR(__xludf.DUMMYFUNCTION("IF(REGEXMATCH(UPPER(E86),""CONGRESO""),1,0)"),0.0)</f>
        <v>0</v>
      </c>
    </row>
    <row r="87" ht="15.75" customHeight="1">
      <c r="A87" s="5" t="s">
        <v>121</v>
      </c>
      <c r="B87" s="5" t="s">
        <v>244</v>
      </c>
      <c r="C87" s="5" t="s">
        <v>245</v>
      </c>
      <c r="D87" s="5" t="s">
        <v>944</v>
      </c>
      <c r="E87" s="5" t="s">
        <v>1238</v>
      </c>
      <c r="F87" s="5" t="s">
        <v>1239</v>
      </c>
      <c r="H87" s="5" t="s">
        <v>1240</v>
      </c>
      <c r="I87" s="5" t="s">
        <v>950</v>
      </c>
      <c r="J87" s="5" t="s">
        <v>957</v>
      </c>
      <c r="K87" s="5" t="s">
        <v>912</v>
      </c>
      <c r="L87" s="5" t="s">
        <v>56</v>
      </c>
      <c r="M87" s="5" t="s">
        <v>56</v>
      </c>
      <c r="N87" s="5" t="s">
        <v>1241</v>
      </c>
      <c r="O87" s="5" t="s">
        <v>1242</v>
      </c>
      <c r="P87" s="13">
        <f>IFERROR(__xludf.DUMMYFUNCTION("IF(REGEXMATCH(UPPER(E87),""CONGRESO""),1,0)"),0.0)</f>
        <v>0</v>
      </c>
    </row>
    <row r="88" ht="15.75" customHeight="1">
      <c r="A88" s="5" t="s">
        <v>121</v>
      </c>
      <c r="B88" s="5" t="s">
        <v>244</v>
      </c>
      <c r="C88" s="5" t="s">
        <v>245</v>
      </c>
      <c r="D88" s="5" t="s">
        <v>944</v>
      </c>
      <c r="E88" s="5" t="s">
        <v>1243</v>
      </c>
      <c r="F88" s="5" t="s">
        <v>1244</v>
      </c>
      <c r="H88" s="5" t="s">
        <v>1245</v>
      </c>
      <c r="I88" s="5" t="s">
        <v>968</v>
      </c>
      <c r="J88" s="5" t="s">
        <v>968</v>
      </c>
      <c r="K88" s="5" t="s">
        <v>912</v>
      </c>
      <c r="L88" s="5" t="s">
        <v>105</v>
      </c>
      <c r="M88" s="5" t="s">
        <v>327</v>
      </c>
      <c r="N88" s="5" t="s">
        <v>327</v>
      </c>
      <c r="P88" s="13">
        <f>IFERROR(__xludf.DUMMYFUNCTION("IF(REGEXMATCH(UPPER(E88),""CONGRESO""),1,0)"),0.0)</f>
        <v>0</v>
      </c>
    </row>
    <row r="89" ht="15.75" customHeight="1">
      <c r="A89" s="5" t="s">
        <v>121</v>
      </c>
      <c r="B89" s="5" t="s">
        <v>244</v>
      </c>
      <c r="C89" s="5" t="s">
        <v>245</v>
      </c>
      <c r="D89" s="5" t="s">
        <v>944</v>
      </c>
      <c r="E89" s="5" t="s">
        <v>121</v>
      </c>
      <c r="F89" s="5" t="s">
        <v>1229</v>
      </c>
      <c r="H89" s="5" t="s">
        <v>1246</v>
      </c>
      <c r="I89" s="5" t="s">
        <v>1128</v>
      </c>
      <c r="J89" s="5" t="s">
        <v>974</v>
      </c>
      <c r="K89" s="5" t="s">
        <v>912</v>
      </c>
      <c r="L89" s="5" t="s">
        <v>56</v>
      </c>
      <c r="M89" s="5" t="s">
        <v>56</v>
      </c>
      <c r="N89" s="5" t="s">
        <v>56</v>
      </c>
      <c r="P89" s="13">
        <f>IFERROR(__xludf.DUMMYFUNCTION("IF(REGEXMATCH(UPPER(E89),""CONGRESO""),1,0)"),0.0)</f>
        <v>0</v>
      </c>
    </row>
    <row r="90" ht="15.75" customHeight="1">
      <c r="A90" s="5" t="s">
        <v>121</v>
      </c>
      <c r="B90" s="5" t="s">
        <v>244</v>
      </c>
      <c r="C90" s="5" t="s">
        <v>245</v>
      </c>
      <c r="D90" s="5" t="s">
        <v>944</v>
      </c>
      <c r="E90" s="5" t="s">
        <v>1247</v>
      </c>
      <c r="F90" s="5" t="s">
        <v>1248</v>
      </c>
      <c r="H90" s="5" t="s">
        <v>1249</v>
      </c>
      <c r="I90" s="5" t="s">
        <v>956</v>
      </c>
      <c r="J90" s="5" t="s">
        <v>957</v>
      </c>
      <c r="K90" s="5" t="s">
        <v>912</v>
      </c>
      <c r="L90" s="5" t="s">
        <v>56</v>
      </c>
      <c r="M90" s="5" t="s">
        <v>56</v>
      </c>
      <c r="N90" s="5" t="s">
        <v>97</v>
      </c>
      <c r="O90" s="5" t="s">
        <v>1242</v>
      </c>
      <c r="P90" s="13">
        <f>IFERROR(__xludf.DUMMYFUNCTION("IF(REGEXMATCH(UPPER(E90),""CONGRESO""),1,0)"),0.0)</f>
        <v>0</v>
      </c>
    </row>
    <row r="91" ht="15.75" customHeight="1">
      <c r="A91" s="5" t="s">
        <v>121</v>
      </c>
      <c r="B91" s="5" t="s">
        <v>253</v>
      </c>
      <c r="C91" s="5" t="s">
        <v>254</v>
      </c>
      <c r="D91" s="5" t="s">
        <v>944</v>
      </c>
      <c r="E91" s="5" t="s">
        <v>1250</v>
      </c>
      <c r="F91" s="5" t="s">
        <v>1251</v>
      </c>
      <c r="H91" s="5" t="s">
        <v>1252</v>
      </c>
      <c r="I91" s="5" t="s">
        <v>1145</v>
      </c>
      <c r="J91" s="5" t="s">
        <v>957</v>
      </c>
      <c r="K91" s="5" t="s">
        <v>912</v>
      </c>
      <c r="L91" s="5" t="s">
        <v>56</v>
      </c>
      <c r="M91" s="5" t="s">
        <v>56</v>
      </c>
      <c r="N91" s="5" t="s">
        <v>969</v>
      </c>
      <c r="P91" s="13">
        <f>IFERROR(__xludf.DUMMYFUNCTION("IF(REGEXMATCH(UPPER(E91),""CONGRESO""),1,0)"),0.0)</f>
        <v>0</v>
      </c>
    </row>
    <row r="92" ht="15.75" customHeight="1">
      <c r="A92" s="5" t="s">
        <v>121</v>
      </c>
      <c r="B92" s="5" t="s">
        <v>261</v>
      </c>
      <c r="C92" s="5" t="s">
        <v>262</v>
      </c>
      <c r="D92" s="5" t="s">
        <v>944</v>
      </c>
      <c r="E92" s="5" t="s">
        <v>1253</v>
      </c>
      <c r="F92" s="5" t="s">
        <v>1254</v>
      </c>
      <c r="G92" s="5" t="s">
        <v>1255</v>
      </c>
      <c r="H92" s="5" t="s">
        <v>1256</v>
      </c>
      <c r="I92" s="5" t="s">
        <v>1257</v>
      </c>
      <c r="J92" s="5" t="s">
        <v>974</v>
      </c>
      <c r="K92" s="5" t="s">
        <v>912</v>
      </c>
      <c r="L92" s="5" t="s">
        <v>206</v>
      </c>
      <c r="M92" s="5" t="s">
        <v>1193</v>
      </c>
      <c r="N92" s="5" t="s">
        <v>1194</v>
      </c>
      <c r="P92" s="13">
        <f>IFERROR(__xludf.DUMMYFUNCTION("IF(REGEXMATCH(UPPER(E92),""CONGRESO""),1,0)"),0.0)</f>
        <v>0</v>
      </c>
    </row>
    <row r="93" ht="15.75" customHeight="1">
      <c r="A93" s="5" t="s">
        <v>121</v>
      </c>
      <c r="B93" s="5" t="s">
        <v>261</v>
      </c>
      <c r="C93" s="5" t="s">
        <v>262</v>
      </c>
      <c r="D93" s="5" t="s">
        <v>944</v>
      </c>
      <c r="E93" s="5" t="s">
        <v>1258</v>
      </c>
      <c r="F93" s="5" t="s">
        <v>1149</v>
      </c>
      <c r="G93" s="5" t="s">
        <v>1100</v>
      </c>
      <c r="H93" s="5" t="s">
        <v>1259</v>
      </c>
      <c r="I93" s="5" t="s">
        <v>974</v>
      </c>
      <c r="J93" s="5" t="s">
        <v>957</v>
      </c>
      <c r="K93" s="5" t="s">
        <v>912</v>
      </c>
      <c r="L93" s="5" t="s">
        <v>56</v>
      </c>
      <c r="M93" s="5" t="s">
        <v>56</v>
      </c>
      <c r="N93" s="5" t="s">
        <v>56</v>
      </c>
      <c r="P93" s="13">
        <f>IFERROR(__xludf.DUMMYFUNCTION("IF(REGEXMATCH(UPPER(E93),""CONGRESO""),1,0)"),1.0)</f>
        <v>1</v>
      </c>
    </row>
    <row r="94" ht="15.75" customHeight="1">
      <c r="A94" s="5" t="s">
        <v>121</v>
      </c>
      <c r="B94" s="5" t="s">
        <v>270</v>
      </c>
      <c r="C94" s="5" t="s">
        <v>271</v>
      </c>
      <c r="D94" s="5" t="s">
        <v>944</v>
      </c>
      <c r="E94" s="5" t="s">
        <v>1260</v>
      </c>
      <c r="F94" s="5" t="s">
        <v>1261</v>
      </c>
      <c r="G94" s="5" t="s">
        <v>1262</v>
      </c>
      <c r="H94" s="5" t="s">
        <v>1263</v>
      </c>
      <c r="I94" s="5" t="s">
        <v>1235</v>
      </c>
      <c r="J94" s="5" t="s">
        <v>1111</v>
      </c>
      <c r="K94" s="5" t="s">
        <v>912</v>
      </c>
      <c r="L94" s="5" t="s">
        <v>56</v>
      </c>
      <c r="M94" s="5" t="s">
        <v>56</v>
      </c>
      <c r="N94" s="5" t="s">
        <v>233</v>
      </c>
      <c r="P94" s="13">
        <f>IFERROR(__xludf.DUMMYFUNCTION("IF(REGEXMATCH(UPPER(E94),""CONGRESO""),1,0)"),0.0)</f>
        <v>0</v>
      </c>
    </row>
    <row r="95" ht="15.75" customHeight="1">
      <c r="A95" s="5" t="s">
        <v>121</v>
      </c>
      <c r="B95" s="5" t="s">
        <v>270</v>
      </c>
      <c r="C95" s="5" t="s">
        <v>271</v>
      </c>
      <c r="D95" s="5" t="s">
        <v>944</v>
      </c>
      <c r="E95" s="5" t="s">
        <v>1107</v>
      </c>
      <c r="F95" s="5" t="s">
        <v>1144</v>
      </c>
      <c r="G95" s="5" t="s">
        <v>1100</v>
      </c>
      <c r="H95" s="5" t="s">
        <v>1264</v>
      </c>
      <c r="I95" s="5" t="s">
        <v>974</v>
      </c>
      <c r="J95" s="5" t="s">
        <v>957</v>
      </c>
      <c r="K95" s="5" t="s">
        <v>912</v>
      </c>
      <c r="L95" s="5" t="s">
        <v>56</v>
      </c>
      <c r="M95" s="5" t="s">
        <v>56</v>
      </c>
      <c r="N95" s="5" t="s">
        <v>56</v>
      </c>
      <c r="P95" s="13">
        <f>IFERROR(__xludf.DUMMYFUNCTION("IF(REGEXMATCH(UPPER(E95),""CONGRESO""),1,0)"),1.0)</f>
        <v>1</v>
      </c>
    </row>
    <row r="96" ht="15.75" customHeight="1">
      <c r="A96" s="5" t="s">
        <v>121</v>
      </c>
      <c r="B96" s="5" t="s">
        <v>270</v>
      </c>
      <c r="C96" s="5" t="s">
        <v>271</v>
      </c>
      <c r="D96" s="5" t="s">
        <v>944</v>
      </c>
      <c r="E96" s="5" t="s">
        <v>1107</v>
      </c>
      <c r="F96" s="5" t="s">
        <v>1229</v>
      </c>
      <c r="G96" s="5" t="s">
        <v>1100</v>
      </c>
      <c r="H96" s="5" t="s">
        <v>1264</v>
      </c>
      <c r="I96" s="5" t="s">
        <v>957</v>
      </c>
      <c r="J96" s="5" t="s">
        <v>957</v>
      </c>
      <c r="K96" s="5" t="s">
        <v>912</v>
      </c>
      <c r="L96" s="5" t="s">
        <v>56</v>
      </c>
      <c r="M96" s="5" t="s">
        <v>56</v>
      </c>
      <c r="N96" s="5" t="s">
        <v>56</v>
      </c>
      <c r="O96" s="5" t="s">
        <v>1265</v>
      </c>
      <c r="P96" s="13">
        <f>IFERROR(__xludf.DUMMYFUNCTION("IF(REGEXMATCH(UPPER(E96),""CONGRESO""),1,0)"),1.0)</f>
        <v>1</v>
      </c>
    </row>
    <row r="97" ht="15.75" customHeight="1">
      <c r="A97" s="5" t="s">
        <v>121</v>
      </c>
      <c r="B97" s="5" t="s">
        <v>270</v>
      </c>
      <c r="C97" s="5" t="s">
        <v>271</v>
      </c>
      <c r="D97" s="5" t="s">
        <v>944</v>
      </c>
      <c r="E97" s="5" t="s">
        <v>121</v>
      </c>
      <c r="F97" s="5" t="s">
        <v>1178</v>
      </c>
      <c r="G97" s="5" t="s">
        <v>1266</v>
      </c>
      <c r="H97" s="5" t="s">
        <v>1267</v>
      </c>
      <c r="I97" s="5" t="s">
        <v>1056</v>
      </c>
      <c r="J97" s="5" t="s">
        <v>949</v>
      </c>
      <c r="K97" s="5" t="s">
        <v>912</v>
      </c>
      <c r="L97" s="5" t="s">
        <v>56</v>
      </c>
      <c r="M97" s="5" t="s">
        <v>56</v>
      </c>
      <c r="N97" s="5" t="s">
        <v>56</v>
      </c>
      <c r="P97" s="13">
        <f>IFERROR(__xludf.DUMMYFUNCTION("IF(REGEXMATCH(UPPER(E97),""CONGRESO""),1,0)"),0.0)</f>
        <v>0</v>
      </c>
    </row>
    <row r="98" ht="15.75" customHeight="1">
      <c r="A98" s="5" t="s">
        <v>121</v>
      </c>
      <c r="B98" s="5" t="s">
        <v>270</v>
      </c>
      <c r="C98" s="5" t="s">
        <v>271</v>
      </c>
      <c r="D98" s="5" t="s">
        <v>944</v>
      </c>
      <c r="E98" s="5" t="s">
        <v>121</v>
      </c>
      <c r="F98" s="5" t="s">
        <v>1211</v>
      </c>
      <c r="G98" s="5" t="s">
        <v>1266</v>
      </c>
      <c r="H98" s="5" t="s">
        <v>1268</v>
      </c>
      <c r="I98" s="5" t="s">
        <v>949</v>
      </c>
      <c r="J98" s="5" t="s">
        <v>974</v>
      </c>
      <c r="K98" s="5" t="s">
        <v>912</v>
      </c>
      <c r="L98" s="5" t="s">
        <v>56</v>
      </c>
      <c r="M98" s="5" t="s">
        <v>56</v>
      </c>
      <c r="N98" s="5" t="s">
        <v>56</v>
      </c>
      <c r="P98" s="13">
        <f>IFERROR(__xludf.DUMMYFUNCTION("IF(REGEXMATCH(UPPER(E98),""CONGRESO""),1,0)"),0.0)</f>
        <v>0</v>
      </c>
    </row>
    <row r="99" ht="15.75" customHeight="1">
      <c r="A99" s="5" t="s">
        <v>121</v>
      </c>
      <c r="B99" s="5" t="s">
        <v>279</v>
      </c>
      <c r="C99" s="5" t="s">
        <v>280</v>
      </c>
      <c r="D99" s="5" t="s">
        <v>944</v>
      </c>
      <c r="E99" s="5" t="s">
        <v>1269</v>
      </c>
      <c r="F99" s="5" t="s">
        <v>1270</v>
      </c>
      <c r="H99" s="5" t="s">
        <v>1271</v>
      </c>
      <c r="I99" s="5" t="s">
        <v>1111</v>
      </c>
      <c r="J99" s="5" t="s">
        <v>1006</v>
      </c>
      <c r="K99" s="5" t="s">
        <v>1272</v>
      </c>
      <c r="O99" s="5" t="s">
        <v>1273</v>
      </c>
      <c r="P99" s="13">
        <f>IFERROR(__xludf.DUMMYFUNCTION("IF(REGEXMATCH(UPPER(E99),""CONGRESO""),1,0)"),0.0)</f>
        <v>0</v>
      </c>
    </row>
    <row r="100" ht="15.75" customHeight="1">
      <c r="A100" s="5" t="s">
        <v>121</v>
      </c>
      <c r="B100" s="5" t="s">
        <v>279</v>
      </c>
      <c r="C100" s="5" t="s">
        <v>280</v>
      </c>
      <c r="D100" s="5" t="s">
        <v>944</v>
      </c>
      <c r="E100" s="5" t="s">
        <v>1274</v>
      </c>
      <c r="F100" s="5" t="s">
        <v>1270</v>
      </c>
      <c r="H100" s="5" t="s">
        <v>1275</v>
      </c>
      <c r="I100" s="5" t="s">
        <v>1006</v>
      </c>
      <c r="J100" s="5" t="s">
        <v>957</v>
      </c>
      <c r="K100" s="5" t="s">
        <v>1272</v>
      </c>
      <c r="O100" s="5" t="s">
        <v>1276</v>
      </c>
      <c r="P100" s="13">
        <f>IFERROR(__xludf.DUMMYFUNCTION("IF(REGEXMATCH(UPPER(E100),""CONGRESO""),1,0)"),0.0)</f>
        <v>0</v>
      </c>
    </row>
    <row r="101" ht="15.75" customHeight="1">
      <c r="A101" s="5" t="s">
        <v>121</v>
      </c>
      <c r="B101" s="5" t="s">
        <v>288</v>
      </c>
      <c r="C101" s="5" t="s">
        <v>289</v>
      </c>
      <c r="D101" s="5" t="s">
        <v>944</v>
      </c>
      <c r="E101" s="5" t="s">
        <v>1277</v>
      </c>
      <c r="F101" s="5" t="s">
        <v>1278</v>
      </c>
      <c r="G101" s="5" t="s">
        <v>1279</v>
      </c>
      <c r="H101" s="5" t="s">
        <v>1280</v>
      </c>
      <c r="I101" s="5" t="s">
        <v>957</v>
      </c>
      <c r="J101" s="5" t="s">
        <v>957</v>
      </c>
      <c r="K101" s="5" t="s">
        <v>912</v>
      </c>
      <c r="L101" s="5" t="s">
        <v>128</v>
      </c>
      <c r="M101" s="5" t="s">
        <v>129</v>
      </c>
      <c r="N101" s="5" t="s">
        <v>130</v>
      </c>
      <c r="O101" s="5" t="s">
        <v>1281</v>
      </c>
      <c r="P101" s="13">
        <f>IFERROR(__xludf.DUMMYFUNCTION("IF(REGEXMATCH(UPPER(E101),""CONGRESO""),1,0)"),0.0)</f>
        <v>0</v>
      </c>
    </row>
    <row r="102" ht="15.75" customHeight="1">
      <c r="A102" s="5" t="s">
        <v>121</v>
      </c>
      <c r="B102" s="5" t="s">
        <v>288</v>
      </c>
      <c r="C102" s="5" t="s">
        <v>289</v>
      </c>
      <c r="D102" s="5" t="s">
        <v>944</v>
      </c>
      <c r="E102" s="5" t="s">
        <v>1282</v>
      </c>
      <c r="F102" s="5" t="s">
        <v>1283</v>
      </c>
      <c r="G102" s="5" t="s">
        <v>1284</v>
      </c>
      <c r="H102" s="5" t="s">
        <v>1285</v>
      </c>
      <c r="I102" s="5" t="s">
        <v>1056</v>
      </c>
      <c r="J102" s="5" t="s">
        <v>1056</v>
      </c>
      <c r="K102" s="5" t="s">
        <v>912</v>
      </c>
      <c r="L102" s="5" t="s">
        <v>128</v>
      </c>
      <c r="M102" s="5" t="s">
        <v>129</v>
      </c>
      <c r="N102" s="5" t="s">
        <v>1286</v>
      </c>
      <c r="O102" s="5" t="s">
        <v>1287</v>
      </c>
      <c r="P102" s="13">
        <f>IFERROR(__xludf.DUMMYFUNCTION("IF(REGEXMATCH(UPPER(E102),""CONGRESO""),1,0)"),0.0)</f>
        <v>0</v>
      </c>
    </row>
    <row r="103" ht="15.75" customHeight="1">
      <c r="A103" s="5" t="s">
        <v>121</v>
      </c>
      <c r="B103" s="5" t="s">
        <v>288</v>
      </c>
      <c r="C103" s="5" t="s">
        <v>289</v>
      </c>
      <c r="D103" s="5" t="s">
        <v>944</v>
      </c>
      <c r="E103" s="5" t="s">
        <v>1288</v>
      </c>
      <c r="F103" s="5" t="s">
        <v>1289</v>
      </c>
      <c r="G103" s="5" t="s">
        <v>1290</v>
      </c>
      <c r="H103" s="5" t="s">
        <v>1291</v>
      </c>
      <c r="I103" s="5" t="s">
        <v>956</v>
      </c>
      <c r="J103" s="5" t="s">
        <v>957</v>
      </c>
      <c r="K103" s="5" t="s">
        <v>912</v>
      </c>
      <c r="L103" s="5" t="s">
        <v>128</v>
      </c>
      <c r="M103" s="5" t="s">
        <v>1292</v>
      </c>
      <c r="N103" s="5" t="s">
        <v>1292</v>
      </c>
      <c r="O103" s="5" t="s">
        <v>1293</v>
      </c>
      <c r="P103" s="13">
        <f>IFERROR(__xludf.DUMMYFUNCTION("IF(REGEXMATCH(UPPER(E103),""CONGRESO""),1,0)"),0.0)</f>
        <v>0</v>
      </c>
    </row>
    <row r="104" ht="15.75" customHeight="1">
      <c r="A104" s="5" t="s">
        <v>121</v>
      </c>
      <c r="B104" s="5" t="s">
        <v>288</v>
      </c>
      <c r="C104" s="5" t="s">
        <v>289</v>
      </c>
      <c r="D104" s="5" t="s">
        <v>944</v>
      </c>
      <c r="E104" s="5" t="s">
        <v>1294</v>
      </c>
      <c r="F104" s="5" t="s">
        <v>1295</v>
      </c>
      <c r="G104" s="5" t="s">
        <v>1296</v>
      </c>
      <c r="H104" s="5" t="s">
        <v>1297</v>
      </c>
      <c r="I104" s="5" t="s">
        <v>957</v>
      </c>
      <c r="J104" s="5" t="s">
        <v>957</v>
      </c>
      <c r="K104" s="5" t="s">
        <v>912</v>
      </c>
      <c r="L104" s="5" t="s">
        <v>86</v>
      </c>
      <c r="M104" s="5" t="s">
        <v>87</v>
      </c>
      <c r="N104" s="5" t="s">
        <v>88</v>
      </c>
      <c r="O104" s="5" t="s">
        <v>1298</v>
      </c>
      <c r="P104" s="13">
        <f>IFERROR(__xludf.DUMMYFUNCTION("IF(REGEXMATCH(UPPER(E104),""CONGRESO""),1,0)"),0.0)</f>
        <v>0</v>
      </c>
    </row>
    <row r="105" ht="15.75" customHeight="1">
      <c r="A105" s="5" t="s">
        <v>121</v>
      </c>
      <c r="B105" s="5" t="s">
        <v>288</v>
      </c>
      <c r="C105" s="5" t="s">
        <v>289</v>
      </c>
      <c r="D105" s="5" t="s">
        <v>944</v>
      </c>
      <c r="E105" s="5" t="s">
        <v>1299</v>
      </c>
      <c r="F105" s="5" t="s">
        <v>1300</v>
      </c>
      <c r="G105" s="5" t="s">
        <v>1301</v>
      </c>
      <c r="H105" s="5" t="s">
        <v>1302</v>
      </c>
      <c r="I105" s="5" t="s">
        <v>1056</v>
      </c>
      <c r="J105" s="5" t="s">
        <v>949</v>
      </c>
      <c r="K105" s="5" t="s">
        <v>912</v>
      </c>
      <c r="L105" s="5" t="s">
        <v>128</v>
      </c>
      <c r="M105" s="5" t="s">
        <v>129</v>
      </c>
      <c r="N105" s="5" t="s">
        <v>130</v>
      </c>
      <c r="O105" s="5" t="s">
        <v>1303</v>
      </c>
      <c r="P105" s="13">
        <f>IFERROR(__xludf.DUMMYFUNCTION("IF(REGEXMATCH(UPPER(E105),""CONGRESO""),1,0)"),0.0)</f>
        <v>0</v>
      </c>
    </row>
    <row r="106" ht="15.75" customHeight="1">
      <c r="A106" s="5" t="s">
        <v>121</v>
      </c>
      <c r="B106" s="5" t="s">
        <v>296</v>
      </c>
      <c r="C106" s="5" t="s">
        <v>297</v>
      </c>
      <c r="D106" s="5" t="s">
        <v>944</v>
      </c>
      <c r="E106" s="5" t="s">
        <v>1304</v>
      </c>
      <c r="F106" s="5" t="s">
        <v>1305</v>
      </c>
      <c r="G106" s="5" t="s">
        <v>1306</v>
      </c>
      <c r="H106" s="5" t="s">
        <v>1307</v>
      </c>
      <c r="I106" s="5" t="s">
        <v>1128</v>
      </c>
      <c r="J106" s="5" t="s">
        <v>1036</v>
      </c>
      <c r="K106" s="5" t="s">
        <v>912</v>
      </c>
      <c r="L106" s="5" t="s">
        <v>56</v>
      </c>
      <c r="M106" s="5" t="s">
        <v>56</v>
      </c>
      <c r="N106" s="5" t="s">
        <v>176</v>
      </c>
      <c r="P106" s="13">
        <f>IFERROR(__xludf.DUMMYFUNCTION("IF(REGEXMATCH(UPPER(E106),""CONGRESO""),1,0)"),0.0)</f>
        <v>0</v>
      </c>
    </row>
    <row r="107" ht="15.75" customHeight="1">
      <c r="A107" s="5" t="s">
        <v>121</v>
      </c>
      <c r="B107" s="5" t="s">
        <v>296</v>
      </c>
      <c r="C107" s="5" t="s">
        <v>297</v>
      </c>
      <c r="D107" s="5" t="s">
        <v>944</v>
      </c>
      <c r="E107" s="5" t="s">
        <v>1258</v>
      </c>
      <c r="F107" s="5" t="s">
        <v>1149</v>
      </c>
      <c r="G107" s="5" t="s">
        <v>1100</v>
      </c>
      <c r="H107" s="5" t="s">
        <v>1308</v>
      </c>
      <c r="I107" s="5" t="s">
        <v>974</v>
      </c>
      <c r="J107" s="5" t="s">
        <v>957</v>
      </c>
      <c r="K107" s="5" t="s">
        <v>912</v>
      </c>
      <c r="L107" s="5" t="s">
        <v>56</v>
      </c>
      <c r="M107" s="5" t="s">
        <v>56</v>
      </c>
      <c r="N107" s="5" t="s">
        <v>56</v>
      </c>
      <c r="O107" s="5" t="s">
        <v>1309</v>
      </c>
      <c r="P107" s="13">
        <f>IFERROR(__xludf.DUMMYFUNCTION("IF(REGEXMATCH(UPPER(E107),""CONGRESO""),1,0)"),1.0)</f>
        <v>1</v>
      </c>
    </row>
    <row r="108" ht="15.75" customHeight="1">
      <c r="A108" s="5" t="s">
        <v>121</v>
      </c>
      <c r="B108" s="5" t="s">
        <v>296</v>
      </c>
      <c r="C108" s="5" t="s">
        <v>297</v>
      </c>
      <c r="D108" s="5" t="s">
        <v>944</v>
      </c>
      <c r="E108" s="5" t="s">
        <v>1062</v>
      </c>
      <c r="F108" s="5" t="s">
        <v>1310</v>
      </c>
      <c r="G108" s="5" t="s">
        <v>1064</v>
      </c>
      <c r="H108" s="5" t="s">
        <v>1311</v>
      </c>
      <c r="I108" s="5" t="s">
        <v>1128</v>
      </c>
      <c r="J108" s="5" t="s">
        <v>949</v>
      </c>
      <c r="K108" s="5" t="s">
        <v>912</v>
      </c>
      <c r="L108" s="5" t="s">
        <v>56</v>
      </c>
      <c r="M108" s="5" t="s">
        <v>56</v>
      </c>
      <c r="N108" s="5" t="s">
        <v>56</v>
      </c>
      <c r="P108" s="13">
        <f>IFERROR(__xludf.DUMMYFUNCTION("IF(REGEXMATCH(UPPER(E108),""CONGRESO""),1,0)"),0.0)</f>
        <v>0</v>
      </c>
    </row>
    <row r="109" ht="15.75" customHeight="1">
      <c r="A109" s="5" t="s">
        <v>121</v>
      </c>
      <c r="B109" s="5" t="s">
        <v>296</v>
      </c>
      <c r="C109" s="5" t="s">
        <v>297</v>
      </c>
      <c r="D109" s="5" t="s">
        <v>944</v>
      </c>
      <c r="E109" s="5" t="s">
        <v>1312</v>
      </c>
      <c r="F109" s="5" t="s">
        <v>1313</v>
      </c>
      <c r="G109" s="5" t="s">
        <v>1314</v>
      </c>
      <c r="H109" s="5" t="s">
        <v>1315</v>
      </c>
      <c r="I109" s="5" t="s">
        <v>1036</v>
      </c>
      <c r="J109" s="5" t="s">
        <v>974</v>
      </c>
      <c r="K109" s="5" t="s">
        <v>912</v>
      </c>
      <c r="L109" s="5" t="s">
        <v>177</v>
      </c>
      <c r="M109" s="5" t="s">
        <v>177</v>
      </c>
      <c r="N109" s="5" t="s">
        <v>177</v>
      </c>
      <c r="P109" s="13">
        <f>IFERROR(__xludf.DUMMYFUNCTION("IF(REGEXMATCH(UPPER(E109),""CONGRESO""),1,0)"),0.0)</f>
        <v>0</v>
      </c>
    </row>
    <row r="110" ht="15.75" customHeight="1">
      <c r="A110" s="5" t="s">
        <v>121</v>
      </c>
      <c r="B110" s="5" t="s">
        <v>304</v>
      </c>
      <c r="C110" s="5" t="s">
        <v>305</v>
      </c>
      <c r="D110" s="5" t="s">
        <v>944</v>
      </c>
      <c r="E110" s="5" t="s">
        <v>1098</v>
      </c>
      <c r="F110" s="5" t="s">
        <v>1229</v>
      </c>
      <c r="H110" s="5" t="s">
        <v>1316</v>
      </c>
      <c r="I110" s="5" t="s">
        <v>950</v>
      </c>
      <c r="J110" s="5" t="s">
        <v>950</v>
      </c>
      <c r="K110" s="5" t="s">
        <v>912</v>
      </c>
      <c r="L110" s="5" t="s">
        <v>56</v>
      </c>
      <c r="M110" s="5" t="s">
        <v>56</v>
      </c>
      <c r="N110" s="5" t="s">
        <v>56</v>
      </c>
      <c r="O110" s="5" t="s">
        <v>1317</v>
      </c>
      <c r="P110" s="13">
        <f>IFERROR(__xludf.DUMMYFUNCTION("IF(REGEXMATCH(UPPER(E110),""CONGRESO""),1,0)"),1.0)</f>
        <v>1</v>
      </c>
    </row>
    <row r="111" ht="15.75" customHeight="1">
      <c r="A111" s="5" t="s">
        <v>121</v>
      </c>
      <c r="B111" s="5" t="s">
        <v>304</v>
      </c>
      <c r="C111" s="5" t="s">
        <v>305</v>
      </c>
      <c r="D111" s="5" t="s">
        <v>944</v>
      </c>
      <c r="E111" s="5" t="s">
        <v>1107</v>
      </c>
      <c r="F111" s="5" t="s">
        <v>1229</v>
      </c>
      <c r="H111" s="5" t="s">
        <v>1318</v>
      </c>
      <c r="I111" s="5" t="s">
        <v>950</v>
      </c>
      <c r="J111" s="5" t="s">
        <v>957</v>
      </c>
      <c r="K111" s="5" t="s">
        <v>912</v>
      </c>
      <c r="L111" s="5" t="s">
        <v>56</v>
      </c>
      <c r="M111" s="5" t="s">
        <v>56</v>
      </c>
      <c r="N111" s="5" t="s">
        <v>56</v>
      </c>
      <c r="O111" s="5" t="s">
        <v>1319</v>
      </c>
      <c r="P111" s="13">
        <f>IFERROR(__xludf.DUMMYFUNCTION("IF(REGEXMATCH(UPPER(E111),""CONGRESO""),1,0)"),1.0)</f>
        <v>1</v>
      </c>
    </row>
    <row r="112" ht="15.75" customHeight="1">
      <c r="A112" s="5" t="s">
        <v>121</v>
      </c>
      <c r="B112" s="5" t="s">
        <v>304</v>
      </c>
      <c r="C112" s="5" t="s">
        <v>305</v>
      </c>
      <c r="D112" s="5" t="s">
        <v>944</v>
      </c>
      <c r="E112" s="5" t="s">
        <v>1098</v>
      </c>
      <c r="F112" s="5" t="s">
        <v>1144</v>
      </c>
      <c r="H112" s="5" t="s">
        <v>1318</v>
      </c>
      <c r="I112" s="5" t="s">
        <v>1036</v>
      </c>
      <c r="J112" s="5" t="s">
        <v>950</v>
      </c>
      <c r="K112" s="5" t="s">
        <v>912</v>
      </c>
      <c r="L112" s="5" t="s">
        <v>56</v>
      </c>
      <c r="M112" s="5" t="s">
        <v>56</v>
      </c>
      <c r="N112" s="5" t="s">
        <v>56</v>
      </c>
      <c r="O112" s="5" t="s">
        <v>1320</v>
      </c>
      <c r="P112" s="13">
        <f>IFERROR(__xludf.DUMMYFUNCTION("IF(REGEXMATCH(UPPER(E112),""CONGRESO""),1,0)"),1.0)</f>
        <v>1</v>
      </c>
    </row>
    <row r="113" ht="15.75" customHeight="1">
      <c r="A113" s="5" t="s">
        <v>121</v>
      </c>
      <c r="B113" s="5" t="s">
        <v>304</v>
      </c>
      <c r="C113" s="5" t="s">
        <v>305</v>
      </c>
      <c r="D113" s="5" t="s">
        <v>944</v>
      </c>
      <c r="E113" s="5" t="s">
        <v>121</v>
      </c>
      <c r="F113" s="5" t="s">
        <v>1180</v>
      </c>
      <c r="H113" s="5" t="s">
        <v>1321</v>
      </c>
      <c r="I113" s="5" t="s">
        <v>1006</v>
      </c>
      <c r="J113" s="5" t="s">
        <v>1036</v>
      </c>
      <c r="K113" s="5" t="s">
        <v>912</v>
      </c>
      <c r="L113" s="5" t="s">
        <v>56</v>
      </c>
      <c r="M113" s="5" t="s">
        <v>56</v>
      </c>
      <c r="N113" s="5" t="s">
        <v>56</v>
      </c>
      <c r="O113" s="5" t="s">
        <v>1322</v>
      </c>
      <c r="P113" s="13">
        <f>IFERROR(__xludf.DUMMYFUNCTION("IF(REGEXMATCH(UPPER(E113),""CONGRESO""),1,0)"),0.0)</f>
        <v>0</v>
      </c>
    </row>
    <row r="114" ht="15.75" customHeight="1">
      <c r="A114" s="5" t="s">
        <v>121</v>
      </c>
      <c r="B114" s="5" t="s">
        <v>313</v>
      </c>
      <c r="C114" s="5" t="s">
        <v>314</v>
      </c>
      <c r="D114" s="5" t="s">
        <v>944</v>
      </c>
      <c r="E114" s="5" t="s">
        <v>1323</v>
      </c>
      <c r="F114" s="5" t="s">
        <v>1324</v>
      </c>
      <c r="G114" s="5" t="s">
        <v>1325</v>
      </c>
      <c r="H114" s="5" t="s">
        <v>1326</v>
      </c>
      <c r="I114" s="5" t="s">
        <v>1327</v>
      </c>
      <c r="J114" s="5" t="s">
        <v>1056</v>
      </c>
      <c r="K114" s="5" t="s">
        <v>912</v>
      </c>
      <c r="L114" s="5" t="s">
        <v>196</v>
      </c>
      <c r="M114" s="5" t="s">
        <v>196</v>
      </c>
      <c r="N114" s="5" t="s">
        <v>1328</v>
      </c>
      <c r="O114" s="5" t="s">
        <v>1329</v>
      </c>
      <c r="P114" s="13">
        <f>IFERROR(__xludf.DUMMYFUNCTION("IF(REGEXMATCH(UPPER(E114),""CONGRESO""),1,0)"),0.0)</f>
        <v>0</v>
      </c>
    </row>
    <row r="115" ht="15.75" customHeight="1">
      <c r="A115" s="5" t="s">
        <v>121</v>
      </c>
      <c r="B115" s="5" t="s">
        <v>313</v>
      </c>
      <c r="C115" s="5" t="s">
        <v>314</v>
      </c>
      <c r="D115" s="5" t="s">
        <v>944</v>
      </c>
      <c r="E115" s="5" t="s">
        <v>1107</v>
      </c>
      <c r="F115" s="5" t="s">
        <v>1330</v>
      </c>
      <c r="G115" s="5" t="s">
        <v>1100</v>
      </c>
      <c r="H115" s="5" t="s">
        <v>1331</v>
      </c>
      <c r="I115" s="5" t="s">
        <v>1056</v>
      </c>
      <c r="J115" s="5" t="s">
        <v>1036</v>
      </c>
      <c r="K115" s="5" t="s">
        <v>912</v>
      </c>
      <c r="L115" s="5" t="s">
        <v>56</v>
      </c>
      <c r="M115" s="5" t="s">
        <v>56</v>
      </c>
      <c r="N115" s="5" t="s">
        <v>56</v>
      </c>
      <c r="O115" s="5" t="s">
        <v>1332</v>
      </c>
      <c r="P115" s="13">
        <f>IFERROR(__xludf.DUMMYFUNCTION("IF(REGEXMATCH(UPPER(E115),""CONGRESO""),1,0)"),1.0)</f>
        <v>1</v>
      </c>
    </row>
    <row r="116" ht="15.75" customHeight="1">
      <c r="A116" s="5" t="s">
        <v>121</v>
      </c>
      <c r="B116" s="5" t="s">
        <v>313</v>
      </c>
      <c r="C116" s="5" t="s">
        <v>314</v>
      </c>
      <c r="D116" s="5" t="s">
        <v>944</v>
      </c>
      <c r="E116" s="5" t="s">
        <v>1333</v>
      </c>
      <c r="F116" s="5" t="s">
        <v>1334</v>
      </c>
      <c r="G116" s="5" t="s">
        <v>1335</v>
      </c>
      <c r="H116" s="5" t="s">
        <v>1336</v>
      </c>
      <c r="I116" s="5" t="s">
        <v>1128</v>
      </c>
      <c r="J116" s="5" t="s">
        <v>1056</v>
      </c>
      <c r="K116" s="5" t="s">
        <v>912</v>
      </c>
      <c r="L116" s="5" t="s">
        <v>196</v>
      </c>
      <c r="M116" s="5" t="s">
        <v>197</v>
      </c>
      <c r="N116" s="5" t="s">
        <v>318</v>
      </c>
      <c r="P116" s="13">
        <f>IFERROR(__xludf.DUMMYFUNCTION("IF(REGEXMATCH(UPPER(E116),""CONGRESO""),1,0)"),0.0)</f>
        <v>0</v>
      </c>
    </row>
    <row r="117" ht="15.75" customHeight="1">
      <c r="A117" s="5" t="s">
        <v>121</v>
      </c>
      <c r="B117" s="5" t="s">
        <v>313</v>
      </c>
      <c r="C117" s="5" t="s">
        <v>314</v>
      </c>
      <c r="D117" s="5" t="s">
        <v>944</v>
      </c>
      <c r="E117" s="5" t="s">
        <v>1337</v>
      </c>
      <c r="F117" s="5" t="s">
        <v>1222</v>
      </c>
      <c r="G117" s="5" t="s">
        <v>1338</v>
      </c>
      <c r="H117" s="5" t="s">
        <v>1339</v>
      </c>
      <c r="I117" s="5" t="s">
        <v>956</v>
      </c>
      <c r="J117" s="5" t="s">
        <v>957</v>
      </c>
      <c r="K117" s="5" t="s">
        <v>912</v>
      </c>
      <c r="L117" s="5" t="s">
        <v>56</v>
      </c>
      <c r="M117" s="5" t="s">
        <v>56</v>
      </c>
      <c r="N117" s="5" t="s">
        <v>1051</v>
      </c>
      <c r="O117" s="5" t="s">
        <v>1340</v>
      </c>
      <c r="P117" s="13">
        <f>IFERROR(__xludf.DUMMYFUNCTION("IF(REGEXMATCH(UPPER(E117),""CONGRESO""),1,0)"),0.0)</f>
        <v>0</v>
      </c>
    </row>
    <row r="118" ht="15.75" customHeight="1">
      <c r="A118" s="5" t="s">
        <v>121</v>
      </c>
      <c r="B118" s="5" t="s">
        <v>313</v>
      </c>
      <c r="C118" s="5" t="s">
        <v>314</v>
      </c>
      <c r="D118" s="5" t="s">
        <v>944</v>
      </c>
      <c r="E118" s="5" t="s">
        <v>1341</v>
      </c>
      <c r="F118" s="5" t="s">
        <v>1222</v>
      </c>
      <c r="G118" s="5" t="s">
        <v>1342</v>
      </c>
      <c r="H118" s="5" t="s">
        <v>1343</v>
      </c>
      <c r="I118" s="5" t="s">
        <v>974</v>
      </c>
      <c r="J118" s="5" t="s">
        <v>957</v>
      </c>
      <c r="K118" s="5" t="s">
        <v>912</v>
      </c>
      <c r="L118" s="5" t="s">
        <v>196</v>
      </c>
      <c r="M118" s="5" t="s">
        <v>197</v>
      </c>
      <c r="N118" s="5" t="s">
        <v>77</v>
      </c>
      <c r="O118" s="5" t="s">
        <v>1340</v>
      </c>
      <c r="P118" s="13">
        <f>IFERROR(__xludf.DUMMYFUNCTION("IF(REGEXMATCH(UPPER(E118),""CONGRESO""),1,0)"),0.0)</f>
        <v>0</v>
      </c>
    </row>
    <row r="119" ht="15.75" customHeight="1">
      <c r="A119" s="5" t="s">
        <v>121</v>
      </c>
      <c r="B119" s="5" t="s">
        <v>321</v>
      </c>
      <c r="C119" s="5" t="s">
        <v>322</v>
      </c>
      <c r="D119" s="5" t="s">
        <v>944</v>
      </c>
      <c r="E119" s="5" t="s">
        <v>1344</v>
      </c>
      <c r="F119" s="5" t="s">
        <v>1345</v>
      </c>
      <c r="H119" s="5" t="s">
        <v>1346</v>
      </c>
      <c r="I119" s="5" t="s">
        <v>956</v>
      </c>
      <c r="J119" s="5" t="s">
        <v>957</v>
      </c>
      <c r="K119" s="5" t="s">
        <v>912</v>
      </c>
      <c r="L119" s="5" t="s">
        <v>56</v>
      </c>
      <c r="M119" s="5" t="s">
        <v>56</v>
      </c>
      <c r="N119" s="5" t="s">
        <v>176</v>
      </c>
      <c r="O119" s="5" t="s">
        <v>1183</v>
      </c>
      <c r="P119" s="13">
        <f>IFERROR(__xludf.DUMMYFUNCTION("IF(REGEXMATCH(UPPER(E119),""CONGRESO""),1,0)"),0.0)</f>
        <v>0</v>
      </c>
    </row>
    <row r="120" ht="15.75" customHeight="1">
      <c r="A120" s="5" t="s">
        <v>121</v>
      </c>
      <c r="B120" s="5" t="s">
        <v>321</v>
      </c>
      <c r="C120" s="5" t="s">
        <v>322</v>
      </c>
      <c r="D120" s="5" t="s">
        <v>944</v>
      </c>
      <c r="E120" s="5" t="s">
        <v>1347</v>
      </c>
      <c r="F120" s="5" t="s">
        <v>1229</v>
      </c>
      <c r="H120" s="5" t="s">
        <v>1348</v>
      </c>
      <c r="I120" s="5" t="s">
        <v>1327</v>
      </c>
      <c r="J120" s="5" t="s">
        <v>956</v>
      </c>
      <c r="K120" s="5" t="s">
        <v>912</v>
      </c>
      <c r="L120" s="5" t="s">
        <v>56</v>
      </c>
      <c r="M120" s="5" t="s">
        <v>56</v>
      </c>
      <c r="N120" s="5" t="s">
        <v>56</v>
      </c>
      <c r="O120" s="5" t="s">
        <v>1349</v>
      </c>
      <c r="P120" s="13">
        <f>IFERROR(__xludf.DUMMYFUNCTION("IF(REGEXMATCH(UPPER(E120),""CONGRESO""),1,0)"),1.0)</f>
        <v>1</v>
      </c>
    </row>
    <row r="121" ht="15.75" customHeight="1">
      <c r="A121" s="5" t="s">
        <v>121</v>
      </c>
      <c r="B121" s="5" t="s">
        <v>330</v>
      </c>
      <c r="C121" s="5" t="s">
        <v>331</v>
      </c>
      <c r="D121" s="5" t="s">
        <v>944</v>
      </c>
      <c r="E121" s="5" t="s">
        <v>121</v>
      </c>
      <c r="F121" s="5" t="s">
        <v>1350</v>
      </c>
      <c r="G121" s="5" t="s">
        <v>1266</v>
      </c>
      <c r="H121" s="5" t="s">
        <v>1351</v>
      </c>
      <c r="I121" s="5" t="s">
        <v>1036</v>
      </c>
      <c r="J121" s="5" t="s">
        <v>1036</v>
      </c>
      <c r="K121" s="5" t="s">
        <v>912</v>
      </c>
      <c r="L121" s="5" t="s">
        <v>56</v>
      </c>
      <c r="M121" s="5" t="s">
        <v>56</v>
      </c>
      <c r="N121" s="5" t="s">
        <v>56</v>
      </c>
      <c r="O121" s="5" t="s">
        <v>1352</v>
      </c>
      <c r="P121" s="13">
        <f>IFERROR(__xludf.DUMMYFUNCTION("IF(REGEXMATCH(UPPER(E121),""CONGRESO""),1,0)"),0.0)</f>
        <v>0</v>
      </c>
    </row>
    <row r="122" ht="15.75" customHeight="1">
      <c r="A122" s="5" t="s">
        <v>121</v>
      </c>
      <c r="B122" s="5" t="s">
        <v>330</v>
      </c>
      <c r="C122" s="5" t="s">
        <v>331</v>
      </c>
      <c r="D122" s="5" t="s">
        <v>944</v>
      </c>
      <c r="E122" s="5" t="s">
        <v>121</v>
      </c>
      <c r="F122" s="5" t="s">
        <v>1353</v>
      </c>
      <c r="G122" s="5" t="s">
        <v>1266</v>
      </c>
      <c r="H122" s="5" t="s">
        <v>1354</v>
      </c>
      <c r="I122" s="5" t="s">
        <v>956</v>
      </c>
      <c r="J122" s="5" t="s">
        <v>956</v>
      </c>
      <c r="K122" s="5" t="s">
        <v>912</v>
      </c>
      <c r="L122" s="5" t="s">
        <v>56</v>
      </c>
      <c r="M122" s="5" t="s">
        <v>56</v>
      </c>
      <c r="N122" s="5" t="s">
        <v>56</v>
      </c>
      <c r="O122" s="5" t="s">
        <v>1355</v>
      </c>
      <c r="P122" s="13">
        <f>IFERROR(__xludf.DUMMYFUNCTION("IF(REGEXMATCH(UPPER(E122),""CONGRESO""),1,0)"),0.0)</f>
        <v>0</v>
      </c>
    </row>
    <row r="123" ht="15.75" customHeight="1">
      <c r="A123" s="5" t="s">
        <v>121</v>
      </c>
      <c r="B123" s="5" t="s">
        <v>330</v>
      </c>
      <c r="C123" s="5" t="s">
        <v>331</v>
      </c>
      <c r="D123" s="5" t="s">
        <v>944</v>
      </c>
      <c r="E123" s="5" t="s">
        <v>1107</v>
      </c>
      <c r="F123" s="5" t="s">
        <v>1174</v>
      </c>
      <c r="G123" s="5" t="s">
        <v>1100</v>
      </c>
      <c r="H123" s="5" t="s">
        <v>1175</v>
      </c>
      <c r="I123" s="5" t="s">
        <v>956</v>
      </c>
      <c r="J123" s="5" t="s">
        <v>957</v>
      </c>
      <c r="K123" s="5" t="s">
        <v>912</v>
      </c>
      <c r="L123" s="5" t="s">
        <v>56</v>
      </c>
      <c r="M123" s="5" t="s">
        <v>56</v>
      </c>
      <c r="N123" s="5" t="s">
        <v>56</v>
      </c>
      <c r="O123" s="5" t="s">
        <v>1356</v>
      </c>
      <c r="P123" s="13">
        <f>IFERROR(__xludf.DUMMYFUNCTION("IF(REGEXMATCH(UPPER(E123),""CONGRESO""),1,0)"),1.0)</f>
        <v>1</v>
      </c>
    </row>
    <row r="124" ht="15.75" customHeight="1">
      <c r="A124" s="5" t="s">
        <v>121</v>
      </c>
      <c r="B124" s="5" t="s">
        <v>330</v>
      </c>
      <c r="C124" s="5" t="s">
        <v>331</v>
      </c>
      <c r="D124" s="5" t="s">
        <v>944</v>
      </c>
      <c r="E124" s="5" t="s">
        <v>121</v>
      </c>
      <c r="F124" s="5" t="s">
        <v>1353</v>
      </c>
      <c r="G124" s="5" t="s">
        <v>1266</v>
      </c>
      <c r="H124" s="5" t="s">
        <v>1357</v>
      </c>
      <c r="I124" s="5" t="s">
        <v>974</v>
      </c>
      <c r="J124" s="5" t="s">
        <v>974</v>
      </c>
      <c r="K124" s="5" t="s">
        <v>912</v>
      </c>
      <c r="L124" s="5" t="s">
        <v>56</v>
      </c>
      <c r="M124" s="5" t="s">
        <v>56</v>
      </c>
      <c r="N124" s="5" t="s">
        <v>56</v>
      </c>
      <c r="O124" s="5" t="s">
        <v>1358</v>
      </c>
      <c r="P124" s="13">
        <f>IFERROR(__xludf.DUMMYFUNCTION("IF(REGEXMATCH(UPPER(E124),""CONGRESO""),1,0)"),0.0)</f>
        <v>0</v>
      </c>
    </row>
    <row r="125" ht="15.75" customHeight="1">
      <c r="A125" s="5" t="s">
        <v>121</v>
      </c>
      <c r="B125" s="5" t="s">
        <v>330</v>
      </c>
      <c r="C125" s="5" t="s">
        <v>331</v>
      </c>
      <c r="D125" s="5" t="s">
        <v>944</v>
      </c>
      <c r="E125" s="5" t="s">
        <v>121</v>
      </c>
      <c r="F125" s="5" t="s">
        <v>1353</v>
      </c>
      <c r="G125" s="5" t="s">
        <v>1266</v>
      </c>
      <c r="H125" s="5" t="s">
        <v>1359</v>
      </c>
      <c r="I125" s="5" t="s">
        <v>950</v>
      </c>
      <c r="J125" s="5" t="s">
        <v>950</v>
      </c>
      <c r="K125" s="5" t="s">
        <v>912</v>
      </c>
      <c r="L125" s="5" t="s">
        <v>56</v>
      </c>
      <c r="M125" s="5" t="s">
        <v>56</v>
      </c>
      <c r="N125" s="5" t="s">
        <v>56</v>
      </c>
      <c r="O125" s="5" t="s">
        <v>1360</v>
      </c>
      <c r="P125" s="13">
        <f>IFERROR(__xludf.DUMMYFUNCTION("IF(REGEXMATCH(UPPER(E125),""CONGRESO""),1,0)"),0.0)</f>
        <v>0</v>
      </c>
    </row>
    <row r="126" ht="15.75" customHeight="1">
      <c r="A126" s="5" t="s">
        <v>121</v>
      </c>
      <c r="B126" s="5" t="s">
        <v>338</v>
      </c>
      <c r="C126" s="5" t="s">
        <v>339</v>
      </c>
      <c r="D126" s="5" t="s">
        <v>944</v>
      </c>
      <c r="E126" s="5" t="s">
        <v>1361</v>
      </c>
      <c r="F126" s="5" t="s">
        <v>1362</v>
      </c>
      <c r="G126" s="5" t="s">
        <v>1363</v>
      </c>
      <c r="H126" s="5" t="s">
        <v>1364</v>
      </c>
      <c r="I126" s="5" t="s">
        <v>956</v>
      </c>
      <c r="J126" s="5" t="s">
        <v>957</v>
      </c>
      <c r="K126" s="5" t="s">
        <v>912</v>
      </c>
      <c r="L126" s="5" t="s">
        <v>343</v>
      </c>
      <c r="M126" s="5" t="s">
        <v>344</v>
      </c>
      <c r="N126" s="5" t="s">
        <v>345</v>
      </c>
      <c r="O126" s="5" t="s">
        <v>1365</v>
      </c>
      <c r="P126" s="13">
        <f>IFERROR(__xludf.DUMMYFUNCTION("IF(REGEXMATCH(UPPER(E126),""CONGRESO""),1,0)"),0.0)</f>
        <v>0</v>
      </c>
    </row>
    <row r="127" ht="15.75" customHeight="1">
      <c r="A127" s="5" t="s">
        <v>121</v>
      </c>
      <c r="B127" s="5" t="s">
        <v>338</v>
      </c>
      <c r="C127" s="5" t="s">
        <v>339</v>
      </c>
      <c r="D127" s="5" t="s">
        <v>944</v>
      </c>
      <c r="E127" s="5" t="s">
        <v>1366</v>
      </c>
      <c r="F127" s="5" t="s">
        <v>1367</v>
      </c>
      <c r="G127" s="5" t="s">
        <v>1368</v>
      </c>
      <c r="H127" s="5" t="s">
        <v>1369</v>
      </c>
      <c r="I127" s="5" t="s">
        <v>1094</v>
      </c>
      <c r="J127" s="5" t="s">
        <v>957</v>
      </c>
      <c r="K127" s="5" t="s">
        <v>912</v>
      </c>
      <c r="L127" s="5" t="s">
        <v>343</v>
      </c>
      <c r="M127" s="5" t="s">
        <v>344</v>
      </c>
      <c r="N127" s="5" t="s">
        <v>345</v>
      </c>
      <c r="O127" s="5" t="s">
        <v>1365</v>
      </c>
      <c r="P127" s="13">
        <f>IFERROR(__xludf.DUMMYFUNCTION("IF(REGEXMATCH(UPPER(E127),""CONGRESO""),1,0)"),0.0)</f>
        <v>0</v>
      </c>
    </row>
    <row r="128" ht="15.75" customHeight="1">
      <c r="A128" s="5" t="s">
        <v>121</v>
      </c>
      <c r="B128" s="5" t="s">
        <v>338</v>
      </c>
      <c r="C128" s="5" t="s">
        <v>339</v>
      </c>
      <c r="D128" s="5" t="s">
        <v>944</v>
      </c>
      <c r="E128" s="5" t="s">
        <v>1370</v>
      </c>
      <c r="F128" s="5" t="s">
        <v>1362</v>
      </c>
      <c r="G128" s="5" t="s">
        <v>1371</v>
      </c>
      <c r="H128" s="5" t="s">
        <v>1364</v>
      </c>
      <c r="I128" s="5" t="s">
        <v>956</v>
      </c>
      <c r="J128" s="5" t="s">
        <v>957</v>
      </c>
      <c r="K128" s="5" t="s">
        <v>912</v>
      </c>
      <c r="L128" s="5" t="s">
        <v>343</v>
      </c>
      <c r="M128" s="5" t="s">
        <v>344</v>
      </c>
      <c r="N128" s="5" t="s">
        <v>345</v>
      </c>
      <c r="O128" s="5" t="s">
        <v>1365</v>
      </c>
      <c r="P128" s="13">
        <f>IFERROR(__xludf.DUMMYFUNCTION("IF(REGEXMATCH(UPPER(E128),""CONGRESO""),1,0)"),0.0)</f>
        <v>0</v>
      </c>
    </row>
    <row r="129" ht="15.75" customHeight="1">
      <c r="A129" s="5" t="s">
        <v>121</v>
      </c>
      <c r="B129" s="5" t="s">
        <v>338</v>
      </c>
      <c r="C129" s="5" t="s">
        <v>339</v>
      </c>
      <c r="D129" s="5" t="s">
        <v>944</v>
      </c>
      <c r="E129" s="5" t="s">
        <v>1372</v>
      </c>
      <c r="F129" s="5" t="s">
        <v>1373</v>
      </c>
      <c r="G129" s="5" t="s">
        <v>1374</v>
      </c>
      <c r="H129" s="5" t="s">
        <v>1375</v>
      </c>
      <c r="I129" s="5" t="s">
        <v>968</v>
      </c>
      <c r="J129" s="5" t="s">
        <v>957</v>
      </c>
      <c r="K129" s="5" t="s">
        <v>912</v>
      </c>
      <c r="L129" s="5" t="s">
        <v>343</v>
      </c>
      <c r="M129" s="5" t="s">
        <v>344</v>
      </c>
      <c r="N129" s="5" t="s">
        <v>345</v>
      </c>
      <c r="O129" s="5" t="s">
        <v>1365</v>
      </c>
      <c r="P129" s="13">
        <f>IFERROR(__xludf.DUMMYFUNCTION("IF(REGEXMATCH(UPPER(E129),""CONGRESO""),1,0)"),0.0)</f>
        <v>0</v>
      </c>
    </row>
    <row r="130" ht="15.75" customHeight="1">
      <c r="A130" s="5" t="s">
        <v>121</v>
      </c>
      <c r="B130" s="5" t="s">
        <v>338</v>
      </c>
      <c r="C130" s="5" t="s">
        <v>339</v>
      </c>
      <c r="D130" s="5" t="s">
        <v>944</v>
      </c>
      <c r="E130" s="5" t="s">
        <v>1376</v>
      </c>
      <c r="F130" s="5" t="s">
        <v>1211</v>
      </c>
      <c r="G130" s="5" t="s">
        <v>1377</v>
      </c>
      <c r="H130" s="5" t="s">
        <v>1378</v>
      </c>
      <c r="I130" s="5" t="s">
        <v>974</v>
      </c>
      <c r="J130" s="5" t="s">
        <v>968</v>
      </c>
      <c r="K130" s="5" t="s">
        <v>912</v>
      </c>
      <c r="L130" s="5" t="s">
        <v>343</v>
      </c>
      <c r="M130" s="5" t="s">
        <v>344</v>
      </c>
      <c r="N130" s="5" t="s">
        <v>345</v>
      </c>
      <c r="O130" s="5" t="s">
        <v>1379</v>
      </c>
      <c r="P130" s="13">
        <f>IFERROR(__xludf.DUMMYFUNCTION("IF(REGEXMATCH(UPPER(E130),""CONGRESO""),1,0)"),0.0)</f>
        <v>0</v>
      </c>
    </row>
    <row r="131" ht="15.75" customHeight="1">
      <c r="A131" s="5" t="s">
        <v>121</v>
      </c>
      <c r="B131" s="5" t="s">
        <v>348</v>
      </c>
      <c r="C131" s="5" t="s">
        <v>349</v>
      </c>
      <c r="D131" s="5" t="s">
        <v>944</v>
      </c>
      <c r="E131" s="5" t="s">
        <v>1380</v>
      </c>
      <c r="F131" s="5" t="s">
        <v>1381</v>
      </c>
      <c r="H131" s="5" t="s">
        <v>1382</v>
      </c>
      <c r="I131" s="5" t="s">
        <v>1128</v>
      </c>
      <c r="J131" s="5" t="s">
        <v>1056</v>
      </c>
      <c r="K131" s="5" t="s">
        <v>912</v>
      </c>
      <c r="L131" s="5" t="s">
        <v>186</v>
      </c>
      <c r="M131" s="5" t="s">
        <v>1383</v>
      </c>
      <c r="N131" s="5" t="s">
        <v>1383</v>
      </c>
      <c r="O131" s="5" t="s">
        <v>1384</v>
      </c>
      <c r="P131" s="13">
        <f>IFERROR(__xludf.DUMMYFUNCTION("IF(REGEXMATCH(UPPER(E131),""CONGRESO""),1,0)"),0.0)</f>
        <v>0</v>
      </c>
    </row>
    <row r="132" ht="15.75" customHeight="1">
      <c r="A132" s="5" t="s">
        <v>121</v>
      </c>
      <c r="B132" s="5" t="s">
        <v>348</v>
      </c>
      <c r="C132" s="5" t="s">
        <v>349</v>
      </c>
      <c r="D132" s="5" t="s">
        <v>944</v>
      </c>
      <c r="E132" s="5" t="s">
        <v>1385</v>
      </c>
      <c r="F132" s="5" t="s">
        <v>1227</v>
      </c>
      <c r="H132" s="5" t="s">
        <v>1386</v>
      </c>
      <c r="I132" s="5" t="s">
        <v>1094</v>
      </c>
      <c r="J132" s="5" t="s">
        <v>957</v>
      </c>
      <c r="K132" s="5" t="s">
        <v>912</v>
      </c>
      <c r="L132" s="5" t="s">
        <v>186</v>
      </c>
      <c r="M132" s="5" t="s">
        <v>186</v>
      </c>
      <c r="N132" s="5" t="s">
        <v>187</v>
      </c>
      <c r="O132" s="5" t="s">
        <v>1183</v>
      </c>
      <c r="P132" s="13">
        <f>IFERROR(__xludf.DUMMYFUNCTION("IF(REGEXMATCH(UPPER(E132),""CONGRESO""),1,0)"),0.0)</f>
        <v>0</v>
      </c>
    </row>
    <row r="133" ht="15.75" customHeight="1">
      <c r="A133" s="5" t="s">
        <v>121</v>
      </c>
      <c r="B133" s="5" t="s">
        <v>348</v>
      </c>
      <c r="C133" s="5" t="s">
        <v>349</v>
      </c>
      <c r="D133" s="5" t="s">
        <v>944</v>
      </c>
      <c r="E133" s="5" t="s">
        <v>1387</v>
      </c>
      <c r="F133" s="5" t="s">
        <v>1119</v>
      </c>
      <c r="H133" s="5" t="s">
        <v>1388</v>
      </c>
      <c r="I133" s="5" t="s">
        <v>974</v>
      </c>
      <c r="J133" s="5" t="s">
        <v>957</v>
      </c>
      <c r="K133" s="5" t="s">
        <v>912</v>
      </c>
      <c r="L133" s="5" t="s">
        <v>56</v>
      </c>
      <c r="M133" s="5" t="s">
        <v>56</v>
      </c>
      <c r="N133" s="5" t="s">
        <v>56</v>
      </c>
      <c r="O133" s="5" t="s">
        <v>1389</v>
      </c>
      <c r="P133" s="13">
        <f>IFERROR(__xludf.DUMMYFUNCTION("IF(REGEXMATCH(UPPER(E133),""CONGRESO""),1,0)"),1.0)</f>
        <v>1</v>
      </c>
    </row>
    <row r="134" ht="15.75" customHeight="1">
      <c r="A134" s="5" t="s">
        <v>121</v>
      </c>
      <c r="B134" s="5" t="s">
        <v>348</v>
      </c>
      <c r="C134" s="5" t="s">
        <v>349</v>
      </c>
      <c r="D134" s="5" t="s">
        <v>944</v>
      </c>
      <c r="E134" s="5" t="s">
        <v>1380</v>
      </c>
      <c r="F134" s="5" t="s">
        <v>1390</v>
      </c>
      <c r="H134" s="5" t="s">
        <v>1391</v>
      </c>
      <c r="I134" s="5" t="s">
        <v>1056</v>
      </c>
      <c r="J134" s="5" t="s">
        <v>1056</v>
      </c>
      <c r="K134" s="5" t="s">
        <v>912</v>
      </c>
      <c r="L134" s="5" t="s">
        <v>186</v>
      </c>
      <c r="M134" s="5" t="s">
        <v>186</v>
      </c>
      <c r="N134" s="5" t="s">
        <v>187</v>
      </c>
      <c r="P134" s="13">
        <f>IFERROR(__xludf.DUMMYFUNCTION("IF(REGEXMATCH(UPPER(E134),""CONGRESO""),1,0)"),0.0)</f>
        <v>0</v>
      </c>
    </row>
    <row r="135" ht="15.75" customHeight="1">
      <c r="A135" s="5" t="s">
        <v>121</v>
      </c>
      <c r="B135" s="5" t="s">
        <v>348</v>
      </c>
      <c r="C135" s="5" t="s">
        <v>349</v>
      </c>
      <c r="D135" s="5" t="s">
        <v>944</v>
      </c>
      <c r="E135" s="5" t="s">
        <v>1380</v>
      </c>
      <c r="F135" s="5" t="s">
        <v>1392</v>
      </c>
      <c r="H135" s="5" t="s">
        <v>1393</v>
      </c>
      <c r="I135" s="5" t="s">
        <v>1056</v>
      </c>
      <c r="J135" s="5" t="s">
        <v>1145</v>
      </c>
      <c r="K135" s="5" t="s">
        <v>912</v>
      </c>
      <c r="L135" s="5" t="s">
        <v>186</v>
      </c>
      <c r="M135" s="5" t="s">
        <v>186</v>
      </c>
      <c r="N135" s="5" t="s">
        <v>1394</v>
      </c>
      <c r="O135" s="5" t="s">
        <v>1395</v>
      </c>
      <c r="P135" s="13">
        <f>IFERROR(__xludf.DUMMYFUNCTION("IF(REGEXMATCH(UPPER(E135),""CONGRESO""),1,0)"),0.0)</f>
        <v>0</v>
      </c>
    </row>
    <row r="136" ht="15.75" customHeight="1">
      <c r="A136" s="5" t="s">
        <v>121</v>
      </c>
      <c r="B136" s="5" t="s">
        <v>355</v>
      </c>
      <c r="C136" s="5" t="s">
        <v>356</v>
      </c>
      <c r="D136" s="5" t="s">
        <v>944</v>
      </c>
      <c r="E136" s="5" t="s">
        <v>1396</v>
      </c>
      <c r="F136" s="5" t="s">
        <v>1397</v>
      </c>
      <c r="H136" s="5" t="s">
        <v>1398</v>
      </c>
      <c r="I136" s="5" t="s">
        <v>1006</v>
      </c>
      <c r="J136" s="5" t="s">
        <v>957</v>
      </c>
      <c r="K136" s="5" t="s">
        <v>912</v>
      </c>
      <c r="L136" s="5" t="s">
        <v>56</v>
      </c>
      <c r="M136" s="5" t="s">
        <v>1399</v>
      </c>
      <c r="N136" s="5" t="s">
        <v>1400</v>
      </c>
      <c r="O136" s="5" t="s">
        <v>1401</v>
      </c>
      <c r="P136" s="13">
        <f>IFERROR(__xludf.DUMMYFUNCTION("IF(REGEXMATCH(UPPER(E136),""CONGRESO""),1,0)"),0.0)</f>
        <v>0</v>
      </c>
    </row>
    <row r="137" ht="15.75" customHeight="1">
      <c r="A137" s="5" t="s">
        <v>121</v>
      </c>
      <c r="B137" s="5" t="s">
        <v>355</v>
      </c>
      <c r="C137" s="5" t="s">
        <v>356</v>
      </c>
      <c r="D137" s="5" t="s">
        <v>944</v>
      </c>
      <c r="E137" s="5" t="s">
        <v>1402</v>
      </c>
      <c r="F137" s="5" t="s">
        <v>1403</v>
      </c>
      <c r="H137" s="5" t="s">
        <v>1404</v>
      </c>
      <c r="I137" s="5" t="s">
        <v>1128</v>
      </c>
      <c r="J137" s="5" t="s">
        <v>1056</v>
      </c>
      <c r="K137" s="5" t="s">
        <v>912</v>
      </c>
      <c r="L137" s="5" t="s">
        <v>56</v>
      </c>
      <c r="M137" s="5" t="s">
        <v>1399</v>
      </c>
      <c r="N137" s="5" t="s">
        <v>1405</v>
      </c>
      <c r="P137" s="13">
        <f>IFERROR(__xludf.DUMMYFUNCTION("IF(REGEXMATCH(UPPER(E137),""CONGRESO""),1,0)"),0.0)</f>
        <v>0</v>
      </c>
    </row>
    <row r="138" ht="15.75" customHeight="1">
      <c r="A138" s="5" t="s">
        <v>121</v>
      </c>
      <c r="B138" s="5" t="s">
        <v>355</v>
      </c>
      <c r="C138" s="5" t="s">
        <v>356</v>
      </c>
      <c r="D138" s="5" t="s">
        <v>944</v>
      </c>
      <c r="E138" s="5" t="s">
        <v>1406</v>
      </c>
      <c r="F138" s="5" t="s">
        <v>1407</v>
      </c>
      <c r="H138" s="5" t="s">
        <v>1408</v>
      </c>
      <c r="I138" s="5" t="s">
        <v>1006</v>
      </c>
      <c r="J138" s="5" t="s">
        <v>950</v>
      </c>
      <c r="K138" s="5" t="s">
        <v>912</v>
      </c>
      <c r="L138" s="5" t="s">
        <v>56</v>
      </c>
      <c r="M138" s="5" t="s">
        <v>1399</v>
      </c>
      <c r="N138" s="5" t="s">
        <v>1400</v>
      </c>
      <c r="P138" s="13">
        <f>IFERROR(__xludf.DUMMYFUNCTION("IF(REGEXMATCH(UPPER(E138),""CONGRESO""),1,0)"),0.0)</f>
        <v>0</v>
      </c>
    </row>
    <row r="139" ht="15.75" customHeight="1">
      <c r="A139" s="5" t="s">
        <v>121</v>
      </c>
      <c r="B139" s="5" t="s">
        <v>365</v>
      </c>
      <c r="C139" s="5" t="s">
        <v>366</v>
      </c>
      <c r="D139" s="5" t="s">
        <v>944</v>
      </c>
      <c r="E139" s="5" t="s">
        <v>1409</v>
      </c>
      <c r="F139" s="5" t="s">
        <v>1324</v>
      </c>
      <c r="G139" s="5" t="s">
        <v>1410</v>
      </c>
      <c r="H139" s="5" t="s">
        <v>1411</v>
      </c>
      <c r="I139" s="5" t="s">
        <v>1412</v>
      </c>
      <c r="J139" s="5" t="s">
        <v>957</v>
      </c>
      <c r="K139" s="5" t="s">
        <v>912</v>
      </c>
      <c r="L139" s="5" t="s">
        <v>371</v>
      </c>
      <c r="M139" s="5" t="s">
        <v>372</v>
      </c>
      <c r="N139" s="5" t="s">
        <v>372</v>
      </c>
      <c r="O139" s="5" t="s">
        <v>1413</v>
      </c>
      <c r="P139" s="13">
        <f>IFERROR(__xludf.DUMMYFUNCTION("IF(REGEXMATCH(UPPER(E139),""CONGRESO""),1,0)"),0.0)</f>
        <v>0</v>
      </c>
    </row>
    <row r="140" ht="15.75" customHeight="1">
      <c r="A140" s="5" t="s">
        <v>121</v>
      </c>
      <c r="B140" s="5" t="s">
        <v>375</v>
      </c>
      <c r="C140" s="5" t="s">
        <v>376</v>
      </c>
      <c r="D140" s="5" t="s">
        <v>944</v>
      </c>
      <c r="E140" s="5" t="s">
        <v>1414</v>
      </c>
      <c r="F140" s="5" t="s">
        <v>1227</v>
      </c>
      <c r="H140" s="5" t="s">
        <v>1415</v>
      </c>
      <c r="I140" s="5" t="s">
        <v>950</v>
      </c>
      <c r="J140" s="5" t="s">
        <v>957</v>
      </c>
      <c r="K140" s="5" t="s">
        <v>912</v>
      </c>
      <c r="L140" s="5" t="s">
        <v>56</v>
      </c>
      <c r="M140" s="5" t="s">
        <v>56</v>
      </c>
      <c r="N140" s="5" t="s">
        <v>969</v>
      </c>
      <c r="O140" s="5" t="s">
        <v>1416</v>
      </c>
      <c r="P140" s="13">
        <f>IFERROR(__xludf.DUMMYFUNCTION("IF(REGEXMATCH(UPPER(E140),""CONGRESO""),1,0)"),0.0)</f>
        <v>0</v>
      </c>
    </row>
    <row r="141" ht="15.75" customHeight="1">
      <c r="A141" s="5" t="s">
        <v>121</v>
      </c>
      <c r="B141" s="5" t="s">
        <v>375</v>
      </c>
      <c r="C141" s="5" t="s">
        <v>376</v>
      </c>
      <c r="D141" s="5" t="s">
        <v>944</v>
      </c>
      <c r="E141" s="5" t="s">
        <v>1417</v>
      </c>
      <c r="F141" s="5" t="s">
        <v>1227</v>
      </c>
      <c r="H141" s="5" t="s">
        <v>1418</v>
      </c>
      <c r="I141" s="5" t="s">
        <v>949</v>
      </c>
      <c r="J141" s="5" t="s">
        <v>968</v>
      </c>
      <c r="K141" s="5" t="s">
        <v>912</v>
      </c>
      <c r="L141" s="5" t="s">
        <v>56</v>
      </c>
      <c r="M141" s="5" t="s">
        <v>56</v>
      </c>
      <c r="N141" s="5" t="s">
        <v>1169</v>
      </c>
      <c r="O141" s="5" t="s">
        <v>1419</v>
      </c>
      <c r="P141" s="13">
        <f>IFERROR(__xludf.DUMMYFUNCTION("IF(REGEXMATCH(UPPER(E141),""CONGRESO""),1,0)"),0.0)</f>
        <v>0</v>
      </c>
    </row>
    <row r="142" ht="15.75" customHeight="1">
      <c r="A142" s="5" t="s">
        <v>121</v>
      </c>
      <c r="B142" s="5" t="s">
        <v>375</v>
      </c>
      <c r="C142" s="5" t="s">
        <v>376</v>
      </c>
      <c r="D142" s="5" t="s">
        <v>944</v>
      </c>
      <c r="E142" s="5" t="s">
        <v>1107</v>
      </c>
      <c r="F142" s="5" t="s">
        <v>1420</v>
      </c>
      <c r="H142" s="5" t="s">
        <v>1421</v>
      </c>
      <c r="I142" s="5" t="s">
        <v>974</v>
      </c>
      <c r="J142" s="5" t="s">
        <v>957</v>
      </c>
      <c r="K142" s="5" t="s">
        <v>912</v>
      </c>
      <c r="L142" s="5" t="s">
        <v>56</v>
      </c>
      <c r="M142" s="5" t="s">
        <v>56</v>
      </c>
      <c r="N142" s="5" t="s">
        <v>56</v>
      </c>
      <c r="O142" s="5" t="s">
        <v>1199</v>
      </c>
      <c r="P142" s="13">
        <f>IFERROR(__xludf.DUMMYFUNCTION("IF(REGEXMATCH(UPPER(E142),""CONGRESO""),1,0)"),1.0)</f>
        <v>1</v>
      </c>
    </row>
    <row r="143" ht="15.75" customHeight="1">
      <c r="A143" s="5" t="s">
        <v>121</v>
      </c>
      <c r="B143" s="5" t="s">
        <v>375</v>
      </c>
      <c r="C143" s="5" t="s">
        <v>376</v>
      </c>
      <c r="D143" s="5" t="s">
        <v>944</v>
      </c>
      <c r="E143" s="5" t="s">
        <v>1422</v>
      </c>
      <c r="F143" s="5" t="s">
        <v>1227</v>
      </c>
      <c r="H143" s="5" t="s">
        <v>1423</v>
      </c>
      <c r="I143" s="5" t="s">
        <v>1220</v>
      </c>
      <c r="J143" s="5" t="s">
        <v>957</v>
      </c>
      <c r="K143" s="5" t="s">
        <v>912</v>
      </c>
      <c r="L143" s="5" t="s">
        <v>56</v>
      </c>
      <c r="M143" s="5" t="s">
        <v>56</v>
      </c>
      <c r="N143" s="5" t="s">
        <v>969</v>
      </c>
      <c r="O143" s="5" t="s">
        <v>1424</v>
      </c>
      <c r="P143" s="13">
        <f>IFERROR(__xludf.DUMMYFUNCTION("IF(REGEXMATCH(UPPER(E143),""CONGRESO""),1,0)"),0.0)</f>
        <v>0</v>
      </c>
    </row>
    <row r="144" ht="15.75" customHeight="1">
      <c r="A144" s="5" t="s">
        <v>121</v>
      </c>
      <c r="B144" s="5" t="s">
        <v>375</v>
      </c>
      <c r="C144" s="5" t="s">
        <v>376</v>
      </c>
      <c r="D144" s="5" t="s">
        <v>944</v>
      </c>
      <c r="E144" s="5" t="s">
        <v>1425</v>
      </c>
      <c r="F144" s="5" t="s">
        <v>1426</v>
      </c>
      <c r="G144" s="5" t="s">
        <v>1427</v>
      </c>
      <c r="H144" s="5" t="s">
        <v>1428</v>
      </c>
      <c r="I144" s="5" t="s">
        <v>1036</v>
      </c>
      <c r="J144" s="5" t="s">
        <v>968</v>
      </c>
      <c r="K144" s="5" t="s">
        <v>912</v>
      </c>
      <c r="L144" s="5" t="s">
        <v>56</v>
      </c>
      <c r="M144" s="5" t="s">
        <v>56</v>
      </c>
      <c r="N144" s="5" t="s">
        <v>1429</v>
      </c>
      <c r="P144" s="13">
        <f>IFERROR(__xludf.DUMMYFUNCTION("IF(REGEXMATCH(UPPER(E144),""CONGRESO""),1,0)"),0.0)</f>
        <v>0</v>
      </c>
    </row>
    <row r="145" ht="15.75" customHeight="1">
      <c r="A145" s="5" t="s">
        <v>121</v>
      </c>
      <c r="B145" s="5" t="s">
        <v>387</v>
      </c>
      <c r="C145" s="5" t="s">
        <v>388</v>
      </c>
      <c r="D145" s="5" t="s">
        <v>944</v>
      </c>
      <c r="E145" s="5" t="s">
        <v>1107</v>
      </c>
      <c r="F145" s="5" t="s">
        <v>1430</v>
      </c>
      <c r="G145" s="5" t="s">
        <v>1100</v>
      </c>
      <c r="H145" s="5" t="s">
        <v>1264</v>
      </c>
      <c r="I145" s="5" t="s">
        <v>956</v>
      </c>
      <c r="J145" s="5" t="s">
        <v>957</v>
      </c>
      <c r="K145" s="5" t="s">
        <v>912</v>
      </c>
      <c r="L145" s="5" t="s">
        <v>56</v>
      </c>
      <c r="M145" s="5" t="s">
        <v>56</v>
      </c>
      <c r="N145" s="5" t="s">
        <v>56</v>
      </c>
      <c r="O145" s="5" t="s">
        <v>1431</v>
      </c>
      <c r="P145" s="13">
        <f>IFERROR(__xludf.DUMMYFUNCTION("IF(REGEXMATCH(UPPER(E145),""CONGRESO""),1,0)"),1.0)</f>
        <v>1</v>
      </c>
    </row>
    <row r="146" ht="15.75" customHeight="1">
      <c r="A146" s="5" t="s">
        <v>121</v>
      </c>
      <c r="B146" s="5" t="s">
        <v>387</v>
      </c>
      <c r="C146" s="5" t="s">
        <v>388</v>
      </c>
      <c r="D146" s="5" t="s">
        <v>944</v>
      </c>
      <c r="E146" s="5" t="s">
        <v>1107</v>
      </c>
      <c r="F146" s="5" t="s">
        <v>1430</v>
      </c>
      <c r="G146" s="5" t="s">
        <v>1100</v>
      </c>
      <c r="H146" s="5" t="s">
        <v>1264</v>
      </c>
      <c r="I146" s="5" t="s">
        <v>974</v>
      </c>
      <c r="J146" s="5" t="s">
        <v>950</v>
      </c>
      <c r="K146" s="5" t="s">
        <v>912</v>
      </c>
      <c r="L146" s="5" t="s">
        <v>56</v>
      </c>
      <c r="M146" s="5" t="s">
        <v>56</v>
      </c>
      <c r="N146" s="5" t="s">
        <v>56</v>
      </c>
      <c r="O146" s="5" t="s">
        <v>1432</v>
      </c>
      <c r="P146" s="13">
        <f>IFERROR(__xludf.DUMMYFUNCTION("IF(REGEXMATCH(UPPER(E146),""CONGRESO""),1,0)"),1.0)</f>
        <v>1</v>
      </c>
    </row>
    <row r="147" ht="15.75" customHeight="1">
      <c r="A147" s="5" t="s">
        <v>121</v>
      </c>
      <c r="B147" s="5" t="s">
        <v>387</v>
      </c>
      <c r="C147" s="5" t="s">
        <v>388</v>
      </c>
      <c r="D147" s="5" t="s">
        <v>944</v>
      </c>
      <c r="E147" s="5" t="s">
        <v>1107</v>
      </c>
      <c r="F147" s="5" t="s">
        <v>1229</v>
      </c>
      <c r="G147" s="5" t="s">
        <v>1100</v>
      </c>
      <c r="H147" s="5" t="s">
        <v>1264</v>
      </c>
      <c r="I147" s="5" t="s">
        <v>974</v>
      </c>
      <c r="J147" s="5" t="s">
        <v>974</v>
      </c>
      <c r="K147" s="5" t="s">
        <v>912</v>
      </c>
      <c r="L147" s="5" t="s">
        <v>56</v>
      </c>
      <c r="M147" s="5" t="s">
        <v>56</v>
      </c>
      <c r="N147" s="5" t="s">
        <v>56</v>
      </c>
      <c r="O147" s="5" t="s">
        <v>1433</v>
      </c>
      <c r="P147" s="13">
        <f>IFERROR(__xludf.DUMMYFUNCTION("IF(REGEXMATCH(UPPER(E147),""CONGRESO""),1,0)"),1.0)</f>
        <v>1</v>
      </c>
    </row>
    <row r="148" ht="15.75" customHeight="1">
      <c r="A148" s="5" t="s">
        <v>121</v>
      </c>
      <c r="B148" s="5" t="s">
        <v>387</v>
      </c>
      <c r="C148" s="5" t="s">
        <v>388</v>
      </c>
      <c r="D148" s="5" t="s">
        <v>944</v>
      </c>
      <c r="E148" s="5" t="s">
        <v>1107</v>
      </c>
      <c r="F148" s="5" t="s">
        <v>1229</v>
      </c>
      <c r="G148" s="5" t="s">
        <v>1100</v>
      </c>
      <c r="H148" s="5" t="s">
        <v>1264</v>
      </c>
      <c r="I148" s="5" t="s">
        <v>957</v>
      </c>
      <c r="J148" s="5" t="s">
        <v>957</v>
      </c>
      <c r="K148" s="5" t="s">
        <v>912</v>
      </c>
      <c r="L148" s="5" t="s">
        <v>56</v>
      </c>
      <c r="M148" s="5" t="s">
        <v>56</v>
      </c>
      <c r="N148" s="5" t="s">
        <v>56</v>
      </c>
      <c r="O148" s="5" t="s">
        <v>1434</v>
      </c>
      <c r="P148" s="13">
        <f>IFERROR(__xludf.DUMMYFUNCTION("IF(REGEXMATCH(UPPER(E148),""CONGRESO""),1,0)"),1.0)</f>
        <v>1</v>
      </c>
    </row>
    <row r="149" ht="15.75" customHeight="1">
      <c r="A149" s="5" t="s">
        <v>121</v>
      </c>
      <c r="B149" s="5" t="s">
        <v>387</v>
      </c>
      <c r="C149" s="5" t="s">
        <v>388</v>
      </c>
      <c r="D149" s="5" t="s">
        <v>944</v>
      </c>
      <c r="E149" s="5" t="s">
        <v>1107</v>
      </c>
      <c r="F149" s="5" t="s">
        <v>1430</v>
      </c>
      <c r="G149" s="5" t="s">
        <v>1100</v>
      </c>
      <c r="H149" s="5" t="s">
        <v>1264</v>
      </c>
      <c r="I149" s="5" t="s">
        <v>956</v>
      </c>
      <c r="J149" s="5" t="s">
        <v>956</v>
      </c>
      <c r="K149" s="5" t="s">
        <v>912</v>
      </c>
      <c r="L149" s="5" t="s">
        <v>56</v>
      </c>
      <c r="M149" s="5" t="s">
        <v>56</v>
      </c>
      <c r="N149" s="5" t="s">
        <v>56</v>
      </c>
      <c r="O149" s="5" t="s">
        <v>1431</v>
      </c>
      <c r="P149" s="13">
        <f>IFERROR(__xludf.DUMMYFUNCTION("IF(REGEXMATCH(UPPER(E149),""CONGRESO""),1,0)"),1.0)</f>
        <v>1</v>
      </c>
    </row>
    <row r="150" ht="15.75" customHeight="1">
      <c r="A150" s="5" t="s">
        <v>121</v>
      </c>
      <c r="B150" s="5" t="s">
        <v>395</v>
      </c>
      <c r="C150" s="5" t="s">
        <v>396</v>
      </c>
      <c r="D150" s="5" t="s">
        <v>944</v>
      </c>
      <c r="E150" s="5" t="s">
        <v>1435</v>
      </c>
      <c r="F150" s="5" t="s">
        <v>1436</v>
      </c>
      <c r="G150" s="5" t="s">
        <v>1437</v>
      </c>
      <c r="H150" s="5" t="s">
        <v>1438</v>
      </c>
      <c r="I150" s="5" t="s">
        <v>956</v>
      </c>
      <c r="J150" s="5" t="s">
        <v>957</v>
      </c>
      <c r="K150" s="5" t="s">
        <v>912</v>
      </c>
      <c r="L150" s="5" t="s">
        <v>167</v>
      </c>
      <c r="M150" s="5" t="s">
        <v>167</v>
      </c>
      <c r="N150" s="5" t="s">
        <v>1439</v>
      </c>
      <c r="O150" s="5" t="s">
        <v>1440</v>
      </c>
      <c r="P150" s="13">
        <f>IFERROR(__xludf.DUMMYFUNCTION("IF(REGEXMATCH(UPPER(E150),""CONGRESO""),1,0)"),0.0)</f>
        <v>0</v>
      </c>
    </row>
    <row r="151" ht="15.75" customHeight="1">
      <c r="A151" s="5" t="s">
        <v>121</v>
      </c>
      <c r="B151" s="5" t="s">
        <v>395</v>
      </c>
      <c r="C151" s="5" t="s">
        <v>396</v>
      </c>
      <c r="D151" s="5" t="s">
        <v>944</v>
      </c>
      <c r="E151" s="5" t="s">
        <v>1441</v>
      </c>
      <c r="F151" s="5" t="s">
        <v>1436</v>
      </c>
      <c r="G151" s="5" t="s">
        <v>1442</v>
      </c>
      <c r="H151" s="5" t="s">
        <v>1443</v>
      </c>
      <c r="I151" s="5" t="s">
        <v>1006</v>
      </c>
      <c r="J151" s="5" t="s">
        <v>1006</v>
      </c>
      <c r="K151" s="5" t="s">
        <v>912</v>
      </c>
      <c r="L151" s="5" t="s">
        <v>56</v>
      </c>
      <c r="M151" s="5" t="s">
        <v>56</v>
      </c>
      <c r="N151" s="5" t="s">
        <v>250</v>
      </c>
      <c r="O151" s="5" t="s">
        <v>1444</v>
      </c>
      <c r="P151" s="13">
        <f>IFERROR(__xludf.DUMMYFUNCTION("IF(REGEXMATCH(UPPER(E151),""CONGRESO""),1,0)"),0.0)</f>
        <v>0</v>
      </c>
    </row>
    <row r="152" ht="15.75" customHeight="1">
      <c r="A152" s="5" t="s">
        <v>121</v>
      </c>
      <c r="B152" s="5" t="s">
        <v>395</v>
      </c>
      <c r="C152" s="5" t="s">
        <v>396</v>
      </c>
      <c r="D152" s="5" t="s">
        <v>944</v>
      </c>
      <c r="E152" s="5" t="s">
        <v>1445</v>
      </c>
      <c r="F152" s="5" t="s">
        <v>1436</v>
      </c>
      <c r="G152" s="5" t="s">
        <v>1446</v>
      </c>
      <c r="H152" s="5" t="s">
        <v>1447</v>
      </c>
      <c r="I152" s="5" t="s">
        <v>974</v>
      </c>
      <c r="J152" s="5" t="s">
        <v>950</v>
      </c>
      <c r="K152" s="5" t="s">
        <v>912</v>
      </c>
      <c r="L152" s="5" t="s">
        <v>56</v>
      </c>
      <c r="M152" s="5" t="s">
        <v>56</v>
      </c>
      <c r="N152" s="5" t="s">
        <v>176</v>
      </c>
      <c r="O152" s="5" t="s">
        <v>1444</v>
      </c>
      <c r="P152" s="13">
        <f>IFERROR(__xludf.DUMMYFUNCTION("IF(REGEXMATCH(UPPER(E152),""CONGRESO""),1,0)"),0.0)</f>
        <v>0</v>
      </c>
    </row>
    <row r="153" ht="15.75" customHeight="1">
      <c r="A153" s="5" t="s">
        <v>121</v>
      </c>
      <c r="B153" s="5" t="s">
        <v>395</v>
      </c>
      <c r="C153" s="5" t="s">
        <v>396</v>
      </c>
      <c r="D153" s="5" t="s">
        <v>944</v>
      </c>
      <c r="E153" s="5" t="s">
        <v>1448</v>
      </c>
      <c r="F153" s="5" t="s">
        <v>1436</v>
      </c>
      <c r="G153" s="5" t="s">
        <v>1449</v>
      </c>
      <c r="H153" s="5" t="s">
        <v>1450</v>
      </c>
      <c r="I153" s="5" t="s">
        <v>1036</v>
      </c>
      <c r="J153" s="5" t="s">
        <v>1036</v>
      </c>
      <c r="K153" s="5" t="s">
        <v>912</v>
      </c>
      <c r="L153" s="5" t="s">
        <v>56</v>
      </c>
      <c r="M153" s="5" t="s">
        <v>56</v>
      </c>
      <c r="N153" s="5" t="s">
        <v>250</v>
      </c>
      <c r="O153" s="5" t="s">
        <v>1444</v>
      </c>
      <c r="P153" s="13">
        <f>IFERROR(__xludf.DUMMYFUNCTION("IF(REGEXMATCH(UPPER(E153),""CONGRESO""),1,0)"),0.0)</f>
        <v>0</v>
      </c>
    </row>
    <row r="154" ht="15.75" customHeight="1">
      <c r="A154" s="5" t="s">
        <v>121</v>
      </c>
      <c r="B154" s="5" t="s">
        <v>405</v>
      </c>
      <c r="C154" s="5" t="s">
        <v>406</v>
      </c>
      <c r="D154" s="5" t="s">
        <v>944</v>
      </c>
      <c r="E154" s="5" t="s">
        <v>1380</v>
      </c>
      <c r="F154" s="5" t="s">
        <v>1451</v>
      </c>
      <c r="H154" s="5" t="s">
        <v>1452</v>
      </c>
      <c r="I154" s="5" t="s">
        <v>1235</v>
      </c>
      <c r="J154" s="5" t="s">
        <v>957</v>
      </c>
      <c r="K154" s="5" t="s">
        <v>912</v>
      </c>
      <c r="L154" s="5" t="s">
        <v>343</v>
      </c>
      <c r="M154" s="5" t="s">
        <v>344</v>
      </c>
      <c r="N154" s="5" t="s">
        <v>345</v>
      </c>
      <c r="O154" s="5" t="s">
        <v>1453</v>
      </c>
      <c r="P154" s="13">
        <f>IFERROR(__xludf.DUMMYFUNCTION("IF(REGEXMATCH(UPPER(E154),""CONGRESO""),1,0)"),0.0)</f>
        <v>0</v>
      </c>
    </row>
    <row r="155" ht="15.75" customHeight="1">
      <c r="A155" s="5" t="s">
        <v>121</v>
      </c>
      <c r="B155" s="5" t="s">
        <v>412</v>
      </c>
      <c r="C155" s="5" t="s">
        <v>413</v>
      </c>
      <c r="D155" s="5" t="s">
        <v>944</v>
      </c>
      <c r="E155" s="5" t="s">
        <v>1454</v>
      </c>
      <c r="F155" s="5" t="s">
        <v>1455</v>
      </c>
      <c r="G155" s="5" t="s">
        <v>1456</v>
      </c>
      <c r="H155" s="5" t="s">
        <v>1457</v>
      </c>
      <c r="I155" s="5" t="s">
        <v>1056</v>
      </c>
      <c r="J155" s="5" t="s">
        <v>968</v>
      </c>
      <c r="K155" s="5" t="s">
        <v>912</v>
      </c>
      <c r="L155" s="5" t="s">
        <v>86</v>
      </c>
      <c r="M155" s="5" t="s">
        <v>583</v>
      </c>
      <c r="N155" s="5" t="s">
        <v>583</v>
      </c>
      <c r="P155" s="13">
        <f>IFERROR(__xludf.DUMMYFUNCTION("IF(REGEXMATCH(UPPER(E155),""CONGRESO""),1,0)"),0.0)</f>
        <v>0</v>
      </c>
    </row>
    <row r="156" ht="15.75" customHeight="1">
      <c r="A156" s="5" t="s">
        <v>121</v>
      </c>
      <c r="B156" s="5" t="s">
        <v>412</v>
      </c>
      <c r="C156" s="5" t="s">
        <v>413</v>
      </c>
      <c r="D156" s="5" t="s">
        <v>944</v>
      </c>
      <c r="E156" s="5" t="s">
        <v>1458</v>
      </c>
      <c r="F156" s="5" t="s">
        <v>1459</v>
      </c>
      <c r="G156" s="5" t="s">
        <v>1460</v>
      </c>
      <c r="H156" s="5" t="s">
        <v>1461</v>
      </c>
      <c r="I156" s="5" t="s">
        <v>956</v>
      </c>
      <c r="J156" s="5" t="s">
        <v>957</v>
      </c>
      <c r="K156" s="5" t="s">
        <v>912</v>
      </c>
      <c r="L156" s="5" t="s">
        <v>416</v>
      </c>
      <c r="M156" s="5" t="s">
        <v>416</v>
      </c>
      <c r="N156" s="5" t="s">
        <v>416</v>
      </c>
      <c r="O156" s="5" t="s">
        <v>1462</v>
      </c>
      <c r="P156" s="13">
        <f>IFERROR(__xludf.DUMMYFUNCTION("IF(REGEXMATCH(UPPER(E156),""CONGRESO""),1,0)"),0.0)</f>
        <v>0</v>
      </c>
    </row>
    <row r="157" ht="15.75" customHeight="1">
      <c r="A157" s="5" t="s">
        <v>121</v>
      </c>
      <c r="B157" s="5" t="s">
        <v>412</v>
      </c>
      <c r="C157" s="5" t="s">
        <v>413</v>
      </c>
      <c r="D157" s="5" t="s">
        <v>944</v>
      </c>
      <c r="E157" s="5" t="s">
        <v>1458</v>
      </c>
      <c r="F157" s="5" t="s">
        <v>1463</v>
      </c>
      <c r="G157" s="5" t="s">
        <v>1460</v>
      </c>
      <c r="H157" s="5" t="s">
        <v>1461</v>
      </c>
      <c r="I157" s="5" t="s">
        <v>1110</v>
      </c>
      <c r="J157" s="5" t="s">
        <v>1128</v>
      </c>
      <c r="K157" s="5" t="s">
        <v>912</v>
      </c>
      <c r="L157" s="5" t="s">
        <v>416</v>
      </c>
      <c r="M157" s="5" t="s">
        <v>416</v>
      </c>
      <c r="N157" s="5" t="s">
        <v>416</v>
      </c>
      <c r="P157" s="13">
        <f>IFERROR(__xludf.DUMMYFUNCTION("IF(REGEXMATCH(UPPER(E157),""CONGRESO""),1,0)"),0.0)</f>
        <v>0</v>
      </c>
    </row>
    <row r="158" ht="15.75" customHeight="1">
      <c r="A158" s="5" t="s">
        <v>121</v>
      </c>
      <c r="B158" s="5" t="s">
        <v>412</v>
      </c>
      <c r="C158" s="5" t="s">
        <v>413</v>
      </c>
      <c r="D158" s="5" t="s">
        <v>944</v>
      </c>
      <c r="E158" s="5" t="s">
        <v>1464</v>
      </c>
      <c r="F158" s="5" t="s">
        <v>1465</v>
      </c>
      <c r="G158" s="5" t="s">
        <v>1466</v>
      </c>
      <c r="H158" s="5" t="s">
        <v>1467</v>
      </c>
      <c r="I158" s="5" t="s">
        <v>1128</v>
      </c>
      <c r="J158" s="5" t="s">
        <v>1056</v>
      </c>
      <c r="K158" s="5" t="s">
        <v>912</v>
      </c>
      <c r="L158" s="5" t="s">
        <v>56</v>
      </c>
      <c r="M158" s="5" t="s">
        <v>56</v>
      </c>
      <c r="N158" s="5" t="s">
        <v>56</v>
      </c>
      <c r="P158" s="13">
        <f>IFERROR(__xludf.DUMMYFUNCTION("IF(REGEXMATCH(UPPER(E158),""CONGRESO""),1,0)"),0.0)</f>
        <v>0</v>
      </c>
    </row>
    <row r="159" ht="15.75" customHeight="1">
      <c r="A159" s="5" t="s">
        <v>121</v>
      </c>
      <c r="B159" s="5" t="s">
        <v>412</v>
      </c>
      <c r="C159" s="5" t="s">
        <v>413</v>
      </c>
      <c r="D159" s="5" t="s">
        <v>944</v>
      </c>
      <c r="E159" s="5" t="s">
        <v>1458</v>
      </c>
      <c r="F159" s="5" t="s">
        <v>1468</v>
      </c>
      <c r="G159" s="5" t="s">
        <v>1460</v>
      </c>
      <c r="H159" s="5" t="s">
        <v>1461</v>
      </c>
      <c r="I159" s="5" t="s">
        <v>956</v>
      </c>
      <c r="J159" s="5" t="s">
        <v>957</v>
      </c>
      <c r="K159" s="5" t="s">
        <v>912</v>
      </c>
      <c r="L159" s="5" t="s">
        <v>416</v>
      </c>
      <c r="M159" s="5" t="s">
        <v>416</v>
      </c>
      <c r="N159" s="5" t="s">
        <v>416</v>
      </c>
      <c r="O159" s="5" t="s">
        <v>1469</v>
      </c>
      <c r="P159" s="13">
        <f>IFERROR(__xludf.DUMMYFUNCTION("IF(REGEXMATCH(UPPER(E159),""CONGRESO""),1,0)"),0.0)</f>
        <v>0</v>
      </c>
    </row>
    <row r="160" ht="15.75" customHeight="1">
      <c r="A160" s="5" t="s">
        <v>419</v>
      </c>
      <c r="B160" s="5" t="s">
        <v>420</v>
      </c>
      <c r="C160" s="5" t="s">
        <v>421</v>
      </c>
      <c r="D160" s="5" t="s">
        <v>944</v>
      </c>
      <c r="E160" s="5" t="s">
        <v>1470</v>
      </c>
      <c r="F160" s="5" t="s">
        <v>1222</v>
      </c>
      <c r="G160" s="5" t="s">
        <v>1471</v>
      </c>
      <c r="H160" s="5" t="s">
        <v>1472</v>
      </c>
      <c r="I160" s="5" t="s">
        <v>1128</v>
      </c>
      <c r="J160" s="5" t="s">
        <v>957</v>
      </c>
      <c r="K160" s="5" t="s">
        <v>912</v>
      </c>
      <c r="L160" s="5" t="s">
        <v>105</v>
      </c>
      <c r="M160" s="5" t="s">
        <v>327</v>
      </c>
      <c r="N160" s="5" t="s">
        <v>1076</v>
      </c>
      <c r="P160" s="13">
        <f>IFERROR(__xludf.DUMMYFUNCTION("IF(REGEXMATCH(UPPER(E160),""CONGRESO""),1,0)"),0.0)</f>
        <v>0</v>
      </c>
    </row>
    <row r="161" ht="15.75" customHeight="1">
      <c r="A161" s="5" t="s">
        <v>419</v>
      </c>
      <c r="B161" s="5" t="s">
        <v>430</v>
      </c>
      <c r="C161" s="5" t="s">
        <v>431</v>
      </c>
      <c r="D161" s="5" t="s">
        <v>944</v>
      </c>
      <c r="E161" s="5" t="s">
        <v>1473</v>
      </c>
      <c r="F161" s="5" t="s">
        <v>1474</v>
      </c>
      <c r="H161" s="5" t="s">
        <v>1475</v>
      </c>
      <c r="I161" s="5" t="s">
        <v>1036</v>
      </c>
      <c r="J161" s="5" t="s">
        <v>957</v>
      </c>
      <c r="K161" s="5" t="s">
        <v>912</v>
      </c>
      <c r="L161" s="5" t="s">
        <v>167</v>
      </c>
      <c r="M161" s="5" t="s">
        <v>1476</v>
      </c>
      <c r="N161" s="5" t="s">
        <v>1477</v>
      </c>
      <c r="P161" s="13">
        <f>IFERROR(__xludf.DUMMYFUNCTION("IF(REGEXMATCH(UPPER(E161),""CONGRESO""),1,0)"),0.0)</f>
        <v>0</v>
      </c>
    </row>
    <row r="162" ht="15.75" customHeight="1">
      <c r="A162" s="5" t="s">
        <v>419</v>
      </c>
      <c r="B162" s="5" t="s">
        <v>438</v>
      </c>
      <c r="C162" s="5" t="s">
        <v>439</v>
      </c>
      <c r="D162" s="5" t="s">
        <v>944</v>
      </c>
      <c r="E162" s="5" t="s">
        <v>1478</v>
      </c>
      <c r="F162" s="5" t="s">
        <v>1479</v>
      </c>
      <c r="H162" s="5" t="s">
        <v>1480</v>
      </c>
      <c r="I162" s="5" t="s">
        <v>1110</v>
      </c>
      <c r="J162" s="5" t="s">
        <v>957</v>
      </c>
      <c r="K162" s="5" t="s">
        <v>912</v>
      </c>
      <c r="L162" s="5" t="s">
        <v>56</v>
      </c>
      <c r="M162" s="5" t="s">
        <v>56</v>
      </c>
      <c r="N162" s="5" t="s">
        <v>56</v>
      </c>
      <c r="O162" s="5" t="s">
        <v>1481</v>
      </c>
      <c r="P162" s="13">
        <f>IFERROR(__xludf.DUMMYFUNCTION("IF(REGEXMATCH(UPPER(E162),""CONGRESO""),1,0)"),0.0)</f>
        <v>0</v>
      </c>
    </row>
    <row r="163" ht="15.75" customHeight="1">
      <c r="A163" s="5" t="s">
        <v>419</v>
      </c>
      <c r="B163" s="5" t="s">
        <v>438</v>
      </c>
      <c r="C163" s="5" t="s">
        <v>439</v>
      </c>
      <c r="D163" s="5" t="s">
        <v>944</v>
      </c>
      <c r="E163" s="5" t="s">
        <v>1482</v>
      </c>
      <c r="F163" s="5" t="s">
        <v>1483</v>
      </c>
      <c r="H163" s="5" t="s">
        <v>1484</v>
      </c>
      <c r="I163" s="5" t="s">
        <v>974</v>
      </c>
      <c r="J163" s="5" t="s">
        <v>950</v>
      </c>
      <c r="K163" s="5" t="s">
        <v>912</v>
      </c>
      <c r="L163" s="5" t="s">
        <v>56</v>
      </c>
      <c r="M163" s="5" t="s">
        <v>56</v>
      </c>
      <c r="N163" s="5" t="s">
        <v>983</v>
      </c>
      <c r="P163" s="13">
        <f>IFERROR(__xludf.DUMMYFUNCTION("IF(REGEXMATCH(UPPER(E163),""CONGRESO""),1,0)"),0.0)</f>
        <v>0</v>
      </c>
    </row>
    <row r="164" ht="15.75" customHeight="1">
      <c r="A164" s="5" t="s">
        <v>419</v>
      </c>
      <c r="B164" s="5" t="s">
        <v>438</v>
      </c>
      <c r="C164" s="5" t="s">
        <v>439</v>
      </c>
      <c r="D164" s="5" t="s">
        <v>944</v>
      </c>
      <c r="E164" s="5" t="s">
        <v>1482</v>
      </c>
      <c r="F164" s="5" t="s">
        <v>1485</v>
      </c>
      <c r="H164" s="5" t="s">
        <v>1486</v>
      </c>
      <c r="I164" s="5" t="s">
        <v>974</v>
      </c>
      <c r="J164" s="5" t="s">
        <v>974</v>
      </c>
      <c r="K164" s="5" t="s">
        <v>912</v>
      </c>
      <c r="L164" s="5" t="s">
        <v>56</v>
      </c>
      <c r="M164" s="5" t="s">
        <v>56</v>
      </c>
      <c r="N164" s="5" t="s">
        <v>983</v>
      </c>
      <c r="P164" s="13">
        <f>IFERROR(__xludf.DUMMYFUNCTION("IF(REGEXMATCH(UPPER(E164),""CONGRESO""),1,0)"),0.0)</f>
        <v>0</v>
      </c>
    </row>
    <row r="165" ht="15.75" customHeight="1">
      <c r="A165" s="5" t="s">
        <v>419</v>
      </c>
      <c r="B165" s="5" t="s">
        <v>438</v>
      </c>
      <c r="C165" s="5" t="s">
        <v>439</v>
      </c>
      <c r="D165" s="5" t="s">
        <v>944</v>
      </c>
      <c r="E165" s="5" t="s">
        <v>1487</v>
      </c>
      <c r="F165" s="5" t="s">
        <v>1488</v>
      </c>
      <c r="H165" s="5" t="s">
        <v>1489</v>
      </c>
      <c r="I165" s="5" t="s">
        <v>950</v>
      </c>
      <c r="J165" s="5" t="s">
        <v>950</v>
      </c>
      <c r="K165" s="5" t="s">
        <v>912</v>
      </c>
      <c r="L165" s="5" t="s">
        <v>56</v>
      </c>
      <c r="M165" s="5" t="s">
        <v>56</v>
      </c>
      <c r="N165" s="5" t="s">
        <v>1490</v>
      </c>
      <c r="P165" s="13">
        <f>IFERROR(__xludf.DUMMYFUNCTION("IF(REGEXMATCH(UPPER(E165),""CONGRESO""),1,0)"),0.0)</f>
        <v>0</v>
      </c>
    </row>
    <row r="166" ht="15.75" customHeight="1">
      <c r="A166" s="5" t="s">
        <v>419</v>
      </c>
      <c r="B166" s="5" t="s">
        <v>446</v>
      </c>
      <c r="C166" s="5" t="s">
        <v>447</v>
      </c>
      <c r="D166" s="5" t="s">
        <v>944</v>
      </c>
      <c r="E166" s="5" t="s">
        <v>1396</v>
      </c>
      <c r="F166" s="5" t="s">
        <v>1159</v>
      </c>
      <c r="H166" s="5" t="s">
        <v>1491</v>
      </c>
      <c r="I166" s="5" t="s">
        <v>1145</v>
      </c>
      <c r="J166" s="5" t="s">
        <v>957</v>
      </c>
      <c r="K166" s="5" t="s">
        <v>912</v>
      </c>
      <c r="L166" s="5" t="s">
        <v>116</v>
      </c>
      <c r="M166" s="5" t="s">
        <v>116</v>
      </c>
      <c r="N166" s="5" t="s">
        <v>116</v>
      </c>
      <c r="P166" s="13">
        <f>IFERROR(__xludf.DUMMYFUNCTION("IF(REGEXMATCH(UPPER(E166),""CONGRESO""),1,0)"),0.0)</f>
        <v>0</v>
      </c>
    </row>
    <row r="167" ht="15.75" customHeight="1">
      <c r="A167" s="5" t="s">
        <v>419</v>
      </c>
      <c r="B167" s="5" t="s">
        <v>453</v>
      </c>
      <c r="C167" s="5" t="s">
        <v>454</v>
      </c>
      <c r="D167" s="5" t="s">
        <v>944</v>
      </c>
      <c r="E167" s="5" t="s">
        <v>1492</v>
      </c>
      <c r="F167" s="5" t="s">
        <v>990</v>
      </c>
      <c r="H167" s="5" t="s">
        <v>1493</v>
      </c>
      <c r="I167" s="5" t="s">
        <v>968</v>
      </c>
      <c r="J167" s="5" t="s">
        <v>968</v>
      </c>
      <c r="K167" s="5" t="s">
        <v>912</v>
      </c>
      <c r="L167" s="5" t="s">
        <v>167</v>
      </c>
      <c r="M167" s="5" t="s">
        <v>457</v>
      </c>
      <c r="N167" s="5" t="s">
        <v>1494</v>
      </c>
      <c r="P167" s="13">
        <f>IFERROR(__xludf.DUMMYFUNCTION("IF(REGEXMATCH(UPPER(E167),""CONGRESO""),1,0)"),0.0)</f>
        <v>0</v>
      </c>
    </row>
    <row r="168" ht="15.75" customHeight="1">
      <c r="A168" s="5" t="s">
        <v>419</v>
      </c>
      <c r="B168" s="5" t="s">
        <v>461</v>
      </c>
      <c r="C168" s="5" t="s">
        <v>462</v>
      </c>
      <c r="D168" s="5" t="s">
        <v>944</v>
      </c>
      <c r="E168" s="5" t="s">
        <v>1495</v>
      </c>
      <c r="F168" s="5" t="s">
        <v>1496</v>
      </c>
      <c r="H168" s="5" t="s">
        <v>1497</v>
      </c>
      <c r="I168" s="5" t="s">
        <v>968</v>
      </c>
      <c r="J168" s="5" t="s">
        <v>957</v>
      </c>
      <c r="K168" s="5" t="s">
        <v>912</v>
      </c>
      <c r="L168" s="5" t="s">
        <v>371</v>
      </c>
      <c r="M168" s="5" t="s">
        <v>371</v>
      </c>
      <c r="N168" s="5" t="s">
        <v>371</v>
      </c>
      <c r="O168" s="5" t="s">
        <v>1498</v>
      </c>
      <c r="P168" s="13">
        <f>IFERROR(__xludf.DUMMYFUNCTION("IF(REGEXMATCH(UPPER(E168),""CONGRESO""),1,0)"),0.0)</f>
        <v>0</v>
      </c>
    </row>
    <row r="169" ht="15.75" customHeight="1">
      <c r="A169" s="5" t="s">
        <v>419</v>
      </c>
      <c r="B169" s="5" t="s">
        <v>469</v>
      </c>
      <c r="C169" s="5" t="s">
        <v>470</v>
      </c>
      <c r="D169" s="5" t="s">
        <v>944</v>
      </c>
      <c r="E169" s="5" t="s">
        <v>1499</v>
      </c>
      <c r="F169" s="5" t="s">
        <v>1500</v>
      </c>
      <c r="H169" s="5" t="s">
        <v>1501</v>
      </c>
      <c r="I169" s="5" t="s">
        <v>1502</v>
      </c>
      <c r="J169" s="5" t="s">
        <v>956</v>
      </c>
      <c r="K169" s="5" t="s">
        <v>912</v>
      </c>
      <c r="L169" s="5" t="s">
        <v>473</v>
      </c>
      <c r="M169" s="5" t="s">
        <v>474</v>
      </c>
      <c r="N169" s="5" t="s">
        <v>474</v>
      </c>
      <c r="O169" s="5" t="s">
        <v>1503</v>
      </c>
      <c r="P169" s="13">
        <f>IFERROR(__xludf.DUMMYFUNCTION("IF(REGEXMATCH(UPPER(E169),""CONGRESO""),1,0)"),0.0)</f>
        <v>0</v>
      </c>
    </row>
    <row r="170" ht="15.75" customHeight="1">
      <c r="A170" s="5" t="s">
        <v>419</v>
      </c>
      <c r="B170" s="5" t="s">
        <v>477</v>
      </c>
      <c r="C170" s="5" t="s">
        <v>478</v>
      </c>
      <c r="D170" s="5" t="s">
        <v>944</v>
      </c>
      <c r="E170" s="5" t="s">
        <v>1504</v>
      </c>
      <c r="F170" s="5" t="s">
        <v>1505</v>
      </c>
      <c r="H170" s="5" t="s">
        <v>483</v>
      </c>
      <c r="I170" s="5" t="s">
        <v>949</v>
      </c>
      <c r="J170" s="5" t="s">
        <v>949</v>
      </c>
      <c r="K170" s="5" t="s">
        <v>912</v>
      </c>
      <c r="L170" s="5" t="s">
        <v>66</v>
      </c>
      <c r="M170" s="5" t="s">
        <v>483</v>
      </c>
      <c r="N170" s="5" t="s">
        <v>484</v>
      </c>
      <c r="P170" s="13">
        <f>IFERROR(__xludf.DUMMYFUNCTION("IF(REGEXMATCH(UPPER(E170),""CONGRESO""),1,0)"),0.0)</f>
        <v>0</v>
      </c>
    </row>
    <row r="171" ht="15.75" customHeight="1">
      <c r="A171" s="5" t="s">
        <v>419</v>
      </c>
      <c r="B171" s="5" t="s">
        <v>477</v>
      </c>
      <c r="C171" s="5" t="s">
        <v>478</v>
      </c>
      <c r="D171" s="5" t="s">
        <v>944</v>
      </c>
      <c r="E171" s="5" t="s">
        <v>1506</v>
      </c>
      <c r="F171" s="5" t="s">
        <v>1507</v>
      </c>
      <c r="H171" s="5" t="s">
        <v>1508</v>
      </c>
      <c r="I171" s="5" t="s">
        <v>957</v>
      </c>
      <c r="J171" s="5" t="s">
        <v>957</v>
      </c>
      <c r="K171" s="5" t="s">
        <v>912</v>
      </c>
      <c r="L171" s="5" t="s">
        <v>56</v>
      </c>
      <c r="M171" s="5" t="s">
        <v>56</v>
      </c>
      <c r="N171" s="5" t="s">
        <v>603</v>
      </c>
      <c r="O171" s="5" t="s">
        <v>1509</v>
      </c>
      <c r="P171" s="13">
        <f>IFERROR(__xludf.DUMMYFUNCTION("IF(REGEXMATCH(UPPER(E171),""CONGRESO""),1,0)"),0.0)</f>
        <v>0</v>
      </c>
    </row>
    <row r="172" ht="15.75" customHeight="1">
      <c r="A172" s="5" t="s">
        <v>419</v>
      </c>
      <c r="B172" s="5" t="s">
        <v>477</v>
      </c>
      <c r="C172" s="5" t="s">
        <v>478</v>
      </c>
      <c r="D172" s="5" t="s">
        <v>944</v>
      </c>
      <c r="E172" s="5" t="s">
        <v>1510</v>
      </c>
      <c r="F172" s="5" t="s">
        <v>1511</v>
      </c>
      <c r="H172" s="5" t="s">
        <v>1512</v>
      </c>
      <c r="I172" s="5" t="s">
        <v>1006</v>
      </c>
      <c r="J172" s="5" t="s">
        <v>1006</v>
      </c>
      <c r="K172" s="5" t="s">
        <v>912</v>
      </c>
      <c r="L172" s="5" t="s">
        <v>66</v>
      </c>
      <c r="M172" s="5" t="s">
        <v>483</v>
      </c>
      <c r="N172" s="5" t="s">
        <v>1512</v>
      </c>
      <c r="P172" s="13">
        <f>IFERROR(__xludf.DUMMYFUNCTION("IF(REGEXMATCH(UPPER(E172),""CONGRESO""),1,0)"),0.0)</f>
        <v>0</v>
      </c>
    </row>
    <row r="173" ht="15.75" customHeight="1">
      <c r="A173" s="5" t="s">
        <v>419</v>
      </c>
      <c r="B173" s="5" t="s">
        <v>477</v>
      </c>
      <c r="C173" s="5" t="s">
        <v>478</v>
      </c>
      <c r="D173" s="5" t="s">
        <v>944</v>
      </c>
      <c r="E173" s="5" t="s">
        <v>1513</v>
      </c>
      <c r="F173" s="5" t="s">
        <v>1511</v>
      </c>
      <c r="H173" s="5" t="s">
        <v>1514</v>
      </c>
      <c r="I173" s="5" t="s">
        <v>1036</v>
      </c>
      <c r="J173" s="5" t="s">
        <v>974</v>
      </c>
      <c r="K173" s="5" t="s">
        <v>912</v>
      </c>
      <c r="L173" s="5" t="s">
        <v>66</v>
      </c>
      <c r="M173" s="5" t="s">
        <v>483</v>
      </c>
      <c r="N173" s="5" t="s">
        <v>1515</v>
      </c>
      <c r="P173" s="13">
        <f>IFERROR(__xludf.DUMMYFUNCTION("IF(REGEXMATCH(UPPER(E173),""CONGRESO""),1,0)"),0.0)</f>
        <v>0</v>
      </c>
    </row>
    <row r="174" ht="15.75" customHeight="1">
      <c r="A174" s="5" t="s">
        <v>419</v>
      </c>
      <c r="B174" s="5" t="s">
        <v>477</v>
      </c>
      <c r="C174" s="5" t="s">
        <v>478</v>
      </c>
      <c r="D174" s="5" t="s">
        <v>944</v>
      </c>
      <c r="E174" s="5" t="s">
        <v>1516</v>
      </c>
      <c r="F174" s="5" t="s">
        <v>1517</v>
      </c>
      <c r="H174" s="5" t="s">
        <v>1518</v>
      </c>
      <c r="I174" s="5" t="s">
        <v>956</v>
      </c>
      <c r="J174" s="5" t="s">
        <v>968</v>
      </c>
      <c r="K174" s="5" t="s">
        <v>912</v>
      </c>
      <c r="L174" s="5" t="s">
        <v>66</v>
      </c>
      <c r="M174" s="5" t="s">
        <v>620</v>
      </c>
      <c r="N174" s="5" t="s">
        <v>1518</v>
      </c>
      <c r="P174" s="13">
        <f>IFERROR(__xludf.DUMMYFUNCTION("IF(REGEXMATCH(UPPER(E174),""CONGRESO""),1,0)"),0.0)</f>
        <v>0</v>
      </c>
    </row>
    <row r="175" ht="15.75" customHeight="1">
      <c r="A175" s="5" t="s">
        <v>419</v>
      </c>
      <c r="B175" s="5" t="s">
        <v>488</v>
      </c>
      <c r="C175" s="5" t="s">
        <v>489</v>
      </c>
      <c r="D175" s="5" t="s">
        <v>944</v>
      </c>
      <c r="E175" s="5" t="s">
        <v>1519</v>
      </c>
      <c r="F175" s="5" t="s">
        <v>1520</v>
      </c>
      <c r="G175" s="5" t="s">
        <v>1521</v>
      </c>
      <c r="H175" s="5" t="s">
        <v>1522</v>
      </c>
      <c r="I175" s="5" t="s">
        <v>1523</v>
      </c>
      <c r="J175" s="5" t="s">
        <v>957</v>
      </c>
      <c r="K175" s="5" t="s">
        <v>912</v>
      </c>
      <c r="L175" s="5" t="s">
        <v>35</v>
      </c>
      <c r="M175" s="5" t="s">
        <v>35</v>
      </c>
      <c r="N175" s="5" t="s">
        <v>1524</v>
      </c>
      <c r="P175" s="13">
        <f>IFERROR(__xludf.DUMMYFUNCTION("IF(REGEXMATCH(UPPER(E175),""CONGRESO""),1,0)"),0.0)</f>
        <v>0</v>
      </c>
    </row>
    <row r="176" ht="15.75" customHeight="1">
      <c r="A176" s="5" t="s">
        <v>419</v>
      </c>
      <c r="B176" s="5" t="s">
        <v>498</v>
      </c>
      <c r="C176" s="5" t="s">
        <v>499</v>
      </c>
      <c r="D176" s="5" t="s">
        <v>944</v>
      </c>
      <c r="E176" s="5" t="s">
        <v>1525</v>
      </c>
      <c r="F176" s="5" t="s">
        <v>1526</v>
      </c>
      <c r="H176" s="5" t="s">
        <v>1527</v>
      </c>
      <c r="I176" s="5" t="s">
        <v>957</v>
      </c>
      <c r="J176" s="5" t="s">
        <v>957</v>
      </c>
      <c r="K176" s="5" t="s">
        <v>912</v>
      </c>
      <c r="L176" s="5" t="s">
        <v>371</v>
      </c>
      <c r="M176" s="5" t="s">
        <v>372</v>
      </c>
      <c r="N176" s="5" t="s">
        <v>372</v>
      </c>
      <c r="P176" s="13">
        <f>IFERROR(__xludf.DUMMYFUNCTION("IF(REGEXMATCH(UPPER(E176),""CONGRESO""),1,0)"),0.0)</f>
        <v>0</v>
      </c>
    </row>
    <row r="177" ht="15.75" customHeight="1">
      <c r="A177" s="5" t="s">
        <v>419</v>
      </c>
      <c r="B177" s="5" t="s">
        <v>498</v>
      </c>
      <c r="C177" s="5" t="s">
        <v>499</v>
      </c>
      <c r="D177" s="5" t="s">
        <v>944</v>
      </c>
      <c r="E177" s="5" t="s">
        <v>1528</v>
      </c>
      <c r="F177" s="5" t="s">
        <v>1529</v>
      </c>
      <c r="H177" s="5" t="s">
        <v>1530</v>
      </c>
      <c r="I177" s="5" t="s">
        <v>1006</v>
      </c>
      <c r="J177" s="5" t="s">
        <v>974</v>
      </c>
      <c r="K177" s="5" t="s">
        <v>912</v>
      </c>
      <c r="L177" s="5" t="s">
        <v>371</v>
      </c>
      <c r="M177" s="5" t="s">
        <v>372</v>
      </c>
      <c r="N177" s="5" t="s">
        <v>504</v>
      </c>
      <c r="P177" s="13">
        <f>IFERROR(__xludf.DUMMYFUNCTION("IF(REGEXMATCH(UPPER(E177),""CONGRESO""),1,0)"),0.0)</f>
        <v>0</v>
      </c>
    </row>
    <row r="178" ht="15.75" customHeight="1">
      <c r="A178" s="5" t="s">
        <v>419</v>
      </c>
      <c r="B178" s="5" t="s">
        <v>507</v>
      </c>
      <c r="C178" s="5" t="s">
        <v>508</v>
      </c>
      <c r="D178" s="5" t="s">
        <v>944</v>
      </c>
      <c r="E178" s="5" t="s">
        <v>1531</v>
      </c>
      <c r="F178" s="5" t="s">
        <v>1532</v>
      </c>
      <c r="G178" s="5" t="s">
        <v>1533</v>
      </c>
      <c r="H178" s="5" t="s">
        <v>1534</v>
      </c>
      <c r="I178" s="5" t="s">
        <v>949</v>
      </c>
      <c r="J178" s="5" t="s">
        <v>957</v>
      </c>
      <c r="K178" s="5" t="s">
        <v>912</v>
      </c>
      <c r="L178" s="5" t="s">
        <v>139</v>
      </c>
      <c r="M178" s="5" t="s">
        <v>1535</v>
      </c>
      <c r="N178" s="5" t="s">
        <v>1536</v>
      </c>
      <c r="P178" s="13">
        <f>IFERROR(__xludf.DUMMYFUNCTION("IF(REGEXMATCH(UPPER(E178),""CONGRESO""),1,0)"),0.0)</f>
        <v>0</v>
      </c>
    </row>
    <row r="179" ht="15.75" customHeight="1">
      <c r="A179" s="5" t="s">
        <v>419</v>
      </c>
      <c r="B179" s="5" t="s">
        <v>517</v>
      </c>
      <c r="C179" s="5" t="s">
        <v>518</v>
      </c>
      <c r="D179" s="5" t="s">
        <v>944</v>
      </c>
      <c r="E179" s="5" t="s">
        <v>1537</v>
      </c>
      <c r="F179" s="5" t="s">
        <v>1324</v>
      </c>
      <c r="G179" s="5" t="s">
        <v>1538</v>
      </c>
      <c r="H179" s="5" t="s">
        <v>1539</v>
      </c>
      <c r="I179" s="5" t="s">
        <v>1111</v>
      </c>
      <c r="J179" s="5" t="s">
        <v>968</v>
      </c>
      <c r="K179" s="5" t="s">
        <v>912</v>
      </c>
      <c r="L179" s="5" t="s">
        <v>66</v>
      </c>
      <c r="M179" s="5" t="s">
        <v>620</v>
      </c>
      <c r="N179" s="5" t="s">
        <v>1540</v>
      </c>
      <c r="P179" s="13">
        <f>IFERROR(__xludf.DUMMYFUNCTION("IF(REGEXMATCH(UPPER(E179),""CONGRESO""),1,0)"),0.0)</f>
        <v>0</v>
      </c>
    </row>
    <row r="180" ht="15.75" customHeight="1">
      <c r="A180" s="5" t="s">
        <v>419</v>
      </c>
      <c r="B180" s="5" t="s">
        <v>527</v>
      </c>
      <c r="C180" s="5" t="s">
        <v>528</v>
      </c>
      <c r="D180" s="5" t="s">
        <v>944</v>
      </c>
      <c r="E180" s="5" t="s">
        <v>1541</v>
      </c>
      <c r="F180" s="5" t="s">
        <v>1542</v>
      </c>
      <c r="H180" s="5" t="s">
        <v>1543</v>
      </c>
      <c r="I180" s="5" t="s">
        <v>957</v>
      </c>
      <c r="J180" s="5" t="s">
        <v>957</v>
      </c>
      <c r="K180" s="5" t="s">
        <v>912</v>
      </c>
      <c r="L180" s="5" t="s">
        <v>116</v>
      </c>
      <c r="M180" s="5" t="s">
        <v>116</v>
      </c>
      <c r="N180" s="5" t="s">
        <v>116</v>
      </c>
      <c r="O180" s="5" t="s">
        <v>1544</v>
      </c>
      <c r="P180" s="13">
        <f>IFERROR(__xludf.DUMMYFUNCTION("IF(REGEXMATCH(UPPER(E180),""CONGRESO""),1,0)"),0.0)</f>
        <v>0</v>
      </c>
    </row>
    <row r="181" ht="15.75" customHeight="1">
      <c r="A181" s="5" t="s">
        <v>419</v>
      </c>
      <c r="B181" s="5" t="s">
        <v>527</v>
      </c>
      <c r="C181" s="5" t="s">
        <v>528</v>
      </c>
      <c r="D181" s="5" t="s">
        <v>944</v>
      </c>
      <c r="E181" s="5" t="s">
        <v>1380</v>
      </c>
      <c r="F181" s="5" t="s">
        <v>1542</v>
      </c>
      <c r="H181" s="5" t="s">
        <v>1545</v>
      </c>
      <c r="I181" s="5" t="s">
        <v>957</v>
      </c>
      <c r="J181" s="5" t="s">
        <v>957</v>
      </c>
      <c r="K181" s="5" t="s">
        <v>912</v>
      </c>
      <c r="L181" s="5" t="s">
        <v>56</v>
      </c>
      <c r="M181" s="5" t="s">
        <v>56</v>
      </c>
      <c r="N181" s="5" t="s">
        <v>176</v>
      </c>
      <c r="O181" s="5" t="s">
        <v>1546</v>
      </c>
      <c r="P181" s="13">
        <f>IFERROR(__xludf.DUMMYFUNCTION("IF(REGEXMATCH(UPPER(E181),""CONGRESO""),1,0)"),0.0)</f>
        <v>0</v>
      </c>
    </row>
    <row r="182" ht="15.75" customHeight="1">
      <c r="A182" s="5" t="s">
        <v>419</v>
      </c>
      <c r="B182" s="5" t="s">
        <v>527</v>
      </c>
      <c r="C182" s="5" t="s">
        <v>528</v>
      </c>
      <c r="D182" s="5" t="s">
        <v>944</v>
      </c>
      <c r="E182" s="5" t="s">
        <v>1547</v>
      </c>
      <c r="F182" s="5" t="s">
        <v>1548</v>
      </c>
      <c r="H182" s="5" t="s">
        <v>1549</v>
      </c>
      <c r="I182" s="5" t="s">
        <v>968</v>
      </c>
      <c r="J182" s="5" t="s">
        <v>968</v>
      </c>
      <c r="K182" s="5" t="s">
        <v>912</v>
      </c>
      <c r="L182" s="5" t="s">
        <v>177</v>
      </c>
      <c r="M182" s="5" t="s">
        <v>177</v>
      </c>
      <c r="N182" s="5" t="s">
        <v>1550</v>
      </c>
      <c r="O182" s="5" t="s">
        <v>1551</v>
      </c>
      <c r="P182" s="13">
        <f>IFERROR(__xludf.DUMMYFUNCTION("IF(REGEXMATCH(UPPER(E182),""CONGRESO""),1,0)"),0.0)</f>
        <v>0</v>
      </c>
    </row>
    <row r="183" ht="15.75" customHeight="1">
      <c r="A183" s="5" t="s">
        <v>419</v>
      </c>
      <c r="B183" s="5" t="s">
        <v>527</v>
      </c>
      <c r="C183" s="5" t="s">
        <v>528</v>
      </c>
      <c r="D183" s="5" t="s">
        <v>944</v>
      </c>
      <c r="E183" s="5" t="s">
        <v>1552</v>
      </c>
      <c r="F183" s="5" t="s">
        <v>1542</v>
      </c>
      <c r="H183" s="5" t="s">
        <v>1553</v>
      </c>
      <c r="I183" s="5" t="s">
        <v>968</v>
      </c>
      <c r="J183" s="5" t="s">
        <v>968</v>
      </c>
      <c r="K183" s="5" t="s">
        <v>912</v>
      </c>
      <c r="L183" s="5" t="s">
        <v>116</v>
      </c>
      <c r="M183" s="5" t="s">
        <v>116</v>
      </c>
      <c r="N183" s="5" t="s">
        <v>116</v>
      </c>
      <c r="O183" s="5" t="s">
        <v>1554</v>
      </c>
      <c r="P183" s="13">
        <f>IFERROR(__xludf.DUMMYFUNCTION("IF(REGEXMATCH(UPPER(E183),""CONGRESO""),1,0)"),0.0)</f>
        <v>0</v>
      </c>
    </row>
    <row r="184" ht="15.75" customHeight="1">
      <c r="A184" s="5" t="s">
        <v>419</v>
      </c>
      <c r="B184" s="5" t="s">
        <v>527</v>
      </c>
      <c r="C184" s="5" t="s">
        <v>528</v>
      </c>
      <c r="D184" s="5" t="s">
        <v>944</v>
      </c>
      <c r="E184" s="5" t="s">
        <v>1555</v>
      </c>
      <c r="F184" s="5" t="s">
        <v>1542</v>
      </c>
      <c r="H184" s="5" t="s">
        <v>1556</v>
      </c>
      <c r="I184" s="5" t="s">
        <v>956</v>
      </c>
      <c r="J184" s="5" t="s">
        <v>956</v>
      </c>
      <c r="K184" s="5" t="s">
        <v>912</v>
      </c>
      <c r="L184" s="5" t="s">
        <v>56</v>
      </c>
      <c r="M184" s="5" t="s">
        <v>56</v>
      </c>
      <c r="N184" s="5" t="s">
        <v>381</v>
      </c>
      <c r="O184" s="5" t="s">
        <v>1557</v>
      </c>
      <c r="P184" s="13">
        <f>IFERROR(__xludf.DUMMYFUNCTION("IF(REGEXMATCH(UPPER(E184),""CONGRESO""),1,0)"),0.0)</f>
        <v>0</v>
      </c>
    </row>
    <row r="185" ht="15.75" customHeight="1">
      <c r="A185" s="5" t="s">
        <v>419</v>
      </c>
      <c r="B185" s="5" t="s">
        <v>533</v>
      </c>
      <c r="C185" s="5" t="s">
        <v>534</v>
      </c>
      <c r="D185" s="5" t="s">
        <v>944</v>
      </c>
      <c r="E185" s="5" t="s">
        <v>1558</v>
      </c>
      <c r="F185" s="5" t="s">
        <v>1558</v>
      </c>
      <c r="H185" s="5" t="s">
        <v>1559</v>
      </c>
      <c r="I185" s="5" t="s">
        <v>1235</v>
      </c>
      <c r="J185" s="5" t="s">
        <v>957</v>
      </c>
      <c r="K185" s="5" t="s">
        <v>912</v>
      </c>
      <c r="L185" s="5" t="s">
        <v>473</v>
      </c>
      <c r="M185" s="5" t="s">
        <v>474</v>
      </c>
      <c r="N185" s="5" t="s">
        <v>474</v>
      </c>
      <c r="P185" s="13">
        <f>IFERROR(__xludf.DUMMYFUNCTION("IF(REGEXMATCH(UPPER(E185),""CONGRESO""),1,0)"),0.0)</f>
        <v>0</v>
      </c>
    </row>
    <row r="186" ht="15.75" customHeight="1">
      <c r="A186" s="5" t="s">
        <v>419</v>
      </c>
      <c r="B186" s="5" t="s">
        <v>541</v>
      </c>
      <c r="C186" s="5" t="s">
        <v>542</v>
      </c>
      <c r="D186" s="5" t="s">
        <v>1560</v>
      </c>
      <c r="P186" s="13">
        <f>IFERROR(__xludf.DUMMYFUNCTION("IF(REGEXMATCH(UPPER(E186),""CONGRESO""),1,0)"),0.0)</f>
        <v>0</v>
      </c>
    </row>
    <row r="187" ht="15.75" customHeight="1">
      <c r="A187" s="5" t="s">
        <v>419</v>
      </c>
      <c r="B187" s="5" t="s">
        <v>550</v>
      </c>
      <c r="C187" s="5" t="s">
        <v>551</v>
      </c>
      <c r="D187" s="5" t="s">
        <v>944</v>
      </c>
      <c r="E187" s="5" t="s">
        <v>1561</v>
      </c>
      <c r="F187" s="5" t="s">
        <v>990</v>
      </c>
      <c r="H187" s="5" t="s">
        <v>1562</v>
      </c>
      <c r="I187" s="5" t="s">
        <v>1563</v>
      </c>
      <c r="J187" s="5" t="s">
        <v>957</v>
      </c>
      <c r="K187" s="5" t="s">
        <v>912</v>
      </c>
      <c r="L187" s="5" t="s">
        <v>116</v>
      </c>
      <c r="M187" s="5" t="s">
        <v>116</v>
      </c>
      <c r="N187" s="5" t="s">
        <v>1564</v>
      </c>
      <c r="P187" s="13">
        <f>IFERROR(__xludf.DUMMYFUNCTION("IF(REGEXMATCH(UPPER(E187),""CONGRESO""),1,0)"),0.0)</f>
        <v>0</v>
      </c>
    </row>
    <row r="188" ht="15.75" customHeight="1">
      <c r="A188" s="5" t="s">
        <v>419</v>
      </c>
      <c r="B188" s="5" t="s">
        <v>559</v>
      </c>
      <c r="C188" s="5" t="s">
        <v>560</v>
      </c>
      <c r="D188" s="5" t="s">
        <v>944</v>
      </c>
      <c r="E188" s="5" t="s">
        <v>1107</v>
      </c>
      <c r="F188" s="5" t="s">
        <v>1565</v>
      </c>
      <c r="H188" s="5" t="s">
        <v>1566</v>
      </c>
      <c r="I188" s="5" t="s">
        <v>968</v>
      </c>
      <c r="J188" s="5" t="s">
        <v>957</v>
      </c>
      <c r="K188" s="5" t="s">
        <v>912</v>
      </c>
      <c r="L188" s="5" t="s">
        <v>56</v>
      </c>
      <c r="M188" s="5" t="s">
        <v>56</v>
      </c>
      <c r="N188" s="5" t="s">
        <v>56</v>
      </c>
      <c r="P188" s="13">
        <f>IFERROR(__xludf.DUMMYFUNCTION("IF(REGEXMATCH(UPPER(E188),""CONGRESO""),1,0)"),1.0)</f>
        <v>1</v>
      </c>
    </row>
    <row r="189" ht="15.75" customHeight="1">
      <c r="A189" s="5" t="s">
        <v>419</v>
      </c>
      <c r="B189" s="5" t="s">
        <v>559</v>
      </c>
      <c r="C189" s="5" t="s">
        <v>560</v>
      </c>
      <c r="D189" s="5" t="s">
        <v>944</v>
      </c>
      <c r="E189" s="5" t="s">
        <v>1567</v>
      </c>
      <c r="F189" s="5" t="s">
        <v>1568</v>
      </c>
      <c r="H189" s="5" t="s">
        <v>1569</v>
      </c>
      <c r="I189" s="5" t="s">
        <v>974</v>
      </c>
      <c r="J189" s="5" t="s">
        <v>950</v>
      </c>
      <c r="K189" s="5" t="s">
        <v>912</v>
      </c>
      <c r="L189" s="5" t="s">
        <v>56</v>
      </c>
      <c r="M189" s="5" t="s">
        <v>56</v>
      </c>
      <c r="N189" s="5" t="s">
        <v>983</v>
      </c>
      <c r="P189" s="13">
        <f>IFERROR(__xludf.DUMMYFUNCTION("IF(REGEXMATCH(UPPER(E189),""CONGRESO""),1,0)"),0.0)</f>
        <v>0</v>
      </c>
    </row>
    <row r="190" ht="15.75" customHeight="1">
      <c r="A190" s="5" t="s">
        <v>419</v>
      </c>
      <c r="B190" s="5" t="s">
        <v>559</v>
      </c>
      <c r="C190" s="5" t="s">
        <v>560</v>
      </c>
      <c r="D190" s="5" t="s">
        <v>944</v>
      </c>
      <c r="E190" s="5" t="s">
        <v>1482</v>
      </c>
      <c r="F190" s="5" t="s">
        <v>1570</v>
      </c>
      <c r="H190" s="5" t="s">
        <v>1569</v>
      </c>
      <c r="I190" s="5" t="s">
        <v>950</v>
      </c>
      <c r="J190" s="5" t="s">
        <v>956</v>
      </c>
      <c r="K190" s="5" t="s">
        <v>912</v>
      </c>
      <c r="L190" s="5" t="s">
        <v>56</v>
      </c>
      <c r="M190" s="5" t="s">
        <v>56</v>
      </c>
      <c r="N190" s="5" t="s">
        <v>983</v>
      </c>
      <c r="P190" s="13">
        <f>IFERROR(__xludf.DUMMYFUNCTION("IF(REGEXMATCH(UPPER(E190),""CONGRESO""),1,0)"),0.0)</f>
        <v>0</v>
      </c>
    </row>
    <row r="191" ht="15.75" customHeight="1">
      <c r="A191" s="5" t="s">
        <v>567</v>
      </c>
      <c r="B191" s="5" t="s">
        <v>568</v>
      </c>
      <c r="C191" s="5" t="s">
        <v>569</v>
      </c>
      <c r="D191" s="5" t="s">
        <v>944</v>
      </c>
      <c r="E191" s="5" t="s">
        <v>1571</v>
      </c>
      <c r="F191" s="5" t="s">
        <v>1572</v>
      </c>
      <c r="G191" s="5" t="s">
        <v>1573</v>
      </c>
      <c r="H191" s="5" t="s">
        <v>1574</v>
      </c>
      <c r="I191" s="5" t="s">
        <v>957</v>
      </c>
      <c r="J191" s="5" t="s">
        <v>957</v>
      </c>
      <c r="K191" s="5" t="s">
        <v>912</v>
      </c>
      <c r="L191" s="5" t="s">
        <v>186</v>
      </c>
      <c r="M191" s="5" t="s">
        <v>1383</v>
      </c>
      <c r="N191" s="5" t="s">
        <v>1575</v>
      </c>
      <c r="P191" s="13">
        <f>IFERROR(__xludf.DUMMYFUNCTION("IF(REGEXMATCH(UPPER(E191),""CONGRESO""),1,0)"),0.0)</f>
        <v>0</v>
      </c>
    </row>
    <row r="192" ht="15.75" customHeight="1">
      <c r="A192" s="5" t="s">
        <v>567</v>
      </c>
      <c r="B192" s="5" t="s">
        <v>577</v>
      </c>
      <c r="C192" s="5" t="s">
        <v>578</v>
      </c>
      <c r="D192" s="5" t="s">
        <v>944</v>
      </c>
      <c r="E192" s="5" t="s">
        <v>1576</v>
      </c>
      <c r="F192" s="5" t="s">
        <v>1577</v>
      </c>
      <c r="G192" s="5" t="s">
        <v>1578</v>
      </c>
      <c r="H192" s="5" t="s">
        <v>1579</v>
      </c>
      <c r="I192" s="5" t="s">
        <v>957</v>
      </c>
      <c r="J192" s="5" t="s">
        <v>957</v>
      </c>
      <c r="K192" s="5" t="s">
        <v>912</v>
      </c>
      <c r="L192" s="5" t="s">
        <v>86</v>
      </c>
      <c r="M192" s="5" t="s">
        <v>1580</v>
      </c>
      <c r="N192" s="5" t="s">
        <v>1580</v>
      </c>
      <c r="P192" s="13">
        <f>IFERROR(__xludf.DUMMYFUNCTION("IF(REGEXMATCH(UPPER(E192),""CONGRESO""),1,0)"),0.0)</f>
        <v>0</v>
      </c>
    </row>
    <row r="193" ht="15.75" customHeight="1">
      <c r="A193" s="5" t="s">
        <v>567</v>
      </c>
      <c r="B193" s="5" t="s">
        <v>586</v>
      </c>
      <c r="C193" s="5" t="s">
        <v>587</v>
      </c>
      <c r="D193" s="5" t="s">
        <v>944</v>
      </c>
      <c r="E193" s="5" t="s">
        <v>1581</v>
      </c>
      <c r="F193" s="5" t="s">
        <v>1582</v>
      </c>
      <c r="H193" s="5" t="s">
        <v>1583</v>
      </c>
      <c r="I193" s="5" t="s">
        <v>1110</v>
      </c>
      <c r="J193" s="5" t="s">
        <v>1145</v>
      </c>
      <c r="K193" s="5" t="s">
        <v>1584</v>
      </c>
      <c r="O193" s="5" t="s">
        <v>1585</v>
      </c>
      <c r="P193" s="13">
        <f>IFERROR(__xludf.DUMMYFUNCTION("IF(REGEXMATCH(UPPER(E193),""CONGRESO""),1,0)"),0.0)</f>
        <v>0</v>
      </c>
    </row>
    <row r="194" ht="15.75" customHeight="1">
      <c r="A194" s="5" t="s">
        <v>567</v>
      </c>
      <c r="B194" s="5" t="s">
        <v>586</v>
      </c>
      <c r="C194" s="5" t="s">
        <v>587</v>
      </c>
      <c r="D194" s="5" t="s">
        <v>944</v>
      </c>
      <c r="E194" s="5" t="s">
        <v>1586</v>
      </c>
      <c r="F194" s="5" t="s">
        <v>1222</v>
      </c>
      <c r="G194" s="5" t="s">
        <v>1587</v>
      </c>
      <c r="H194" s="5" t="s">
        <v>1588</v>
      </c>
      <c r="I194" s="5" t="s">
        <v>949</v>
      </c>
      <c r="J194" s="5" t="s">
        <v>974</v>
      </c>
      <c r="K194" s="5" t="s">
        <v>912</v>
      </c>
      <c r="L194" s="5" t="s">
        <v>594</v>
      </c>
      <c r="M194" s="5" t="s">
        <v>594</v>
      </c>
      <c r="N194" s="5" t="s">
        <v>594</v>
      </c>
      <c r="P194" s="13">
        <f>IFERROR(__xludf.DUMMYFUNCTION("IF(REGEXMATCH(UPPER(E194),""CONGRESO""),1,0)"),0.0)</f>
        <v>0</v>
      </c>
    </row>
    <row r="195" ht="15.75" customHeight="1">
      <c r="A195" s="5" t="s">
        <v>567</v>
      </c>
      <c r="B195" s="5" t="s">
        <v>586</v>
      </c>
      <c r="C195" s="5" t="s">
        <v>587</v>
      </c>
      <c r="D195" s="5" t="s">
        <v>944</v>
      </c>
      <c r="E195" s="5" t="s">
        <v>1589</v>
      </c>
      <c r="F195" s="5" t="s">
        <v>1222</v>
      </c>
      <c r="G195" s="5" t="s">
        <v>1590</v>
      </c>
      <c r="H195" s="5" t="s">
        <v>1591</v>
      </c>
      <c r="I195" s="5" t="s">
        <v>949</v>
      </c>
      <c r="J195" s="5" t="s">
        <v>957</v>
      </c>
      <c r="K195" s="5" t="s">
        <v>912</v>
      </c>
      <c r="L195" s="5" t="s">
        <v>594</v>
      </c>
      <c r="M195" s="5" t="s">
        <v>594</v>
      </c>
      <c r="N195" s="5" t="s">
        <v>594</v>
      </c>
      <c r="P195" s="13">
        <f>IFERROR(__xludf.DUMMYFUNCTION("IF(REGEXMATCH(UPPER(E195),""CONGRESO""),1,0)"),0.0)</f>
        <v>0</v>
      </c>
    </row>
    <row r="196" ht="15.75" customHeight="1">
      <c r="A196" s="5" t="s">
        <v>567</v>
      </c>
      <c r="B196" s="5" t="s">
        <v>597</v>
      </c>
      <c r="C196" s="5" t="s">
        <v>598</v>
      </c>
      <c r="D196" s="5" t="s">
        <v>944</v>
      </c>
      <c r="E196" s="5" t="s">
        <v>1592</v>
      </c>
      <c r="F196" s="5" t="s">
        <v>1222</v>
      </c>
      <c r="G196" s="5" t="s">
        <v>1593</v>
      </c>
      <c r="H196" s="5" t="s">
        <v>1594</v>
      </c>
      <c r="I196" s="5" t="s">
        <v>956</v>
      </c>
      <c r="J196" s="5" t="s">
        <v>957</v>
      </c>
      <c r="K196" s="5" t="s">
        <v>912</v>
      </c>
      <c r="L196" s="5" t="s">
        <v>56</v>
      </c>
      <c r="M196" s="5" t="s">
        <v>56</v>
      </c>
      <c r="N196" s="5" t="s">
        <v>603</v>
      </c>
      <c r="P196" s="13">
        <f>IFERROR(__xludf.DUMMYFUNCTION("IF(REGEXMATCH(UPPER(E196),""CONGRESO""),1,0)"),0.0)</f>
        <v>0</v>
      </c>
    </row>
    <row r="197" ht="15.75" customHeight="1">
      <c r="A197" s="5" t="s">
        <v>567</v>
      </c>
      <c r="B197" s="5" t="s">
        <v>597</v>
      </c>
      <c r="C197" s="5" t="s">
        <v>598</v>
      </c>
      <c r="D197" s="5" t="s">
        <v>944</v>
      </c>
      <c r="E197" s="5" t="s">
        <v>1595</v>
      </c>
      <c r="F197" s="5" t="s">
        <v>1324</v>
      </c>
      <c r="G197" s="5" t="s">
        <v>1596</v>
      </c>
      <c r="H197" s="5" t="s">
        <v>1597</v>
      </c>
      <c r="I197" s="5" t="s">
        <v>950</v>
      </c>
      <c r="J197" s="5" t="s">
        <v>957</v>
      </c>
      <c r="K197" s="5" t="s">
        <v>912</v>
      </c>
      <c r="L197" s="5" t="s">
        <v>56</v>
      </c>
      <c r="M197" s="5" t="s">
        <v>56</v>
      </c>
      <c r="N197" s="5" t="s">
        <v>603</v>
      </c>
      <c r="P197" s="13">
        <f>IFERROR(__xludf.DUMMYFUNCTION("IF(REGEXMATCH(UPPER(E197),""CONGRESO""),1,0)"),0.0)</f>
        <v>0</v>
      </c>
    </row>
    <row r="198" ht="15.75" customHeight="1">
      <c r="A198" s="5" t="s">
        <v>567</v>
      </c>
      <c r="B198" s="5" t="s">
        <v>597</v>
      </c>
      <c r="C198" s="5" t="s">
        <v>598</v>
      </c>
      <c r="D198" s="5" t="s">
        <v>944</v>
      </c>
      <c r="E198" s="5" t="s">
        <v>1098</v>
      </c>
      <c r="F198" s="5" t="s">
        <v>1598</v>
      </c>
      <c r="G198" s="5" t="s">
        <v>1599</v>
      </c>
      <c r="H198" s="5" t="s">
        <v>1600</v>
      </c>
      <c r="I198" s="5" t="s">
        <v>1036</v>
      </c>
      <c r="J198" s="5" t="s">
        <v>1036</v>
      </c>
      <c r="K198" s="5" t="s">
        <v>912</v>
      </c>
      <c r="L198" s="5" t="s">
        <v>56</v>
      </c>
      <c r="M198" s="5" t="s">
        <v>56</v>
      </c>
      <c r="N198" s="5" t="s">
        <v>56</v>
      </c>
      <c r="P198" s="13">
        <f>IFERROR(__xludf.DUMMYFUNCTION("IF(REGEXMATCH(UPPER(E198),""CONGRESO""),1,0)"),1.0)</f>
        <v>1</v>
      </c>
    </row>
    <row r="199" ht="15.75" customHeight="1">
      <c r="A199" s="5" t="s">
        <v>567</v>
      </c>
      <c r="B199" s="5" t="s">
        <v>597</v>
      </c>
      <c r="C199" s="5" t="s">
        <v>598</v>
      </c>
      <c r="D199" s="5" t="s">
        <v>944</v>
      </c>
      <c r="E199" s="5" t="s">
        <v>1601</v>
      </c>
      <c r="F199" s="5" t="s">
        <v>1602</v>
      </c>
      <c r="G199" s="5" t="s">
        <v>1603</v>
      </c>
      <c r="H199" s="5" t="s">
        <v>1604</v>
      </c>
      <c r="I199" s="5" t="s">
        <v>950</v>
      </c>
      <c r="J199" s="5" t="s">
        <v>956</v>
      </c>
      <c r="K199" s="5" t="s">
        <v>912</v>
      </c>
      <c r="L199" s="5" t="s">
        <v>56</v>
      </c>
      <c r="M199" s="5" t="s">
        <v>56</v>
      </c>
      <c r="N199" s="5" t="s">
        <v>603</v>
      </c>
      <c r="P199" s="13">
        <f>IFERROR(__xludf.DUMMYFUNCTION("IF(REGEXMATCH(UPPER(E199),""CONGRESO""),1,0)"),0.0)</f>
        <v>0</v>
      </c>
    </row>
    <row r="200" ht="15.75" customHeight="1">
      <c r="A200" s="5" t="s">
        <v>567</v>
      </c>
      <c r="B200" s="5" t="s">
        <v>597</v>
      </c>
      <c r="C200" s="5" t="s">
        <v>598</v>
      </c>
      <c r="D200" s="5" t="s">
        <v>944</v>
      </c>
      <c r="E200" s="5" t="s">
        <v>1098</v>
      </c>
      <c r="F200" s="5" t="s">
        <v>1605</v>
      </c>
      <c r="G200" s="5" t="s">
        <v>1606</v>
      </c>
      <c r="H200" s="5" t="s">
        <v>1607</v>
      </c>
      <c r="I200" s="5" t="s">
        <v>1056</v>
      </c>
      <c r="J200" s="5" t="s">
        <v>1145</v>
      </c>
      <c r="K200" s="5" t="s">
        <v>912</v>
      </c>
      <c r="L200" s="5" t="s">
        <v>56</v>
      </c>
      <c r="M200" s="5" t="s">
        <v>56</v>
      </c>
      <c r="N200" s="5" t="s">
        <v>56</v>
      </c>
      <c r="P200" s="13">
        <f>IFERROR(__xludf.DUMMYFUNCTION("IF(REGEXMATCH(UPPER(E200),""CONGRESO""),1,0)"),1.0)</f>
        <v>1</v>
      </c>
    </row>
    <row r="201" ht="15.75" customHeight="1">
      <c r="A201" s="5" t="s">
        <v>567</v>
      </c>
      <c r="B201" s="5" t="s">
        <v>606</v>
      </c>
      <c r="C201" s="5" t="s">
        <v>607</v>
      </c>
      <c r="D201" s="5" t="s">
        <v>944</v>
      </c>
      <c r="E201" s="5" t="s">
        <v>1608</v>
      </c>
      <c r="F201" s="5" t="s">
        <v>1227</v>
      </c>
      <c r="H201" s="5" t="s">
        <v>1096</v>
      </c>
      <c r="I201" s="5" t="s">
        <v>1145</v>
      </c>
      <c r="J201" s="5" t="s">
        <v>957</v>
      </c>
      <c r="K201" s="5" t="s">
        <v>912</v>
      </c>
      <c r="L201" s="5" t="s">
        <v>116</v>
      </c>
      <c r="M201" s="5" t="s">
        <v>1095</v>
      </c>
      <c r="N201" s="5" t="s">
        <v>1096</v>
      </c>
      <c r="P201" s="13">
        <f>IFERROR(__xludf.DUMMYFUNCTION("IF(REGEXMATCH(UPPER(E201),""CONGRESO""),1,0)"),0.0)</f>
        <v>0</v>
      </c>
    </row>
    <row r="202" ht="15.75" customHeight="1">
      <c r="A202" s="5" t="s">
        <v>567</v>
      </c>
      <c r="B202" s="5" t="s">
        <v>614</v>
      </c>
      <c r="C202" s="5" t="s">
        <v>615</v>
      </c>
      <c r="D202" s="5" t="s">
        <v>944</v>
      </c>
      <c r="E202" s="5" t="s">
        <v>1609</v>
      </c>
      <c r="F202" s="5" t="s">
        <v>1610</v>
      </c>
      <c r="G202" s="5" t="s">
        <v>1611</v>
      </c>
      <c r="H202" s="5" t="s">
        <v>1612</v>
      </c>
      <c r="I202" s="5" t="s">
        <v>1006</v>
      </c>
      <c r="J202" s="5" t="s">
        <v>957</v>
      </c>
      <c r="K202" s="5" t="s">
        <v>912</v>
      </c>
      <c r="L202" s="5" t="s">
        <v>66</v>
      </c>
      <c r="M202" s="5" t="s">
        <v>66</v>
      </c>
      <c r="N202" s="5" t="s">
        <v>66</v>
      </c>
      <c r="P202" s="13">
        <f>IFERROR(__xludf.DUMMYFUNCTION("IF(REGEXMATCH(UPPER(E202),""CONGRESO""),1,0)"),0.0)</f>
        <v>0</v>
      </c>
    </row>
    <row r="203" ht="15.75" customHeight="1">
      <c r="A203" s="5" t="s">
        <v>567</v>
      </c>
      <c r="B203" s="5" t="s">
        <v>624</v>
      </c>
      <c r="C203" s="5" t="s">
        <v>625</v>
      </c>
      <c r="D203" s="5" t="s">
        <v>944</v>
      </c>
      <c r="E203" s="5" t="s">
        <v>1613</v>
      </c>
      <c r="F203" s="5" t="s">
        <v>1367</v>
      </c>
      <c r="G203" s="5" t="s">
        <v>1614</v>
      </c>
      <c r="H203" s="5" t="s">
        <v>35</v>
      </c>
      <c r="I203" s="5" t="s">
        <v>1036</v>
      </c>
      <c r="J203" s="5" t="s">
        <v>957</v>
      </c>
      <c r="K203" s="5" t="s">
        <v>912</v>
      </c>
      <c r="L203" s="5" t="s">
        <v>35</v>
      </c>
      <c r="M203" s="5" t="s">
        <v>630</v>
      </c>
      <c r="N203" s="5" t="s">
        <v>631</v>
      </c>
      <c r="O203" s="5" t="s">
        <v>1615</v>
      </c>
      <c r="P203" s="13">
        <f>IFERROR(__xludf.DUMMYFUNCTION("IF(REGEXMATCH(UPPER(E203),""CONGRESO""),1,0)"),0.0)</f>
        <v>0</v>
      </c>
    </row>
    <row r="204" ht="15.75" customHeight="1">
      <c r="A204" s="5" t="s">
        <v>567</v>
      </c>
      <c r="B204" s="5" t="s">
        <v>624</v>
      </c>
      <c r="C204" s="5" t="s">
        <v>625</v>
      </c>
      <c r="D204" s="5" t="s">
        <v>944</v>
      </c>
      <c r="E204" s="5" t="s">
        <v>1616</v>
      </c>
      <c r="F204" s="5" t="s">
        <v>1617</v>
      </c>
      <c r="G204" s="5" t="s">
        <v>1618</v>
      </c>
      <c r="H204" s="5" t="s">
        <v>35</v>
      </c>
      <c r="I204" s="5" t="s">
        <v>957</v>
      </c>
      <c r="J204" s="5" t="s">
        <v>957</v>
      </c>
      <c r="K204" s="5" t="s">
        <v>912</v>
      </c>
      <c r="L204" s="5" t="s">
        <v>35</v>
      </c>
      <c r="M204" s="5" t="s">
        <v>35</v>
      </c>
      <c r="N204" s="5" t="s">
        <v>1619</v>
      </c>
      <c r="P204" s="13">
        <f>IFERROR(__xludf.DUMMYFUNCTION("IF(REGEXMATCH(UPPER(E204),""CONGRESO""),1,0)"),0.0)</f>
        <v>0</v>
      </c>
    </row>
    <row r="205" ht="15.75" customHeight="1">
      <c r="A205" s="5" t="s">
        <v>567</v>
      </c>
      <c r="B205" s="5" t="s">
        <v>624</v>
      </c>
      <c r="C205" s="5" t="s">
        <v>625</v>
      </c>
      <c r="D205" s="5" t="s">
        <v>944</v>
      </c>
      <c r="E205" s="5" t="s">
        <v>1620</v>
      </c>
      <c r="F205" s="5" t="s">
        <v>1621</v>
      </c>
      <c r="G205" s="5" t="s">
        <v>1622</v>
      </c>
      <c r="H205" s="5" t="s">
        <v>35</v>
      </c>
      <c r="I205" s="5" t="s">
        <v>1623</v>
      </c>
      <c r="J205" s="5" t="s">
        <v>1094</v>
      </c>
      <c r="K205" s="5" t="s">
        <v>912</v>
      </c>
      <c r="L205" s="5" t="s">
        <v>35</v>
      </c>
      <c r="M205" s="5" t="s">
        <v>35</v>
      </c>
      <c r="N205" s="5" t="s">
        <v>1619</v>
      </c>
      <c r="P205" s="13">
        <f>IFERROR(__xludf.DUMMYFUNCTION("IF(REGEXMATCH(UPPER(E205),""CONGRESO""),1,0)"),0.0)</f>
        <v>0</v>
      </c>
    </row>
    <row r="206" ht="15.75" customHeight="1">
      <c r="A206" s="5" t="s">
        <v>567</v>
      </c>
      <c r="B206" s="5" t="s">
        <v>624</v>
      </c>
      <c r="C206" s="5" t="s">
        <v>625</v>
      </c>
      <c r="D206" s="5" t="s">
        <v>944</v>
      </c>
      <c r="E206" s="5" t="s">
        <v>1624</v>
      </c>
      <c r="F206" s="5" t="s">
        <v>1617</v>
      </c>
      <c r="G206" s="5" t="s">
        <v>1625</v>
      </c>
      <c r="H206" s="5" t="s">
        <v>35</v>
      </c>
      <c r="I206" s="5" t="s">
        <v>1094</v>
      </c>
      <c r="J206" s="5" t="s">
        <v>1128</v>
      </c>
      <c r="K206" s="5" t="s">
        <v>912</v>
      </c>
      <c r="L206" s="5" t="s">
        <v>35</v>
      </c>
      <c r="M206" s="5" t="s">
        <v>35</v>
      </c>
      <c r="N206" s="5" t="s">
        <v>1619</v>
      </c>
      <c r="P206" s="13">
        <f>IFERROR(__xludf.DUMMYFUNCTION("IF(REGEXMATCH(UPPER(E206),""CONGRESO""),1,0)"),0.0)</f>
        <v>0</v>
      </c>
    </row>
    <row r="207" ht="15.75" customHeight="1">
      <c r="A207" s="5" t="s">
        <v>567</v>
      </c>
      <c r="B207" s="5" t="s">
        <v>624</v>
      </c>
      <c r="C207" s="5" t="s">
        <v>625</v>
      </c>
      <c r="D207" s="5" t="s">
        <v>944</v>
      </c>
      <c r="E207" s="5" t="s">
        <v>1626</v>
      </c>
      <c r="F207" s="5" t="s">
        <v>1627</v>
      </c>
      <c r="G207" s="5" t="s">
        <v>1628</v>
      </c>
      <c r="H207" s="5" t="s">
        <v>35</v>
      </c>
      <c r="I207" s="5" t="s">
        <v>1056</v>
      </c>
      <c r="J207" s="5" t="s">
        <v>949</v>
      </c>
      <c r="K207" s="5" t="s">
        <v>912</v>
      </c>
      <c r="L207" s="5" t="s">
        <v>35</v>
      </c>
      <c r="M207" s="5" t="s">
        <v>35</v>
      </c>
      <c r="N207" s="5" t="s">
        <v>35</v>
      </c>
      <c r="P207" s="13">
        <f>IFERROR(__xludf.DUMMYFUNCTION("IF(REGEXMATCH(UPPER(E207),""CONGRESO""),1,0)"),0.0)</f>
        <v>0</v>
      </c>
    </row>
    <row r="208" ht="15.75" customHeight="1">
      <c r="A208" s="5" t="s">
        <v>567</v>
      </c>
      <c r="B208" s="5" t="s">
        <v>634</v>
      </c>
      <c r="C208" s="5" t="s">
        <v>635</v>
      </c>
      <c r="D208" s="5" t="s">
        <v>944</v>
      </c>
      <c r="E208" s="5" t="s">
        <v>1629</v>
      </c>
      <c r="F208" s="5" t="s">
        <v>1630</v>
      </c>
      <c r="G208" s="5" t="s">
        <v>1631</v>
      </c>
      <c r="H208" s="5" t="s">
        <v>1632</v>
      </c>
      <c r="I208" s="5" t="s">
        <v>957</v>
      </c>
      <c r="J208" s="5" t="s">
        <v>957</v>
      </c>
      <c r="K208" s="5" t="s">
        <v>912</v>
      </c>
      <c r="L208" s="5" t="s">
        <v>56</v>
      </c>
      <c r="M208" s="5" t="s">
        <v>56</v>
      </c>
      <c r="N208" s="5" t="s">
        <v>1169</v>
      </c>
      <c r="P208" s="13">
        <f>IFERROR(__xludf.DUMMYFUNCTION("IF(REGEXMATCH(UPPER(E208),""CONGRESO""),1,0)"),0.0)</f>
        <v>0</v>
      </c>
    </row>
    <row r="209" ht="15.75" customHeight="1">
      <c r="A209" s="5" t="s">
        <v>567</v>
      </c>
      <c r="B209" s="5" t="s">
        <v>643</v>
      </c>
      <c r="C209" s="5" t="s">
        <v>644</v>
      </c>
      <c r="D209" s="5" t="s">
        <v>944</v>
      </c>
      <c r="E209" s="5" t="s">
        <v>1633</v>
      </c>
      <c r="F209" s="5" t="s">
        <v>1227</v>
      </c>
      <c r="G209" s="5" t="s">
        <v>1634</v>
      </c>
      <c r="H209" s="5" t="s">
        <v>1635</v>
      </c>
      <c r="I209" s="5" t="s">
        <v>1636</v>
      </c>
      <c r="J209" s="5" t="s">
        <v>957</v>
      </c>
      <c r="K209" s="5" t="s">
        <v>912</v>
      </c>
      <c r="L209" s="5" t="s">
        <v>105</v>
      </c>
      <c r="M209" s="5" t="s">
        <v>327</v>
      </c>
      <c r="N209" s="5" t="s">
        <v>327</v>
      </c>
      <c r="P209" s="13">
        <f>IFERROR(__xludf.DUMMYFUNCTION("IF(REGEXMATCH(UPPER(E209),""CONGRESO""),1,0)"),0.0)</f>
        <v>0</v>
      </c>
    </row>
    <row r="210" ht="15.75" customHeight="1">
      <c r="A210" s="5" t="s">
        <v>567</v>
      </c>
      <c r="B210" s="5" t="s">
        <v>651</v>
      </c>
      <c r="C210" s="5" t="s">
        <v>652</v>
      </c>
      <c r="D210" s="5" t="s">
        <v>944</v>
      </c>
      <c r="E210" s="5" t="s">
        <v>1637</v>
      </c>
      <c r="F210" s="5" t="s">
        <v>1222</v>
      </c>
      <c r="G210" s="5" t="s">
        <v>1638</v>
      </c>
      <c r="H210" s="5" t="s">
        <v>56</v>
      </c>
      <c r="I210" s="5" t="s">
        <v>950</v>
      </c>
      <c r="J210" s="5" t="s">
        <v>956</v>
      </c>
      <c r="K210" s="5" t="s">
        <v>912</v>
      </c>
      <c r="L210" s="5" t="s">
        <v>56</v>
      </c>
      <c r="M210" s="5" t="s">
        <v>56</v>
      </c>
      <c r="N210" s="5" t="s">
        <v>97</v>
      </c>
      <c r="O210" s="5" t="s">
        <v>1639</v>
      </c>
      <c r="P210" s="13">
        <f>IFERROR(__xludf.DUMMYFUNCTION("IF(REGEXMATCH(UPPER(E210),""CONGRESO""),1,0)"),0.0)</f>
        <v>0</v>
      </c>
    </row>
    <row r="211" ht="15.75" customHeight="1">
      <c r="A211" s="5" t="s">
        <v>567</v>
      </c>
      <c r="B211" s="5" t="s">
        <v>651</v>
      </c>
      <c r="C211" s="5" t="s">
        <v>652</v>
      </c>
      <c r="D211" s="5" t="s">
        <v>944</v>
      </c>
      <c r="E211" s="5" t="s">
        <v>1107</v>
      </c>
      <c r="F211" s="5" t="s">
        <v>1144</v>
      </c>
      <c r="G211" s="5" t="s">
        <v>1100</v>
      </c>
      <c r="H211" s="5" t="s">
        <v>56</v>
      </c>
      <c r="I211" s="5" t="s">
        <v>950</v>
      </c>
      <c r="J211" s="5" t="s">
        <v>950</v>
      </c>
      <c r="K211" s="5" t="s">
        <v>912</v>
      </c>
      <c r="L211" s="5" t="s">
        <v>56</v>
      </c>
      <c r="M211" s="5" t="s">
        <v>56</v>
      </c>
      <c r="N211" s="5" t="s">
        <v>56</v>
      </c>
      <c r="O211" s="5" t="s">
        <v>1640</v>
      </c>
      <c r="P211" s="13">
        <f>IFERROR(__xludf.DUMMYFUNCTION("IF(REGEXMATCH(UPPER(E211),""CONGRESO""),1,0)"),1.0)</f>
        <v>1</v>
      </c>
    </row>
    <row r="212" ht="15.75" customHeight="1">
      <c r="A212" s="5" t="s">
        <v>567</v>
      </c>
      <c r="B212" s="5" t="s">
        <v>651</v>
      </c>
      <c r="C212" s="5" t="s">
        <v>652</v>
      </c>
      <c r="D212" s="5" t="s">
        <v>944</v>
      </c>
      <c r="E212" s="5" t="s">
        <v>1641</v>
      </c>
      <c r="F212" s="5" t="s">
        <v>1642</v>
      </c>
      <c r="H212" s="5" t="s">
        <v>1643</v>
      </c>
      <c r="I212" s="5" t="s">
        <v>968</v>
      </c>
      <c r="J212" s="5" t="s">
        <v>968</v>
      </c>
      <c r="K212" s="5" t="s">
        <v>912</v>
      </c>
      <c r="L212" s="5" t="s">
        <v>56</v>
      </c>
      <c r="M212" s="5" t="s">
        <v>56</v>
      </c>
      <c r="N212" s="5" t="s">
        <v>97</v>
      </c>
      <c r="O212" s="5" t="s">
        <v>1644</v>
      </c>
      <c r="P212" s="13">
        <f>IFERROR(__xludf.DUMMYFUNCTION("IF(REGEXMATCH(UPPER(E212),""CONGRESO""),1,0)"),0.0)</f>
        <v>0</v>
      </c>
    </row>
    <row r="213" ht="15.75" customHeight="1">
      <c r="A213" s="5" t="s">
        <v>567</v>
      </c>
      <c r="B213" s="5" t="s">
        <v>651</v>
      </c>
      <c r="C213" s="5" t="s">
        <v>652</v>
      </c>
      <c r="D213" s="5" t="s">
        <v>944</v>
      </c>
      <c r="E213" s="5" t="s">
        <v>1107</v>
      </c>
      <c r="F213" s="5" t="s">
        <v>1144</v>
      </c>
      <c r="G213" s="5" t="s">
        <v>1100</v>
      </c>
      <c r="H213" s="5" t="s">
        <v>56</v>
      </c>
      <c r="I213" s="5" t="s">
        <v>1145</v>
      </c>
      <c r="J213" s="5" t="s">
        <v>949</v>
      </c>
      <c r="K213" s="5" t="s">
        <v>912</v>
      </c>
      <c r="L213" s="5" t="s">
        <v>56</v>
      </c>
      <c r="M213" s="5" t="s">
        <v>56</v>
      </c>
      <c r="N213" s="5" t="s">
        <v>56</v>
      </c>
      <c r="O213" s="5" t="s">
        <v>1640</v>
      </c>
      <c r="P213" s="13">
        <f>IFERROR(__xludf.DUMMYFUNCTION("IF(REGEXMATCH(UPPER(E213),""CONGRESO""),1,0)"),1.0)</f>
        <v>1</v>
      </c>
    </row>
    <row r="214" ht="15.75" customHeight="1">
      <c r="A214" s="5" t="s">
        <v>567</v>
      </c>
      <c r="B214" s="5" t="s">
        <v>651</v>
      </c>
      <c r="C214" s="5" t="s">
        <v>652</v>
      </c>
      <c r="D214" s="5" t="s">
        <v>944</v>
      </c>
      <c r="E214" s="5" t="s">
        <v>1107</v>
      </c>
      <c r="F214" s="5" t="s">
        <v>1178</v>
      </c>
      <c r="G214" s="5" t="s">
        <v>1100</v>
      </c>
      <c r="H214" s="5" t="s">
        <v>56</v>
      </c>
      <c r="I214" s="5" t="s">
        <v>1006</v>
      </c>
      <c r="J214" s="5" t="s">
        <v>1006</v>
      </c>
      <c r="K214" s="5" t="s">
        <v>912</v>
      </c>
      <c r="L214" s="5" t="s">
        <v>56</v>
      </c>
      <c r="M214" s="5" t="s">
        <v>56</v>
      </c>
      <c r="N214" s="5" t="s">
        <v>56</v>
      </c>
      <c r="O214" s="5" t="s">
        <v>1640</v>
      </c>
      <c r="P214" s="13">
        <f>IFERROR(__xludf.DUMMYFUNCTION("IF(REGEXMATCH(UPPER(E214),""CONGRESO""),1,0)"),1.0)</f>
        <v>1</v>
      </c>
    </row>
    <row r="215" ht="15.75" customHeight="1">
      <c r="A215" s="5" t="s">
        <v>567</v>
      </c>
      <c r="B215" s="5" t="s">
        <v>659</v>
      </c>
      <c r="C215" s="5" t="s">
        <v>660</v>
      </c>
      <c r="D215" s="5" t="s">
        <v>944</v>
      </c>
      <c r="E215" s="5" t="s">
        <v>1645</v>
      </c>
      <c r="F215" s="5" t="s">
        <v>1646</v>
      </c>
      <c r="G215" s="5" t="s">
        <v>1064</v>
      </c>
      <c r="H215" s="5" t="s">
        <v>1647</v>
      </c>
      <c r="I215" s="5" t="s">
        <v>1128</v>
      </c>
      <c r="J215" s="5" t="s">
        <v>950</v>
      </c>
      <c r="K215" s="5" t="s">
        <v>912</v>
      </c>
      <c r="L215" s="5" t="s">
        <v>56</v>
      </c>
      <c r="M215" s="5" t="s">
        <v>56</v>
      </c>
      <c r="N215" s="5" t="s">
        <v>56</v>
      </c>
      <c r="P215" s="13">
        <f>IFERROR(__xludf.DUMMYFUNCTION("IF(REGEXMATCH(UPPER(E215),""CONGRESO""),1,0)"),0.0)</f>
        <v>0</v>
      </c>
    </row>
    <row r="216" ht="15.75" customHeight="1">
      <c r="A216" s="5" t="s">
        <v>567</v>
      </c>
      <c r="B216" s="5" t="s">
        <v>659</v>
      </c>
      <c r="C216" s="5" t="s">
        <v>660</v>
      </c>
      <c r="D216" s="5" t="s">
        <v>944</v>
      </c>
      <c r="E216" s="5" t="s">
        <v>1648</v>
      </c>
      <c r="F216" s="5" t="s">
        <v>1630</v>
      </c>
      <c r="G216" s="5" t="s">
        <v>1649</v>
      </c>
      <c r="H216" s="5" t="s">
        <v>1650</v>
      </c>
      <c r="I216" s="5" t="s">
        <v>957</v>
      </c>
      <c r="J216" s="5" t="s">
        <v>957</v>
      </c>
      <c r="K216" s="5" t="s">
        <v>912</v>
      </c>
      <c r="L216" s="5" t="s">
        <v>56</v>
      </c>
      <c r="M216" s="5" t="s">
        <v>56</v>
      </c>
      <c r="N216" s="5" t="s">
        <v>1651</v>
      </c>
      <c r="O216" s="5" t="s">
        <v>1652</v>
      </c>
      <c r="P216" s="13">
        <f>IFERROR(__xludf.DUMMYFUNCTION("IF(REGEXMATCH(UPPER(E216),""CONGRESO""),1,0)"),0.0)</f>
        <v>0</v>
      </c>
    </row>
    <row r="217" ht="15.75" customHeight="1">
      <c r="A217" s="5" t="s">
        <v>567</v>
      </c>
      <c r="B217" s="5" t="s">
        <v>659</v>
      </c>
      <c r="C217" s="5" t="s">
        <v>660</v>
      </c>
      <c r="D217" s="5" t="s">
        <v>944</v>
      </c>
      <c r="E217" s="5" t="s">
        <v>1653</v>
      </c>
      <c r="F217" s="5" t="s">
        <v>1654</v>
      </c>
      <c r="G217" s="5" t="s">
        <v>1655</v>
      </c>
      <c r="H217" s="5" t="s">
        <v>1656</v>
      </c>
      <c r="I217" s="5" t="s">
        <v>968</v>
      </c>
      <c r="J217" s="5" t="s">
        <v>957</v>
      </c>
      <c r="K217" s="5" t="s">
        <v>912</v>
      </c>
      <c r="L217" s="5" t="s">
        <v>56</v>
      </c>
      <c r="M217" s="5" t="s">
        <v>56</v>
      </c>
      <c r="N217" s="5" t="s">
        <v>56</v>
      </c>
      <c r="O217" s="5" t="s">
        <v>1657</v>
      </c>
      <c r="P217" s="13">
        <f>IFERROR(__xludf.DUMMYFUNCTION("IF(REGEXMATCH(UPPER(E217),""CONGRESO""),1,0)"),0.0)</f>
        <v>0</v>
      </c>
    </row>
    <row r="218" ht="15.75" customHeight="1">
      <c r="A218" s="5" t="s">
        <v>567</v>
      </c>
      <c r="B218" s="5" t="s">
        <v>667</v>
      </c>
      <c r="C218" s="5" t="s">
        <v>668</v>
      </c>
      <c r="D218" s="5" t="s">
        <v>944</v>
      </c>
      <c r="E218" s="5" t="s">
        <v>1658</v>
      </c>
      <c r="F218" s="5" t="s">
        <v>1659</v>
      </c>
      <c r="G218" s="5" t="s">
        <v>1660</v>
      </c>
      <c r="H218" s="5" t="s">
        <v>196</v>
      </c>
      <c r="I218" s="5" t="s">
        <v>1661</v>
      </c>
      <c r="J218" s="5" t="s">
        <v>1111</v>
      </c>
      <c r="K218" s="5" t="s">
        <v>912</v>
      </c>
      <c r="L218" s="5" t="s">
        <v>196</v>
      </c>
      <c r="M218" s="5" t="s">
        <v>197</v>
      </c>
      <c r="N218" s="5" t="s">
        <v>1662</v>
      </c>
      <c r="O218" s="5" t="s">
        <v>1663</v>
      </c>
      <c r="P218" s="13">
        <f>IFERROR(__xludf.DUMMYFUNCTION("IF(REGEXMATCH(UPPER(E218),""CONGRESO""),1,0)"),0.0)</f>
        <v>0</v>
      </c>
    </row>
    <row r="219" ht="15.75" customHeight="1">
      <c r="A219" s="5" t="s">
        <v>567</v>
      </c>
      <c r="B219" s="5" t="s">
        <v>674</v>
      </c>
      <c r="C219" s="5" t="s">
        <v>675</v>
      </c>
      <c r="D219" s="5" t="s">
        <v>944</v>
      </c>
      <c r="E219" s="5" t="s">
        <v>1664</v>
      </c>
      <c r="F219" s="5" t="s">
        <v>990</v>
      </c>
      <c r="G219" s="5" t="s">
        <v>1665</v>
      </c>
      <c r="H219" s="5" t="s">
        <v>1666</v>
      </c>
      <c r="I219" s="5" t="s">
        <v>957</v>
      </c>
      <c r="J219" s="5" t="s">
        <v>957</v>
      </c>
      <c r="K219" s="5" t="s">
        <v>912</v>
      </c>
      <c r="L219" s="5" t="s">
        <v>416</v>
      </c>
      <c r="M219" s="5" t="s">
        <v>416</v>
      </c>
      <c r="N219" s="5" t="s">
        <v>416</v>
      </c>
      <c r="P219" s="13">
        <f>IFERROR(__xludf.DUMMYFUNCTION("IF(REGEXMATCH(UPPER(E219),""CONGRESO""),1,0)"),0.0)</f>
        <v>0</v>
      </c>
    </row>
    <row r="220" ht="15.75" customHeight="1">
      <c r="A220" s="5" t="s">
        <v>682</v>
      </c>
      <c r="B220" s="5" t="s">
        <v>683</v>
      </c>
      <c r="C220" s="5" t="s">
        <v>684</v>
      </c>
      <c r="D220" s="5" t="s">
        <v>944</v>
      </c>
      <c r="E220" s="5" t="s">
        <v>1667</v>
      </c>
      <c r="F220" s="5" t="s">
        <v>1668</v>
      </c>
      <c r="G220" s="5" t="s">
        <v>1669</v>
      </c>
      <c r="H220" s="5" t="s">
        <v>1670</v>
      </c>
      <c r="I220" s="5" t="s">
        <v>956</v>
      </c>
      <c r="J220" s="5" t="s">
        <v>956</v>
      </c>
      <c r="K220" s="5" t="s">
        <v>912</v>
      </c>
      <c r="L220" s="5" t="s">
        <v>56</v>
      </c>
      <c r="M220" s="5" t="s">
        <v>56</v>
      </c>
      <c r="N220" s="5" t="s">
        <v>250</v>
      </c>
      <c r="P220" s="13">
        <f>IFERROR(__xludf.DUMMYFUNCTION("IF(REGEXMATCH(UPPER(E220),""CONGRESO""),1,0)"),0.0)</f>
        <v>0</v>
      </c>
    </row>
    <row r="221" ht="15.75" customHeight="1">
      <c r="A221" s="5" t="s">
        <v>682</v>
      </c>
      <c r="B221" s="5" t="s">
        <v>683</v>
      </c>
      <c r="C221" s="5" t="s">
        <v>684</v>
      </c>
      <c r="D221" s="5" t="s">
        <v>944</v>
      </c>
      <c r="E221" s="5" t="s">
        <v>1671</v>
      </c>
      <c r="F221" s="5" t="s">
        <v>1672</v>
      </c>
      <c r="G221" s="5" t="s">
        <v>1673</v>
      </c>
      <c r="H221" s="5" t="s">
        <v>1674</v>
      </c>
      <c r="I221" s="5" t="s">
        <v>1145</v>
      </c>
      <c r="J221" s="5" t="s">
        <v>949</v>
      </c>
      <c r="K221" s="5" t="s">
        <v>912</v>
      </c>
      <c r="L221" s="5" t="s">
        <v>56</v>
      </c>
      <c r="M221" s="5" t="s">
        <v>56</v>
      </c>
      <c r="N221" s="5" t="s">
        <v>640</v>
      </c>
      <c r="P221" s="13">
        <f>IFERROR(__xludf.DUMMYFUNCTION("IF(REGEXMATCH(UPPER(E221),""CONGRESO""),1,0)"),0.0)</f>
        <v>0</v>
      </c>
    </row>
    <row r="222" ht="15.75" customHeight="1">
      <c r="A222" s="5" t="s">
        <v>682</v>
      </c>
      <c r="B222" s="5" t="s">
        <v>683</v>
      </c>
      <c r="C222" s="5" t="s">
        <v>684</v>
      </c>
      <c r="D222" s="5" t="s">
        <v>944</v>
      </c>
      <c r="E222" s="5" t="s">
        <v>1675</v>
      </c>
      <c r="F222" s="5" t="s">
        <v>1676</v>
      </c>
      <c r="G222" s="5" t="s">
        <v>1677</v>
      </c>
      <c r="H222" s="5" t="s">
        <v>1678</v>
      </c>
      <c r="I222" s="5" t="s">
        <v>949</v>
      </c>
      <c r="J222" s="5" t="s">
        <v>1006</v>
      </c>
      <c r="K222" s="5" t="s">
        <v>912</v>
      </c>
      <c r="L222" s="5" t="s">
        <v>56</v>
      </c>
      <c r="M222" s="5" t="s">
        <v>56</v>
      </c>
      <c r="N222" s="5" t="s">
        <v>77</v>
      </c>
      <c r="P222" s="13">
        <f>IFERROR(__xludf.DUMMYFUNCTION("IF(REGEXMATCH(UPPER(E222),""CONGRESO""),1,0)"),0.0)</f>
        <v>0</v>
      </c>
    </row>
    <row r="223" ht="15.75" customHeight="1">
      <c r="A223" s="5" t="s">
        <v>682</v>
      </c>
      <c r="B223" s="5" t="s">
        <v>683</v>
      </c>
      <c r="C223" s="5" t="s">
        <v>684</v>
      </c>
      <c r="D223" s="5" t="s">
        <v>944</v>
      </c>
      <c r="E223" s="5" t="s">
        <v>1679</v>
      </c>
      <c r="F223" s="5" t="s">
        <v>1680</v>
      </c>
      <c r="G223" s="5" t="s">
        <v>1681</v>
      </c>
      <c r="H223" s="5" t="s">
        <v>1682</v>
      </c>
      <c r="I223" s="5" t="s">
        <v>1623</v>
      </c>
      <c r="J223" s="5" t="s">
        <v>1128</v>
      </c>
      <c r="K223" s="5" t="s">
        <v>912</v>
      </c>
      <c r="L223" s="5" t="s">
        <v>56</v>
      </c>
      <c r="M223" s="5" t="s">
        <v>56</v>
      </c>
      <c r="N223" s="5" t="s">
        <v>1683</v>
      </c>
      <c r="P223" s="13">
        <f>IFERROR(__xludf.DUMMYFUNCTION("IF(REGEXMATCH(UPPER(E223),""CONGRESO""),1,0)"),0.0)</f>
        <v>0</v>
      </c>
    </row>
    <row r="224" ht="15.75" customHeight="1">
      <c r="A224" s="5" t="s">
        <v>682</v>
      </c>
      <c r="B224" s="5" t="s">
        <v>683</v>
      </c>
      <c r="C224" s="5" t="s">
        <v>684</v>
      </c>
      <c r="D224" s="5" t="s">
        <v>944</v>
      </c>
      <c r="E224" s="5" t="s">
        <v>1684</v>
      </c>
      <c r="F224" s="5" t="s">
        <v>1455</v>
      </c>
      <c r="G224" s="5" t="s">
        <v>1685</v>
      </c>
      <c r="H224" s="5" t="s">
        <v>1686</v>
      </c>
      <c r="I224" s="5" t="s">
        <v>949</v>
      </c>
      <c r="J224" s="5" t="s">
        <v>957</v>
      </c>
      <c r="K224" s="5" t="s">
        <v>912</v>
      </c>
      <c r="L224" s="5" t="s">
        <v>56</v>
      </c>
      <c r="M224" s="5" t="s">
        <v>56</v>
      </c>
      <c r="N224" s="5" t="s">
        <v>250</v>
      </c>
      <c r="P224" s="13">
        <f>IFERROR(__xludf.DUMMYFUNCTION("IF(REGEXMATCH(UPPER(E224),""CONGRESO""),1,0)"),0.0)</f>
        <v>0</v>
      </c>
    </row>
    <row r="225" ht="15.75" customHeight="1">
      <c r="A225" s="5" t="s">
        <v>682</v>
      </c>
      <c r="B225" s="5" t="s">
        <v>691</v>
      </c>
      <c r="C225" s="5" t="s">
        <v>692</v>
      </c>
      <c r="D225" s="5" t="s">
        <v>944</v>
      </c>
      <c r="E225" s="5" t="s">
        <v>1687</v>
      </c>
      <c r="F225" s="5" t="s">
        <v>1688</v>
      </c>
      <c r="G225" s="5" t="s">
        <v>1689</v>
      </c>
      <c r="H225" s="5" t="s">
        <v>1690</v>
      </c>
      <c r="I225" s="5" t="s">
        <v>968</v>
      </c>
      <c r="J225" s="5" t="s">
        <v>957</v>
      </c>
      <c r="K225" s="5" t="s">
        <v>912</v>
      </c>
      <c r="L225" s="5" t="s">
        <v>56</v>
      </c>
      <c r="M225" s="5" t="s">
        <v>56</v>
      </c>
      <c r="N225" s="5" t="s">
        <v>1691</v>
      </c>
      <c r="P225" s="13">
        <f>IFERROR(__xludf.DUMMYFUNCTION("IF(REGEXMATCH(UPPER(E225),""CONGRESO""),1,0)"),0.0)</f>
        <v>0</v>
      </c>
    </row>
    <row r="226" ht="15.75" customHeight="1">
      <c r="A226" s="5" t="s">
        <v>682</v>
      </c>
      <c r="B226" s="5" t="s">
        <v>691</v>
      </c>
      <c r="C226" s="5" t="s">
        <v>692</v>
      </c>
      <c r="D226" s="5" t="s">
        <v>944</v>
      </c>
      <c r="E226" s="5" t="s">
        <v>1692</v>
      </c>
      <c r="F226" s="5" t="s">
        <v>1693</v>
      </c>
      <c r="G226" s="5" t="s">
        <v>1694</v>
      </c>
      <c r="H226" s="5" t="s">
        <v>1695</v>
      </c>
      <c r="I226" s="5" t="s">
        <v>1006</v>
      </c>
      <c r="J226" s="5" t="s">
        <v>957</v>
      </c>
      <c r="K226" s="5" t="s">
        <v>912</v>
      </c>
      <c r="L226" s="5" t="s">
        <v>56</v>
      </c>
      <c r="M226" s="5" t="s">
        <v>56</v>
      </c>
      <c r="N226" s="5" t="s">
        <v>176</v>
      </c>
      <c r="O226" s="5" t="s">
        <v>1696</v>
      </c>
      <c r="P226" s="13">
        <f>IFERROR(__xludf.DUMMYFUNCTION("IF(REGEXMATCH(UPPER(E226),""CONGRESO""),1,0)"),0.0)</f>
        <v>0</v>
      </c>
    </row>
    <row r="227" ht="15.75" customHeight="1">
      <c r="A227" s="5" t="s">
        <v>682</v>
      </c>
      <c r="B227" s="5" t="s">
        <v>699</v>
      </c>
      <c r="C227" s="5" t="s">
        <v>700</v>
      </c>
      <c r="D227" s="5" t="s">
        <v>944</v>
      </c>
      <c r="E227" s="5" t="s">
        <v>1697</v>
      </c>
      <c r="F227" s="5" t="s">
        <v>1227</v>
      </c>
      <c r="G227" s="5" t="s">
        <v>1698</v>
      </c>
      <c r="H227" s="5" t="s">
        <v>1699</v>
      </c>
      <c r="I227" s="5" t="s">
        <v>1235</v>
      </c>
      <c r="J227" s="5" t="s">
        <v>957</v>
      </c>
      <c r="K227" s="5" t="s">
        <v>912</v>
      </c>
      <c r="L227" s="5" t="s">
        <v>196</v>
      </c>
      <c r="M227" s="5" t="s">
        <v>197</v>
      </c>
      <c r="N227" s="5" t="s">
        <v>197</v>
      </c>
      <c r="P227" s="13">
        <f>IFERROR(__xludf.DUMMYFUNCTION("IF(REGEXMATCH(UPPER(E227),""CONGRESO""),1,0)"),0.0)</f>
        <v>0</v>
      </c>
    </row>
    <row r="228" ht="15.75" customHeight="1">
      <c r="A228" s="5" t="s">
        <v>682</v>
      </c>
      <c r="B228" s="5" t="s">
        <v>707</v>
      </c>
      <c r="C228" s="5" t="s">
        <v>708</v>
      </c>
      <c r="D228" s="5" t="s">
        <v>944</v>
      </c>
      <c r="E228" s="5" t="s">
        <v>1700</v>
      </c>
      <c r="F228" s="5" t="s">
        <v>1701</v>
      </c>
      <c r="H228" s="5" t="s">
        <v>1702</v>
      </c>
      <c r="I228" s="5" t="s">
        <v>974</v>
      </c>
      <c r="J228" s="5" t="s">
        <v>957</v>
      </c>
      <c r="K228" s="5" t="s">
        <v>912</v>
      </c>
      <c r="L228" s="5" t="s">
        <v>56</v>
      </c>
      <c r="M228" s="5" t="s">
        <v>56</v>
      </c>
      <c r="N228" s="5" t="s">
        <v>1490</v>
      </c>
      <c r="P228" s="13">
        <f>IFERROR(__xludf.DUMMYFUNCTION("IF(REGEXMATCH(UPPER(E228),""CONGRESO""),1,0)"),0.0)</f>
        <v>0</v>
      </c>
    </row>
    <row r="229" ht="15.75" customHeight="1">
      <c r="A229" s="5" t="s">
        <v>682</v>
      </c>
      <c r="B229" s="5" t="s">
        <v>715</v>
      </c>
      <c r="C229" s="5" t="s">
        <v>716</v>
      </c>
      <c r="D229" s="5" t="s">
        <v>944</v>
      </c>
      <c r="E229" s="5" t="s">
        <v>1703</v>
      </c>
      <c r="F229" s="5" t="s">
        <v>1704</v>
      </c>
      <c r="G229" s="5" t="s">
        <v>1705</v>
      </c>
      <c r="H229" s="5" t="s">
        <v>1706</v>
      </c>
      <c r="I229" s="5" t="s">
        <v>1623</v>
      </c>
      <c r="J229" s="5" t="s">
        <v>957</v>
      </c>
      <c r="K229" s="5" t="s">
        <v>912</v>
      </c>
      <c r="L229" s="5" t="s">
        <v>56</v>
      </c>
      <c r="M229" s="5" t="s">
        <v>56</v>
      </c>
      <c r="N229" s="5" t="s">
        <v>77</v>
      </c>
      <c r="P229" s="13">
        <f>IFERROR(__xludf.DUMMYFUNCTION("IF(REGEXMATCH(UPPER(E229),""CONGRESO""),1,0)"),0.0)</f>
        <v>0</v>
      </c>
    </row>
    <row r="230" ht="15.75" customHeight="1">
      <c r="A230" s="5" t="s">
        <v>682</v>
      </c>
      <c r="B230" s="5" t="s">
        <v>725</v>
      </c>
      <c r="C230" s="5" t="s">
        <v>726</v>
      </c>
      <c r="D230" s="5" t="s">
        <v>1560</v>
      </c>
      <c r="P230" s="13">
        <f>IFERROR(__xludf.DUMMYFUNCTION("IF(REGEXMATCH(UPPER(E230),""CONGRESO""),1,0)"),0.0)</f>
        <v>0</v>
      </c>
    </row>
    <row r="231" ht="15.75" customHeight="1">
      <c r="A231" s="5" t="s">
        <v>682</v>
      </c>
      <c r="B231" s="5" t="s">
        <v>732</v>
      </c>
      <c r="C231" s="5" t="s">
        <v>733</v>
      </c>
      <c r="D231" s="5" t="s">
        <v>944</v>
      </c>
      <c r="E231" s="5" t="s">
        <v>1707</v>
      </c>
      <c r="F231" s="5" t="s">
        <v>1708</v>
      </c>
      <c r="G231" s="5" t="s">
        <v>1709</v>
      </c>
      <c r="H231" s="5" t="s">
        <v>1710</v>
      </c>
      <c r="I231" s="5" t="s">
        <v>1636</v>
      </c>
      <c r="J231" s="5" t="s">
        <v>1128</v>
      </c>
      <c r="K231" s="5" t="s">
        <v>912</v>
      </c>
      <c r="L231" s="5" t="s">
        <v>35</v>
      </c>
      <c r="M231" s="5" t="s">
        <v>35</v>
      </c>
      <c r="N231" s="5" t="s">
        <v>951</v>
      </c>
      <c r="P231" s="13">
        <f>IFERROR(__xludf.DUMMYFUNCTION("IF(REGEXMATCH(UPPER(E231),""CONGRESO""),1,0)"),0.0)</f>
        <v>0</v>
      </c>
    </row>
    <row r="232" ht="15.75" customHeight="1">
      <c r="A232" s="5" t="s">
        <v>682</v>
      </c>
      <c r="B232" s="5" t="s">
        <v>732</v>
      </c>
      <c r="C232" s="5" t="s">
        <v>733</v>
      </c>
      <c r="D232" s="5" t="s">
        <v>944</v>
      </c>
      <c r="E232" s="5" t="s">
        <v>1711</v>
      </c>
      <c r="F232" s="5" t="s">
        <v>1712</v>
      </c>
      <c r="G232" s="5" t="s">
        <v>1713</v>
      </c>
      <c r="H232" s="5" t="s">
        <v>1714</v>
      </c>
      <c r="I232" s="5" t="s">
        <v>1056</v>
      </c>
      <c r="J232" s="5" t="s">
        <v>1006</v>
      </c>
      <c r="K232" s="5" t="s">
        <v>912</v>
      </c>
      <c r="L232" s="5" t="s">
        <v>35</v>
      </c>
      <c r="M232" s="5" t="s">
        <v>35</v>
      </c>
      <c r="N232" s="5" t="s">
        <v>35</v>
      </c>
      <c r="P232" s="13">
        <f>IFERROR(__xludf.DUMMYFUNCTION("IF(REGEXMATCH(UPPER(E232),""CONGRESO""),1,0)"),0.0)</f>
        <v>0</v>
      </c>
    </row>
    <row r="233" ht="15.75" customHeight="1">
      <c r="A233" s="5" t="s">
        <v>682</v>
      </c>
      <c r="B233" s="5" t="s">
        <v>739</v>
      </c>
      <c r="C233" s="5" t="s">
        <v>740</v>
      </c>
      <c r="D233" s="5" t="s">
        <v>944</v>
      </c>
      <c r="E233" s="5" t="s">
        <v>1715</v>
      </c>
      <c r="F233" s="5" t="s">
        <v>1716</v>
      </c>
      <c r="G233" s="5" t="s">
        <v>1717</v>
      </c>
      <c r="H233" s="5" t="s">
        <v>1718</v>
      </c>
      <c r="I233" s="5" t="s">
        <v>1110</v>
      </c>
      <c r="J233" s="5" t="s">
        <v>1623</v>
      </c>
      <c r="K233" s="5" t="s">
        <v>912</v>
      </c>
      <c r="L233" s="5" t="s">
        <v>35</v>
      </c>
      <c r="M233" s="5" t="s">
        <v>1719</v>
      </c>
      <c r="N233" s="5" t="s">
        <v>1720</v>
      </c>
      <c r="P233" s="13">
        <f>IFERROR(__xludf.DUMMYFUNCTION("IF(REGEXMATCH(UPPER(E233),""CONGRESO""),1,0)"),0.0)</f>
        <v>0</v>
      </c>
    </row>
    <row r="234" ht="15.75" customHeight="1">
      <c r="A234" s="5" t="s">
        <v>682</v>
      </c>
      <c r="B234" s="5" t="s">
        <v>739</v>
      </c>
      <c r="C234" s="5" t="s">
        <v>740</v>
      </c>
      <c r="D234" s="5" t="s">
        <v>944</v>
      </c>
      <c r="E234" s="5" t="s">
        <v>1721</v>
      </c>
      <c r="F234" s="5" t="s">
        <v>1716</v>
      </c>
      <c r="G234" s="5" t="s">
        <v>1722</v>
      </c>
      <c r="H234" s="5" t="s">
        <v>1723</v>
      </c>
      <c r="I234" s="5" t="s">
        <v>968</v>
      </c>
      <c r="J234" s="5" t="s">
        <v>968</v>
      </c>
      <c r="K234" s="5" t="s">
        <v>912</v>
      </c>
      <c r="L234" s="5" t="s">
        <v>35</v>
      </c>
      <c r="M234" s="5" t="s">
        <v>1719</v>
      </c>
      <c r="N234" s="5" t="s">
        <v>1720</v>
      </c>
      <c r="P234" s="13">
        <f>IFERROR(__xludf.DUMMYFUNCTION("IF(REGEXMATCH(UPPER(E234),""CONGRESO""),1,0)"),0.0)</f>
        <v>0</v>
      </c>
    </row>
    <row r="235" ht="15.75" customHeight="1">
      <c r="A235" s="5" t="s">
        <v>682</v>
      </c>
      <c r="B235" s="5" t="s">
        <v>739</v>
      </c>
      <c r="C235" s="5" t="s">
        <v>740</v>
      </c>
      <c r="D235" s="5" t="s">
        <v>944</v>
      </c>
      <c r="E235" s="5" t="s">
        <v>1724</v>
      </c>
      <c r="F235" s="5" t="s">
        <v>1716</v>
      </c>
      <c r="G235" s="5" t="s">
        <v>1725</v>
      </c>
      <c r="H235" s="5" t="s">
        <v>1726</v>
      </c>
      <c r="I235" s="5" t="s">
        <v>1623</v>
      </c>
      <c r="J235" s="5" t="s">
        <v>1128</v>
      </c>
      <c r="K235" s="5" t="s">
        <v>912</v>
      </c>
      <c r="L235" s="5" t="s">
        <v>35</v>
      </c>
      <c r="M235" s="5" t="s">
        <v>1719</v>
      </c>
      <c r="N235" s="5" t="s">
        <v>1720</v>
      </c>
      <c r="P235" s="13">
        <f>IFERROR(__xludf.DUMMYFUNCTION("IF(REGEXMATCH(UPPER(E235),""CONGRESO""),1,0)"),0.0)</f>
        <v>0</v>
      </c>
    </row>
    <row r="236" ht="15.75" customHeight="1">
      <c r="A236" s="5" t="s">
        <v>682</v>
      </c>
      <c r="B236" s="5" t="s">
        <v>739</v>
      </c>
      <c r="C236" s="5" t="s">
        <v>740</v>
      </c>
      <c r="D236" s="5" t="s">
        <v>944</v>
      </c>
      <c r="E236" s="5" t="s">
        <v>1727</v>
      </c>
      <c r="F236" s="5" t="s">
        <v>1716</v>
      </c>
      <c r="G236" s="5" t="s">
        <v>1728</v>
      </c>
      <c r="H236" s="5" t="s">
        <v>1729</v>
      </c>
      <c r="I236" s="5" t="s">
        <v>1128</v>
      </c>
      <c r="J236" s="5" t="s">
        <v>1056</v>
      </c>
      <c r="K236" s="5" t="s">
        <v>912</v>
      </c>
      <c r="L236" s="5" t="s">
        <v>35</v>
      </c>
      <c r="M236" s="5" t="s">
        <v>1719</v>
      </c>
      <c r="N236" s="5" t="s">
        <v>1720</v>
      </c>
      <c r="P236" s="13">
        <f>IFERROR(__xludf.DUMMYFUNCTION("IF(REGEXMATCH(UPPER(E236),""CONGRESO""),1,0)"),0.0)</f>
        <v>0</v>
      </c>
    </row>
    <row r="237" ht="15.75" customHeight="1">
      <c r="A237" s="5" t="s">
        <v>682</v>
      </c>
      <c r="B237" s="5" t="s">
        <v>739</v>
      </c>
      <c r="C237" s="5" t="s">
        <v>740</v>
      </c>
      <c r="D237" s="5" t="s">
        <v>944</v>
      </c>
      <c r="E237" s="5" t="s">
        <v>1730</v>
      </c>
      <c r="F237" s="5" t="s">
        <v>1716</v>
      </c>
      <c r="G237" s="5" t="s">
        <v>1731</v>
      </c>
      <c r="H237" s="5" t="s">
        <v>1732</v>
      </c>
      <c r="I237" s="5" t="s">
        <v>968</v>
      </c>
      <c r="J237" s="5" t="s">
        <v>957</v>
      </c>
      <c r="K237" s="5" t="s">
        <v>912</v>
      </c>
      <c r="L237" s="5" t="s">
        <v>35</v>
      </c>
      <c r="M237" s="5" t="s">
        <v>1719</v>
      </c>
      <c r="N237" s="5" t="s">
        <v>1720</v>
      </c>
      <c r="P237" s="13">
        <f>IFERROR(__xludf.DUMMYFUNCTION("IF(REGEXMATCH(UPPER(E237),""CONGRESO""),1,0)"),0.0)</f>
        <v>0</v>
      </c>
    </row>
    <row r="238" ht="15.75" customHeight="1">
      <c r="A238" s="5" t="s">
        <v>682</v>
      </c>
      <c r="B238" s="5" t="s">
        <v>749</v>
      </c>
      <c r="C238" s="5" t="s">
        <v>750</v>
      </c>
      <c r="D238" s="5" t="s">
        <v>944</v>
      </c>
      <c r="E238" s="5" t="s">
        <v>1396</v>
      </c>
      <c r="F238" s="5" t="s">
        <v>1733</v>
      </c>
      <c r="G238" s="5" t="s">
        <v>1734</v>
      </c>
      <c r="H238" s="5" t="s">
        <v>1735</v>
      </c>
      <c r="I238" s="5" t="s">
        <v>1235</v>
      </c>
      <c r="J238" s="5" t="s">
        <v>957</v>
      </c>
      <c r="K238" s="5" t="s">
        <v>912</v>
      </c>
      <c r="L238" s="5" t="s">
        <v>186</v>
      </c>
      <c r="M238" s="5" t="s">
        <v>186</v>
      </c>
      <c r="N238" s="5" t="s">
        <v>1736</v>
      </c>
      <c r="P238" s="13">
        <f>IFERROR(__xludf.DUMMYFUNCTION("IF(REGEXMATCH(UPPER(E238),""CONGRESO""),1,0)"),0.0)</f>
        <v>0</v>
      </c>
    </row>
    <row r="239" ht="15.75" customHeight="1">
      <c r="A239" s="5" t="s">
        <v>682</v>
      </c>
      <c r="B239" s="5" t="s">
        <v>757</v>
      </c>
      <c r="C239" s="5" t="s">
        <v>758</v>
      </c>
      <c r="D239" s="5" t="s">
        <v>944</v>
      </c>
      <c r="E239" s="5" t="s">
        <v>1737</v>
      </c>
      <c r="F239" s="5" t="s">
        <v>959</v>
      </c>
      <c r="G239" s="5" t="s">
        <v>1738</v>
      </c>
      <c r="H239" s="5" t="s">
        <v>1739</v>
      </c>
      <c r="I239" s="5" t="s">
        <v>1740</v>
      </c>
      <c r="J239" s="5" t="s">
        <v>957</v>
      </c>
      <c r="K239" s="5" t="s">
        <v>912</v>
      </c>
      <c r="L239" s="5" t="s">
        <v>276</v>
      </c>
      <c r="M239" s="5" t="s">
        <v>389</v>
      </c>
      <c r="N239" s="5" t="s">
        <v>389</v>
      </c>
      <c r="P239" s="13">
        <f>IFERROR(__xludf.DUMMYFUNCTION("IF(REGEXMATCH(UPPER(E239),""CONGRESO""),1,0)"),0.0)</f>
        <v>0</v>
      </c>
    </row>
    <row r="240" ht="15.75" customHeight="1">
      <c r="A240" s="5" t="s">
        <v>682</v>
      </c>
      <c r="B240" s="5" t="s">
        <v>765</v>
      </c>
      <c r="C240" s="5" t="s">
        <v>766</v>
      </c>
      <c r="D240" s="5" t="s">
        <v>944</v>
      </c>
      <c r="E240" s="5" t="s">
        <v>1741</v>
      </c>
      <c r="F240" s="5" t="s">
        <v>1742</v>
      </c>
      <c r="G240" s="5" t="s">
        <v>1743</v>
      </c>
      <c r="H240" s="5" t="s">
        <v>1744</v>
      </c>
      <c r="I240" s="5" t="s">
        <v>950</v>
      </c>
      <c r="J240" s="5" t="s">
        <v>957</v>
      </c>
      <c r="K240" s="5" t="s">
        <v>912</v>
      </c>
      <c r="L240" s="5" t="s">
        <v>56</v>
      </c>
      <c r="M240" s="5" t="s">
        <v>56</v>
      </c>
      <c r="N240" s="5" t="s">
        <v>56</v>
      </c>
      <c r="P240" s="13">
        <f>IFERROR(__xludf.DUMMYFUNCTION("IF(REGEXMATCH(UPPER(E240),""CONGRESO""),1,0)"),0.0)</f>
        <v>0</v>
      </c>
    </row>
    <row r="241" ht="15.75" customHeight="1">
      <c r="A241" s="5" t="s">
        <v>682</v>
      </c>
      <c r="B241" s="5" t="s">
        <v>765</v>
      </c>
      <c r="C241" s="5" t="s">
        <v>766</v>
      </c>
      <c r="D241" s="5" t="s">
        <v>944</v>
      </c>
      <c r="E241" s="5" t="s">
        <v>1745</v>
      </c>
      <c r="F241" s="5" t="s">
        <v>1746</v>
      </c>
      <c r="G241" s="5" t="s">
        <v>1044</v>
      </c>
      <c r="H241" s="5" t="s">
        <v>1747</v>
      </c>
      <c r="I241" s="5" t="s">
        <v>1036</v>
      </c>
      <c r="J241" s="5" t="s">
        <v>974</v>
      </c>
      <c r="K241" s="5" t="s">
        <v>912</v>
      </c>
      <c r="L241" s="5" t="s">
        <v>177</v>
      </c>
      <c r="M241" s="5" t="s">
        <v>177</v>
      </c>
      <c r="N241" s="5" t="s">
        <v>1748</v>
      </c>
      <c r="P241" s="13">
        <f>IFERROR(__xludf.DUMMYFUNCTION("IF(REGEXMATCH(UPPER(E241),""CONGRESO""),1,0)"),0.0)</f>
        <v>0</v>
      </c>
    </row>
    <row r="242" ht="15.75" customHeight="1">
      <c r="A242" s="5" t="s">
        <v>682</v>
      </c>
      <c r="B242" s="5" t="s">
        <v>765</v>
      </c>
      <c r="C242" s="5" t="s">
        <v>766</v>
      </c>
      <c r="D242" s="5" t="s">
        <v>944</v>
      </c>
      <c r="E242" s="5" t="s">
        <v>1749</v>
      </c>
      <c r="F242" s="5" t="s">
        <v>1750</v>
      </c>
      <c r="G242" s="5" t="s">
        <v>1751</v>
      </c>
      <c r="H242" s="5" t="s">
        <v>1752</v>
      </c>
      <c r="I242" s="5" t="s">
        <v>1145</v>
      </c>
      <c r="J242" s="5" t="s">
        <v>1006</v>
      </c>
      <c r="K242" s="5" t="s">
        <v>912</v>
      </c>
      <c r="L242" s="5" t="s">
        <v>56</v>
      </c>
      <c r="M242" s="5" t="s">
        <v>56</v>
      </c>
      <c r="N242" s="5" t="s">
        <v>176</v>
      </c>
      <c r="P242" s="13">
        <f>IFERROR(__xludf.DUMMYFUNCTION("IF(REGEXMATCH(UPPER(E242),""CONGRESO""),1,0)"),0.0)</f>
        <v>0</v>
      </c>
    </row>
    <row r="243" ht="15.75" customHeight="1">
      <c r="A243" s="5" t="s">
        <v>682</v>
      </c>
      <c r="B243" s="5" t="s">
        <v>773</v>
      </c>
      <c r="C243" s="5" t="s">
        <v>774</v>
      </c>
      <c r="D243" s="5" t="s">
        <v>1560</v>
      </c>
      <c r="P243" s="13">
        <f>IFERROR(__xludf.DUMMYFUNCTION("IF(REGEXMATCH(UPPER(E243),""CONGRESO""),1,0)"),0.0)</f>
        <v>0</v>
      </c>
    </row>
    <row r="244" ht="15.75" customHeight="1">
      <c r="A244" s="5" t="s">
        <v>682</v>
      </c>
      <c r="B244" s="5" t="s">
        <v>782</v>
      </c>
      <c r="C244" s="5" t="s">
        <v>783</v>
      </c>
      <c r="D244" s="5" t="s">
        <v>944</v>
      </c>
      <c r="E244" s="5" t="s">
        <v>1753</v>
      </c>
      <c r="F244" s="5" t="s">
        <v>1455</v>
      </c>
      <c r="G244" s="5" t="s">
        <v>1754</v>
      </c>
      <c r="H244" s="5" t="s">
        <v>1755</v>
      </c>
      <c r="I244" s="5" t="s">
        <v>968</v>
      </c>
      <c r="J244" s="5" t="s">
        <v>957</v>
      </c>
      <c r="K244" s="5" t="s">
        <v>912</v>
      </c>
      <c r="L244" s="5" t="s">
        <v>56</v>
      </c>
      <c r="M244" s="5" t="s">
        <v>56</v>
      </c>
      <c r="N244" s="5" t="s">
        <v>56</v>
      </c>
      <c r="P244" s="13">
        <f>IFERROR(__xludf.DUMMYFUNCTION("IF(REGEXMATCH(UPPER(E244),""CONGRESO""),1,0)"),0.0)</f>
        <v>0</v>
      </c>
    </row>
    <row r="245" ht="15.75" customHeight="1">
      <c r="A245" s="5" t="s">
        <v>682</v>
      </c>
      <c r="B245" s="5" t="s">
        <v>782</v>
      </c>
      <c r="C245" s="5" t="s">
        <v>783</v>
      </c>
      <c r="D245" s="5" t="s">
        <v>944</v>
      </c>
      <c r="E245" s="5" t="s">
        <v>1756</v>
      </c>
      <c r="F245" s="5" t="s">
        <v>1757</v>
      </c>
      <c r="G245" s="5" t="s">
        <v>1758</v>
      </c>
      <c r="H245" s="5" t="s">
        <v>1759</v>
      </c>
      <c r="I245" s="5" t="s">
        <v>1636</v>
      </c>
      <c r="J245" s="5" t="s">
        <v>957</v>
      </c>
      <c r="K245" s="5" t="s">
        <v>912</v>
      </c>
      <c r="L245" s="5" t="s">
        <v>56</v>
      </c>
      <c r="M245" s="5" t="s">
        <v>56</v>
      </c>
      <c r="N245" s="5" t="s">
        <v>56</v>
      </c>
      <c r="P245" s="13">
        <f>IFERROR(__xludf.DUMMYFUNCTION("IF(REGEXMATCH(UPPER(E245),""CONGRESO""),1,0)"),0.0)</f>
        <v>0</v>
      </c>
    </row>
    <row r="246" ht="15.75" customHeight="1">
      <c r="A246" s="5" t="s">
        <v>682</v>
      </c>
      <c r="B246" s="5" t="s">
        <v>782</v>
      </c>
      <c r="C246" s="5" t="s">
        <v>783</v>
      </c>
      <c r="D246" s="5" t="s">
        <v>944</v>
      </c>
      <c r="E246" s="5" t="s">
        <v>1760</v>
      </c>
      <c r="F246" s="5" t="s">
        <v>1455</v>
      </c>
      <c r="G246" s="5" t="s">
        <v>1761</v>
      </c>
      <c r="H246" s="5" t="s">
        <v>1759</v>
      </c>
      <c r="I246" s="5" t="s">
        <v>1257</v>
      </c>
      <c r="J246" s="5" t="s">
        <v>957</v>
      </c>
      <c r="K246" s="5" t="s">
        <v>912</v>
      </c>
      <c r="L246" s="5" t="s">
        <v>56</v>
      </c>
      <c r="M246" s="5" t="s">
        <v>56</v>
      </c>
      <c r="N246" s="5" t="s">
        <v>56</v>
      </c>
      <c r="P246" s="13">
        <f>IFERROR(__xludf.DUMMYFUNCTION("IF(REGEXMATCH(UPPER(E246),""CONGRESO""),1,0)"),0.0)</f>
        <v>0</v>
      </c>
    </row>
    <row r="247" ht="15.75" customHeight="1">
      <c r="A247" s="5" t="s">
        <v>682</v>
      </c>
      <c r="B247" s="5" t="s">
        <v>791</v>
      </c>
      <c r="C247" s="5" t="s">
        <v>792</v>
      </c>
      <c r="D247" s="5" t="s">
        <v>944</v>
      </c>
      <c r="E247" s="5" t="s">
        <v>1762</v>
      </c>
      <c r="F247" s="5" t="s">
        <v>1763</v>
      </c>
      <c r="H247" s="5" t="s">
        <v>1764</v>
      </c>
      <c r="I247" s="5" t="s">
        <v>949</v>
      </c>
      <c r="J247" s="5" t="s">
        <v>949</v>
      </c>
      <c r="K247" s="5" t="s">
        <v>912</v>
      </c>
      <c r="L247" s="5" t="s">
        <v>56</v>
      </c>
      <c r="M247" s="5" t="s">
        <v>56</v>
      </c>
      <c r="N247" s="5" t="s">
        <v>640</v>
      </c>
      <c r="P247" s="13">
        <f>IFERROR(__xludf.DUMMYFUNCTION("IF(REGEXMATCH(UPPER(E247),""CONGRESO""),1,0)"),0.0)</f>
        <v>0</v>
      </c>
    </row>
    <row r="248" ht="15.75" customHeight="1">
      <c r="A248" s="5" t="s">
        <v>682</v>
      </c>
      <c r="B248" s="5" t="s">
        <v>791</v>
      </c>
      <c r="C248" s="5" t="s">
        <v>792</v>
      </c>
      <c r="D248" s="5" t="s">
        <v>944</v>
      </c>
      <c r="E248" s="5" t="s">
        <v>1762</v>
      </c>
      <c r="F248" s="5" t="s">
        <v>1765</v>
      </c>
      <c r="H248" s="5" t="s">
        <v>1766</v>
      </c>
      <c r="I248" s="5" t="s">
        <v>1145</v>
      </c>
      <c r="J248" s="5" t="s">
        <v>1145</v>
      </c>
      <c r="K248" s="5" t="s">
        <v>912</v>
      </c>
      <c r="L248" s="5" t="s">
        <v>186</v>
      </c>
      <c r="M248" s="5" t="s">
        <v>186</v>
      </c>
      <c r="N248" s="5" t="s">
        <v>186</v>
      </c>
      <c r="O248" s="5" t="s">
        <v>1767</v>
      </c>
      <c r="P248" s="13">
        <f>IFERROR(__xludf.DUMMYFUNCTION("IF(REGEXMATCH(UPPER(E248),""CONGRESO""),1,0)"),0.0)</f>
        <v>0</v>
      </c>
    </row>
    <row r="249" ht="15.75" customHeight="1">
      <c r="A249" s="5" t="s">
        <v>682</v>
      </c>
      <c r="B249" s="5" t="s">
        <v>791</v>
      </c>
      <c r="C249" s="5" t="s">
        <v>792</v>
      </c>
      <c r="D249" s="5" t="s">
        <v>944</v>
      </c>
      <c r="E249" s="5" t="s">
        <v>1768</v>
      </c>
      <c r="F249" s="5" t="s">
        <v>1769</v>
      </c>
      <c r="H249" s="5" t="s">
        <v>1770</v>
      </c>
      <c r="I249" s="5" t="s">
        <v>1006</v>
      </c>
      <c r="J249" s="5" t="s">
        <v>1036</v>
      </c>
      <c r="K249" s="5" t="s">
        <v>1771</v>
      </c>
      <c r="P249" s="13">
        <f>IFERROR(__xludf.DUMMYFUNCTION("IF(REGEXMATCH(UPPER(E249),""CONGRESO""),1,0)"),0.0)</f>
        <v>0</v>
      </c>
    </row>
    <row r="250" ht="15.75" customHeight="1">
      <c r="A250" s="5" t="s">
        <v>682</v>
      </c>
      <c r="B250" s="5" t="s">
        <v>791</v>
      </c>
      <c r="C250" s="5" t="s">
        <v>792</v>
      </c>
      <c r="D250" s="5" t="s">
        <v>944</v>
      </c>
      <c r="E250" s="5" t="s">
        <v>1772</v>
      </c>
      <c r="F250" s="5" t="s">
        <v>1773</v>
      </c>
      <c r="H250" s="5" t="s">
        <v>1774</v>
      </c>
      <c r="I250" s="5" t="s">
        <v>1056</v>
      </c>
      <c r="J250" s="5" t="s">
        <v>1056</v>
      </c>
      <c r="K250" s="5" t="s">
        <v>912</v>
      </c>
      <c r="L250" s="5" t="s">
        <v>56</v>
      </c>
      <c r="M250" s="5" t="s">
        <v>56</v>
      </c>
      <c r="N250" s="5" t="s">
        <v>56</v>
      </c>
      <c r="P250" s="13">
        <f>IFERROR(__xludf.DUMMYFUNCTION("IF(REGEXMATCH(UPPER(E250),""CONGRESO""),1,0)"),0.0)</f>
        <v>0</v>
      </c>
    </row>
    <row r="251" ht="15.75" customHeight="1">
      <c r="A251" s="5" t="s">
        <v>801</v>
      </c>
      <c r="B251" s="5" t="s">
        <v>802</v>
      </c>
      <c r="C251" s="5" t="s">
        <v>803</v>
      </c>
      <c r="D251" s="5" t="s">
        <v>944</v>
      </c>
      <c r="E251" s="5" t="s">
        <v>1775</v>
      </c>
      <c r="F251" s="5" t="s">
        <v>1324</v>
      </c>
      <c r="G251" s="5" t="s">
        <v>1776</v>
      </c>
      <c r="H251" s="5" t="s">
        <v>1777</v>
      </c>
      <c r="I251" s="5" t="s">
        <v>1006</v>
      </c>
      <c r="J251" s="5" t="s">
        <v>1006</v>
      </c>
      <c r="K251" s="5" t="s">
        <v>912</v>
      </c>
      <c r="L251" s="5" t="s">
        <v>35</v>
      </c>
      <c r="M251" s="5" t="s">
        <v>35</v>
      </c>
      <c r="N251" s="5" t="s">
        <v>35</v>
      </c>
      <c r="O251" s="5" t="s">
        <v>1778</v>
      </c>
      <c r="P251" s="13">
        <f>IFERROR(__xludf.DUMMYFUNCTION("IF(REGEXMATCH(UPPER(E251),""CONGRESO""),1,0)"),0.0)</f>
        <v>0</v>
      </c>
    </row>
    <row r="252" ht="15.75" customHeight="1">
      <c r="A252" s="5" t="s">
        <v>801</v>
      </c>
      <c r="B252" s="5" t="s">
        <v>802</v>
      </c>
      <c r="C252" s="5" t="s">
        <v>803</v>
      </c>
      <c r="D252" s="5" t="s">
        <v>944</v>
      </c>
      <c r="E252" s="5" t="s">
        <v>1779</v>
      </c>
      <c r="F252" s="5" t="s">
        <v>1780</v>
      </c>
      <c r="G252" s="5" t="s">
        <v>1781</v>
      </c>
      <c r="H252" s="5" t="s">
        <v>1782</v>
      </c>
      <c r="I252" s="5" t="s">
        <v>957</v>
      </c>
      <c r="J252" s="5" t="s">
        <v>957</v>
      </c>
      <c r="K252" s="5" t="s">
        <v>912</v>
      </c>
      <c r="L252" s="5" t="s">
        <v>35</v>
      </c>
      <c r="M252" s="5" t="s">
        <v>35</v>
      </c>
      <c r="N252" s="5" t="s">
        <v>1783</v>
      </c>
      <c r="P252" s="13">
        <f>IFERROR(__xludf.DUMMYFUNCTION("IF(REGEXMATCH(UPPER(E252),""CONGRESO""),1,0)"),0.0)</f>
        <v>0</v>
      </c>
    </row>
    <row r="253" ht="15.75" customHeight="1">
      <c r="A253" s="5" t="s">
        <v>801</v>
      </c>
      <c r="B253" s="5" t="s">
        <v>802</v>
      </c>
      <c r="C253" s="5" t="s">
        <v>803</v>
      </c>
      <c r="D253" s="5" t="s">
        <v>944</v>
      </c>
      <c r="E253" s="5" t="s">
        <v>1784</v>
      </c>
      <c r="F253" s="5" t="s">
        <v>1785</v>
      </c>
      <c r="G253" s="5" t="s">
        <v>1786</v>
      </c>
      <c r="H253" s="5" t="s">
        <v>1787</v>
      </c>
      <c r="I253" s="5" t="s">
        <v>1623</v>
      </c>
      <c r="J253" s="5" t="s">
        <v>957</v>
      </c>
      <c r="K253" s="5" t="s">
        <v>912</v>
      </c>
      <c r="L253" s="5" t="s">
        <v>35</v>
      </c>
      <c r="M253" s="5" t="s">
        <v>35</v>
      </c>
      <c r="N253" s="5" t="s">
        <v>35</v>
      </c>
      <c r="P253" s="13">
        <f>IFERROR(__xludf.DUMMYFUNCTION("IF(REGEXMATCH(UPPER(E253),""CONGRESO""),1,0)"),0.0)</f>
        <v>0</v>
      </c>
    </row>
    <row r="254" ht="15.75" customHeight="1">
      <c r="A254" s="5" t="s">
        <v>801</v>
      </c>
      <c r="B254" s="5" t="s">
        <v>802</v>
      </c>
      <c r="C254" s="5" t="s">
        <v>803</v>
      </c>
      <c r="D254" s="5" t="s">
        <v>944</v>
      </c>
      <c r="E254" s="5" t="s">
        <v>1788</v>
      </c>
      <c r="F254" s="5" t="s">
        <v>1324</v>
      </c>
      <c r="G254" s="5" t="s">
        <v>1789</v>
      </c>
      <c r="H254" s="5" t="s">
        <v>1790</v>
      </c>
      <c r="I254" s="5" t="s">
        <v>1006</v>
      </c>
      <c r="J254" s="5" t="s">
        <v>1006</v>
      </c>
      <c r="K254" s="5" t="s">
        <v>912</v>
      </c>
      <c r="L254" s="5" t="s">
        <v>35</v>
      </c>
      <c r="M254" s="5" t="s">
        <v>35</v>
      </c>
      <c r="N254" s="5" t="s">
        <v>35</v>
      </c>
      <c r="O254" s="5" t="s">
        <v>1778</v>
      </c>
      <c r="P254" s="13">
        <f>IFERROR(__xludf.DUMMYFUNCTION("IF(REGEXMATCH(UPPER(E254),""CONGRESO""),1,0)"),0.0)</f>
        <v>0</v>
      </c>
    </row>
    <row r="255" ht="15.75" customHeight="1">
      <c r="A255" s="5" t="s">
        <v>801</v>
      </c>
      <c r="B255" s="5" t="s">
        <v>802</v>
      </c>
      <c r="C255" s="5" t="s">
        <v>803</v>
      </c>
      <c r="D255" s="5" t="s">
        <v>944</v>
      </c>
      <c r="E255" s="5" t="s">
        <v>1779</v>
      </c>
      <c r="F255" s="5" t="s">
        <v>1791</v>
      </c>
      <c r="G255" s="5" t="s">
        <v>1781</v>
      </c>
      <c r="H255" s="5" t="s">
        <v>1782</v>
      </c>
      <c r="I255" s="5" t="s">
        <v>956</v>
      </c>
      <c r="J255" s="5" t="s">
        <v>957</v>
      </c>
      <c r="K255" s="5" t="s">
        <v>912</v>
      </c>
      <c r="L255" s="5" t="s">
        <v>35</v>
      </c>
      <c r="M255" s="5" t="s">
        <v>35</v>
      </c>
      <c r="N255" s="5" t="s">
        <v>1783</v>
      </c>
      <c r="P255" s="13">
        <f>IFERROR(__xludf.DUMMYFUNCTION("IF(REGEXMATCH(UPPER(E255),""CONGRESO""),1,0)"),0.0)</f>
        <v>0</v>
      </c>
    </row>
    <row r="256" ht="15.75" customHeight="1">
      <c r="A256" s="5" t="s">
        <v>801</v>
      </c>
      <c r="B256" s="5" t="s">
        <v>810</v>
      </c>
      <c r="C256" s="5" t="s">
        <v>811</v>
      </c>
      <c r="D256" s="5" t="s">
        <v>944</v>
      </c>
      <c r="E256" s="5" t="s">
        <v>1792</v>
      </c>
      <c r="F256" s="5" t="s">
        <v>1793</v>
      </c>
      <c r="H256" s="5" t="s">
        <v>1794</v>
      </c>
      <c r="I256" s="5" t="s">
        <v>1795</v>
      </c>
      <c r="J256" s="5" t="s">
        <v>1036</v>
      </c>
      <c r="K256" s="5" t="s">
        <v>912</v>
      </c>
      <c r="L256" s="5" t="s">
        <v>56</v>
      </c>
      <c r="M256" s="5" t="s">
        <v>56</v>
      </c>
      <c r="N256" s="5" t="s">
        <v>56</v>
      </c>
      <c r="P256" s="13">
        <f>IFERROR(__xludf.DUMMYFUNCTION("IF(REGEXMATCH(UPPER(E256),""CONGRESO""),1,0)"),0.0)</f>
        <v>0</v>
      </c>
    </row>
    <row r="257" ht="15.75" customHeight="1">
      <c r="A257" s="5" t="s">
        <v>801</v>
      </c>
      <c r="B257" s="5" t="s">
        <v>810</v>
      </c>
      <c r="C257" s="5" t="s">
        <v>811</v>
      </c>
      <c r="D257" s="5" t="s">
        <v>944</v>
      </c>
      <c r="E257" s="5" t="s">
        <v>1645</v>
      </c>
      <c r="F257" s="5" t="s">
        <v>1796</v>
      </c>
      <c r="H257" s="5" t="s">
        <v>1797</v>
      </c>
      <c r="I257" s="5" t="s">
        <v>968</v>
      </c>
      <c r="J257" s="5" t="s">
        <v>957</v>
      </c>
      <c r="K257" s="5" t="s">
        <v>912</v>
      </c>
      <c r="L257" s="5" t="s">
        <v>56</v>
      </c>
      <c r="M257" s="5" t="s">
        <v>56</v>
      </c>
      <c r="N257" s="5" t="s">
        <v>56</v>
      </c>
      <c r="P257" s="13">
        <f>IFERROR(__xludf.DUMMYFUNCTION("IF(REGEXMATCH(UPPER(E257),""CONGRESO""),1,0)"),0.0)</f>
        <v>0</v>
      </c>
    </row>
    <row r="258" ht="15.75" customHeight="1">
      <c r="A258" s="5" t="s">
        <v>801</v>
      </c>
      <c r="B258" s="5" t="s">
        <v>818</v>
      </c>
      <c r="C258" s="5" t="s">
        <v>819</v>
      </c>
      <c r="D258" s="5" t="s">
        <v>944</v>
      </c>
      <c r="E258" s="5" t="s">
        <v>1798</v>
      </c>
      <c r="F258" s="5" t="s">
        <v>1324</v>
      </c>
      <c r="G258" s="5" t="s">
        <v>1799</v>
      </c>
      <c r="H258" s="5" t="s">
        <v>1800</v>
      </c>
      <c r="I258" s="5" t="s">
        <v>1145</v>
      </c>
      <c r="J258" s="5" t="s">
        <v>974</v>
      </c>
      <c r="K258" s="5" t="s">
        <v>912</v>
      </c>
      <c r="L258" s="5" t="s">
        <v>276</v>
      </c>
      <c r="M258" s="5" t="s">
        <v>389</v>
      </c>
      <c r="N258" s="5" t="s">
        <v>823</v>
      </c>
      <c r="P258" s="13">
        <f>IFERROR(__xludf.DUMMYFUNCTION("IF(REGEXMATCH(UPPER(E258),""CONGRESO""),1,0)"),0.0)</f>
        <v>0</v>
      </c>
    </row>
    <row r="259" ht="15.75" customHeight="1">
      <c r="A259" s="5" t="s">
        <v>801</v>
      </c>
      <c r="B259" s="5" t="s">
        <v>818</v>
      </c>
      <c r="C259" s="5" t="s">
        <v>819</v>
      </c>
      <c r="D259" s="5" t="s">
        <v>944</v>
      </c>
      <c r="E259" s="5" t="s">
        <v>1801</v>
      </c>
      <c r="F259" s="5" t="s">
        <v>1324</v>
      </c>
      <c r="G259" s="5" t="s">
        <v>1802</v>
      </c>
      <c r="H259" s="5" t="s">
        <v>1803</v>
      </c>
      <c r="I259" s="5" t="s">
        <v>1056</v>
      </c>
      <c r="J259" s="5" t="s">
        <v>974</v>
      </c>
      <c r="K259" s="5" t="s">
        <v>912</v>
      </c>
      <c r="L259" s="5" t="s">
        <v>276</v>
      </c>
      <c r="M259" s="5" t="s">
        <v>389</v>
      </c>
      <c r="N259" s="5" t="s">
        <v>823</v>
      </c>
      <c r="P259" s="13">
        <f>IFERROR(__xludf.DUMMYFUNCTION("IF(REGEXMATCH(UPPER(E259),""CONGRESO""),1,0)"),0.0)</f>
        <v>0</v>
      </c>
    </row>
    <row r="260" ht="15.75" customHeight="1">
      <c r="A260" s="5" t="s">
        <v>801</v>
      </c>
      <c r="B260" s="5" t="s">
        <v>818</v>
      </c>
      <c r="C260" s="5" t="s">
        <v>819</v>
      </c>
      <c r="D260" s="5" t="s">
        <v>944</v>
      </c>
      <c r="E260" s="5" t="s">
        <v>1387</v>
      </c>
      <c r="F260" s="5" t="s">
        <v>1119</v>
      </c>
      <c r="G260" s="5" t="s">
        <v>1100</v>
      </c>
      <c r="H260" s="5" t="s">
        <v>1804</v>
      </c>
      <c r="I260" s="5" t="s">
        <v>974</v>
      </c>
      <c r="J260" s="5" t="s">
        <v>957</v>
      </c>
      <c r="K260" s="5" t="s">
        <v>912</v>
      </c>
      <c r="L260" s="5" t="s">
        <v>56</v>
      </c>
      <c r="M260" s="5" t="s">
        <v>56</v>
      </c>
      <c r="N260" s="5" t="s">
        <v>56</v>
      </c>
      <c r="P260" s="13">
        <f>IFERROR(__xludf.DUMMYFUNCTION("IF(REGEXMATCH(UPPER(E260),""CONGRESO""),1,0)"),1.0)</f>
        <v>1</v>
      </c>
    </row>
    <row r="261" ht="15.75" customHeight="1">
      <c r="A261" s="5" t="s">
        <v>801</v>
      </c>
      <c r="B261" s="5" t="s">
        <v>826</v>
      </c>
      <c r="C261" s="5" t="s">
        <v>827</v>
      </c>
      <c r="D261" s="5" t="s">
        <v>944</v>
      </c>
      <c r="E261" s="5" t="s">
        <v>1805</v>
      </c>
      <c r="F261" s="5" t="s">
        <v>1222</v>
      </c>
      <c r="G261" s="5" t="s">
        <v>1806</v>
      </c>
      <c r="H261" s="5" t="s">
        <v>1807</v>
      </c>
      <c r="I261" s="5" t="s">
        <v>957</v>
      </c>
      <c r="J261" s="5" t="s">
        <v>957</v>
      </c>
      <c r="K261" s="5" t="s">
        <v>912</v>
      </c>
      <c r="L261" s="5" t="s">
        <v>186</v>
      </c>
      <c r="M261" s="5" t="s">
        <v>186</v>
      </c>
      <c r="N261" s="5" t="s">
        <v>186</v>
      </c>
      <c r="O261" s="5" t="s">
        <v>1808</v>
      </c>
      <c r="P261" s="13">
        <f>IFERROR(__xludf.DUMMYFUNCTION("IF(REGEXMATCH(UPPER(E261),""CONGRESO""),1,0)"),0.0)</f>
        <v>0</v>
      </c>
    </row>
    <row r="262" ht="15.75" customHeight="1">
      <c r="A262" s="5" t="s">
        <v>801</v>
      </c>
      <c r="B262" s="5" t="s">
        <v>826</v>
      </c>
      <c r="C262" s="5" t="s">
        <v>827</v>
      </c>
      <c r="D262" s="5" t="s">
        <v>944</v>
      </c>
      <c r="E262" s="5" t="s">
        <v>1809</v>
      </c>
      <c r="F262" s="5" t="s">
        <v>1222</v>
      </c>
      <c r="G262" s="5" t="s">
        <v>1810</v>
      </c>
      <c r="H262" s="5" t="s">
        <v>1811</v>
      </c>
      <c r="I262" s="5" t="s">
        <v>1145</v>
      </c>
      <c r="J262" s="5" t="s">
        <v>950</v>
      </c>
      <c r="K262" s="5" t="s">
        <v>912</v>
      </c>
      <c r="L262" s="5" t="s">
        <v>186</v>
      </c>
      <c r="M262" s="5" t="s">
        <v>186</v>
      </c>
      <c r="N262" s="5" t="s">
        <v>186</v>
      </c>
      <c r="O262" s="5" t="s">
        <v>1812</v>
      </c>
      <c r="P262" s="13">
        <f>IFERROR(__xludf.DUMMYFUNCTION("IF(REGEXMATCH(UPPER(E262),""CONGRESO""),1,0)"),0.0)</f>
        <v>0</v>
      </c>
    </row>
    <row r="263" ht="15.75" customHeight="1">
      <c r="A263" s="5" t="s">
        <v>801</v>
      </c>
      <c r="B263" s="5" t="s">
        <v>836</v>
      </c>
      <c r="C263" s="5" t="s">
        <v>837</v>
      </c>
      <c r="D263" s="5" t="s">
        <v>944</v>
      </c>
      <c r="E263" s="5" t="s">
        <v>1813</v>
      </c>
      <c r="F263" s="5" t="s">
        <v>1814</v>
      </c>
      <c r="G263" s="5" t="s">
        <v>1815</v>
      </c>
      <c r="H263" s="5" t="s">
        <v>1816</v>
      </c>
      <c r="I263" s="5" t="s">
        <v>956</v>
      </c>
      <c r="J263" s="5" t="s">
        <v>957</v>
      </c>
      <c r="K263" s="5" t="s">
        <v>912</v>
      </c>
      <c r="L263" s="5" t="s">
        <v>56</v>
      </c>
      <c r="M263" s="5" t="s">
        <v>56</v>
      </c>
      <c r="N263" s="5" t="s">
        <v>56</v>
      </c>
      <c r="P263" s="13">
        <f>IFERROR(__xludf.DUMMYFUNCTION("IF(REGEXMATCH(UPPER(E263),""CONGRESO""),1,0)"),0.0)</f>
        <v>0</v>
      </c>
    </row>
    <row r="264" ht="15.75" customHeight="1">
      <c r="A264" s="5" t="s">
        <v>801</v>
      </c>
      <c r="B264" s="5" t="s">
        <v>844</v>
      </c>
      <c r="C264" s="5" t="s">
        <v>845</v>
      </c>
      <c r="D264" s="5" t="s">
        <v>944</v>
      </c>
      <c r="E264" s="5" t="s">
        <v>1817</v>
      </c>
      <c r="F264" s="5" t="s">
        <v>1818</v>
      </c>
      <c r="H264" s="5" t="s">
        <v>1819</v>
      </c>
      <c r="I264" s="5" t="s">
        <v>1111</v>
      </c>
      <c r="J264" s="5" t="s">
        <v>950</v>
      </c>
      <c r="K264" s="5" t="s">
        <v>912</v>
      </c>
      <c r="L264" s="5" t="s">
        <v>56</v>
      </c>
      <c r="M264" s="5" t="s">
        <v>56</v>
      </c>
      <c r="N264" s="5" t="s">
        <v>381</v>
      </c>
      <c r="P264" s="13">
        <f>IFERROR(__xludf.DUMMYFUNCTION("IF(REGEXMATCH(UPPER(E264),""CONGRESO""),1,0)"),0.0)</f>
        <v>0</v>
      </c>
    </row>
    <row r="265" ht="15.75" customHeight="1">
      <c r="A265" s="5" t="s">
        <v>801</v>
      </c>
      <c r="B265" s="5" t="s">
        <v>844</v>
      </c>
      <c r="C265" s="5" t="s">
        <v>845</v>
      </c>
      <c r="D265" s="5" t="s">
        <v>944</v>
      </c>
      <c r="E265" s="5" t="s">
        <v>1098</v>
      </c>
      <c r="F265" s="5" t="s">
        <v>1820</v>
      </c>
      <c r="H265" s="5" t="s">
        <v>1821</v>
      </c>
      <c r="I265" s="5" t="s">
        <v>950</v>
      </c>
      <c r="J265" s="5" t="s">
        <v>956</v>
      </c>
      <c r="K265" s="5" t="s">
        <v>912</v>
      </c>
      <c r="L265" s="5" t="s">
        <v>56</v>
      </c>
      <c r="M265" s="5" t="s">
        <v>56</v>
      </c>
      <c r="N265" s="5" t="s">
        <v>56</v>
      </c>
      <c r="P265" s="13">
        <f>IFERROR(__xludf.DUMMYFUNCTION("IF(REGEXMATCH(UPPER(E265),""CONGRESO""),1,0)"),1.0)</f>
        <v>1</v>
      </c>
    </row>
    <row r="266" ht="15.75" customHeight="1">
      <c r="A266" s="5" t="s">
        <v>801</v>
      </c>
      <c r="B266" s="5" t="s">
        <v>844</v>
      </c>
      <c r="C266" s="5" t="s">
        <v>845</v>
      </c>
      <c r="D266" s="5" t="s">
        <v>944</v>
      </c>
      <c r="E266" s="5" t="s">
        <v>1645</v>
      </c>
      <c r="F266" s="5" t="s">
        <v>1334</v>
      </c>
      <c r="G266" s="5" t="s">
        <v>1064</v>
      </c>
      <c r="H266" s="5" t="s">
        <v>1822</v>
      </c>
      <c r="I266" s="5" t="s">
        <v>956</v>
      </c>
      <c r="J266" s="5" t="s">
        <v>957</v>
      </c>
      <c r="K266" s="5" t="s">
        <v>912</v>
      </c>
      <c r="L266" s="5" t="s">
        <v>56</v>
      </c>
      <c r="M266" s="5" t="s">
        <v>56</v>
      </c>
      <c r="N266" s="5" t="s">
        <v>56</v>
      </c>
      <c r="P266" s="13">
        <f>IFERROR(__xludf.DUMMYFUNCTION("IF(REGEXMATCH(UPPER(E266),""CONGRESO""),1,0)"),0.0)</f>
        <v>0</v>
      </c>
    </row>
    <row r="267" ht="15.75" customHeight="1">
      <c r="A267" s="5" t="s">
        <v>801</v>
      </c>
      <c r="B267" s="5" t="s">
        <v>853</v>
      </c>
      <c r="C267" s="5" t="s">
        <v>854</v>
      </c>
      <c r="D267" s="5" t="s">
        <v>944</v>
      </c>
      <c r="E267" s="5" t="s">
        <v>1823</v>
      </c>
      <c r="F267" s="5" t="s">
        <v>1227</v>
      </c>
      <c r="H267" s="5" t="s">
        <v>1824</v>
      </c>
      <c r="I267" s="5" t="s">
        <v>974</v>
      </c>
      <c r="J267" s="5" t="s">
        <v>957</v>
      </c>
      <c r="K267" s="5" t="s">
        <v>912</v>
      </c>
      <c r="L267" s="5" t="s">
        <v>56</v>
      </c>
      <c r="M267" s="5" t="s">
        <v>56</v>
      </c>
      <c r="N267" s="5" t="s">
        <v>1169</v>
      </c>
      <c r="O267" s="5" t="s">
        <v>1825</v>
      </c>
      <c r="P267" s="13">
        <f>IFERROR(__xludf.DUMMYFUNCTION("IF(REGEXMATCH(UPPER(E267),""CONGRESO""),1,0)"),0.0)</f>
        <v>0</v>
      </c>
    </row>
    <row r="268" ht="15.75" customHeight="1">
      <c r="A268" s="5" t="s">
        <v>801</v>
      </c>
      <c r="B268" s="5" t="s">
        <v>853</v>
      </c>
      <c r="C268" s="5" t="s">
        <v>854</v>
      </c>
      <c r="D268" s="5" t="s">
        <v>944</v>
      </c>
      <c r="E268" s="5" t="s">
        <v>1826</v>
      </c>
      <c r="F268" s="5" t="s">
        <v>1227</v>
      </c>
      <c r="H268" s="5" t="s">
        <v>1651</v>
      </c>
      <c r="I268" s="5" t="s">
        <v>956</v>
      </c>
      <c r="J268" s="5" t="s">
        <v>956</v>
      </c>
      <c r="K268" s="5" t="s">
        <v>912</v>
      </c>
      <c r="L268" s="5" t="s">
        <v>56</v>
      </c>
      <c r="M268" s="5" t="s">
        <v>56</v>
      </c>
      <c r="N268" s="5" t="s">
        <v>1651</v>
      </c>
      <c r="O268" s="5" t="s">
        <v>1827</v>
      </c>
      <c r="P268" s="13">
        <f>IFERROR(__xludf.DUMMYFUNCTION("IF(REGEXMATCH(UPPER(E268),""CONGRESO""),1,0)"),0.0)</f>
        <v>0</v>
      </c>
    </row>
    <row r="269" ht="15.75" customHeight="1">
      <c r="A269" s="5" t="s">
        <v>801</v>
      </c>
      <c r="B269" s="5" t="s">
        <v>853</v>
      </c>
      <c r="C269" s="5" t="s">
        <v>854</v>
      </c>
      <c r="D269" s="5" t="s">
        <v>944</v>
      </c>
      <c r="E269" s="5" t="s">
        <v>1828</v>
      </c>
      <c r="F269" s="5" t="s">
        <v>1829</v>
      </c>
      <c r="H269" s="5" t="s">
        <v>640</v>
      </c>
      <c r="I269" s="5" t="s">
        <v>1036</v>
      </c>
      <c r="J269" s="5" t="s">
        <v>974</v>
      </c>
      <c r="K269" s="5" t="s">
        <v>912</v>
      </c>
      <c r="L269" s="5" t="s">
        <v>56</v>
      </c>
      <c r="M269" s="5" t="s">
        <v>56</v>
      </c>
      <c r="N269" s="5" t="s">
        <v>640</v>
      </c>
      <c r="P269" s="13">
        <f>IFERROR(__xludf.DUMMYFUNCTION("IF(REGEXMATCH(UPPER(E269),""CONGRESO""),1,0)"),0.0)</f>
        <v>0</v>
      </c>
    </row>
    <row r="270" ht="15.75" customHeight="1">
      <c r="A270" s="5" t="s">
        <v>801</v>
      </c>
      <c r="B270" s="5" t="s">
        <v>853</v>
      </c>
      <c r="C270" s="5" t="s">
        <v>854</v>
      </c>
      <c r="D270" s="5" t="s">
        <v>944</v>
      </c>
      <c r="E270" s="5" t="s">
        <v>1098</v>
      </c>
      <c r="F270" s="5" t="s">
        <v>1830</v>
      </c>
      <c r="G270" s="5" t="s">
        <v>1100</v>
      </c>
      <c r="H270" s="5" t="s">
        <v>1831</v>
      </c>
      <c r="I270" s="5" t="s">
        <v>1128</v>
      </c>
      <c r="J270" s="5" t="s">
        <v>957</v>
      </c>
      <c r="K270" s="5" t="s">
        <v>912</v>
      </c>
      <c r="L270" s="5" t="s">
        <v>56</v>
      </c>
      <c r="M270" s="5" t="s">
        <v>56</v>
      </c>
      <c r="N270" s="5" t="s">
        <v>56</v>
      </c>
      <c r="P270" s="13">
        <f>IFERROR(__xludf.DUMMYFUNCTION("IF(REGEXMATCH(UPPER(E270),""CONGRESO""),1,0)"),1.0)</f>
        <v>1</v>
      </c>
    </row>
    <row r="271" ht="15.75" customHeight="1">
      <c r="A271" s="5" t="s">
        <v>801</v>
      </c>
      <c r="B271" s="5" t="s">
        <v>860</v>
      </c>
      <c r="C271" s="5" t="s">
        <v>861</v>
      </c>
      <c r="D271" s="5" t="s">
        <v>944</v>
      </c>
      <c r="E271" s="5" t="s">
        <v>1098</v>
      </c>
      <c r="F271" s="5" t="s">
        <v>1229</v>
      </c>
      <c r="G271" s="5" t="s">
        <v>1100</v>
      </c>
      <c r="H271" s="5" t="s">
        <v>1832</v>
      </c>
      <c r="I271" s="5" t="s">
        <v>974</v>
      </c>
      <c r="J271" s="5" t="s">
        <v>957</v>
      </c>
      <c r="K271" s="5" t="s">
        <v>912</v>
      </c>
      <c r="L271" s="5" t="s">
        <v>56</v>
      </c>
      <c r="M271" s="5" t="s">
        <v>56</v>
      </c>
      <c r="N271" s="5" t="s">
        <v>56</v>
      </c>
      <c r="P271" s="13">
        <f>IFERROR(__xludf.DUMMYFUNCTION("IF(REGEXMATCH(UPPER(E271),""CONGRESO""),1,0)"),1.0)</f>
        <v>1</v>
      </c>
    </row>
    <row r="272" ht="15.75" customHeight="1">
      <c r="A272" s="5" t="s">
        <v>801</v>
      </c>
      <c r="B272" s="5" t="s">
        <v>860</v>
      </c>
      <c r="C272" s="5" t="s">
        <v>861</v>
      </c>
      <c r="D272" s="5" t="s">
        <v>944</v>
      </c>
      <c r="E272" s="5" t="s">
        <v>1833</v>
      </c>
      <c r="F272" s="5" t="s">
        <v>1834</v>
      </c>
      <c r="H272" s="5" t="s">
        <v>1835</v>
      </c>
      <c r="I272" s="5" t="s">
        <v>1235</v>
      </c>
      <c r="J272" s="5" t="s">
        <v>1128</v>
      </c>
      <c r="K272" s="5" t="s">
        <v>912</v>
      </c>
      <c r="L272" s="5" t="s">
        <v>56</v>
      </c>
      <c r="M272" s="5" t="s">
        <v>56</v>
      </c>
      <c r="N272" s="5" t="s">
        <v>56</v>
      </c>
      <c r="O272" s="5" t="s">
        <v>1836</v>
      </c>
      <c r="P272" s="13">
        <f>IFERROR(__xludf.DUMMYFUNCTION("IF(REGEXMATCH(UPPER(E272),""CONGRESO""),1,0)"),0.0)</f>
        <v>0</v>
      </c>
    </row>
    <row r="273" ht="15.75" customHeight="1">
      <c r="A273" s="5" t="s">
        <v>801</v>
      </c>
      <c r="B273" s="5" t="s">
        <v>860</v>
      </c>
      <c r="C273" s="5" t="s">
        <v>861</v>
      </c>
      <c r="D273" s="5" t="s">
        <v>944</v>
      </c>
      <c r="E273" s="5" t="s">
        <v>1837</v>
      </c>
      <c r="F273" s="5" t="s">
        <v>1838</v>
      </c>
      <c r="H273" s="5" t="s">
        <v>1839</v>
      </c>
      <c r="I273" s="5" t="s">
        <v>1128</v>
      </c>
      <c r="J273" s="5" t="s">
        <v>974</v>
      </c>
      <c r="K273" s="5" t="s">
        <v>912</v>
      </c>
      <c r="L273" s="5" t="s">
        <v>56</v>
      </c>
      <c r="M273" s="5" t="s">
        <v>56</v>
      </c>
      <c r="N273" s="5" t="s">
        <v>176</v>
      </c>
      <c r="O273" s="5" t="s">
        <v>1840</v>
      </c>
      <c r="P273" s="13">
        <f>IFERROR(__xludf.DUMMYFUNCTION("IF(REGEXMATCH(UPPER(E273),""CONGRESO""),1,0)"),0.0)</f>
        <v>0</v>
      </c>
    </row>
    <row r="274" ht="15.75" customHeight="1">
      <c r="A274" s="5" t="s">
        <v>801</v>
      </c>
      <c r="B274" s="5" t="s">
        <v>867</v>
      </c>
      <c r="C274" s="5" t="s">
        <v>868</v>
      </c>
      <c r="D274" s="5" t="s">
        <v>944</v>
      </c>
      <c r="E274" s="5" t="s">
        <v>1645</v>
      </c>
      <c r="F274" s="5" t="s">
        <v>1841</v>
      </c>
      <c r="H274" s="5" t="s">
        <v>1842</v>
      </c>
      <c r="I274" s="5" t="s">
        <v>1412</v>
      </c>
      <c r="J274" s="5" t="s">
        <v>1235</v>
      </c>
      <c r="K274" s="5" t="s">
        <v>912</v>
      </c>
      <c r="L274" s="5" t="s">
        <v>56</v>
      </c>
      <c r="M274" s="5" t="s">
        <v>56</v>
      </c>
      <c r="N274" s="5" t="s">
        <v>56</v>
      </c>
      <c r="P274" s="13">
        <f>IFERROR(__xludf.DUMMYFUNCTION("IF(REGEXMATCH(UPPER(E274),""CONGRESO""),1,0)"),0.0)</f>
        <v>0</v>
      </c>
    </row>
    <row r="275" ht="15.75" customHeight="1">
      <c r="A275" s="5" t="s">
        <v>801</v>
      </c>
      <c r="B275" s="5" t="s">
        <v>867</v>
      </c>
      <c r="C275" s="5" t="s">
        <v>868</v>
      </c>
      <c r="D275" s="5" t="s">
        <v>944</v>
      </c>
      <c r="E275" s="5" t="s">
        <v>1843</v>
      </c>
      <c r="F275" s="5" t="s">
        <v>1324</v>
      </c>
      <c r="H275" s="5" t="s">
        <v>1844</v>
      </c>
      <c r="I275" s="5" t="s">
        <v>1006</v>
      </c>
      <c r="J275" s="5" t="s">
        <v>974</v>
      </c>
      <c r="K275" s="5" t="s">
        <v>912</v>
      </c>
      <c r="L275" s="5" t="s">
        <v>56</v>
      </c>
      <c r="M275" s="5" t="s">
        <v>56</v>
      </c>
      <c r="N275" s="5" t="s">
        <v>176</v>
      </c>
      <c r="P275" s="13">
        <f>IFERROR(__xludf.DUMMYFUNCTION("IF(REGEXMATCH(UPPER(E275),""CONGRESO""),1,0)"),0.0)</f>
        <v>0</v>
      </c>
    </row>
    <row r="276" ht="15.75" customHeight="1">
      <c r="A276" s="5" t="s">
        <v>801</v>
      </c>
      <c r="B276" s="5" t="s">
        <v>867</v>
      </c>
      <c r="C276" s="5" t="s">
        <v>868</v>
      </c>
      <c r="D276" s="5" t="s">
        <v>944</v>
      </c>
      <c r="E276" s="5" t="s">
        <v>1845</v>
      </c>
      <c r="F276" s="5" t="s">
        <v>1846</v>
      </c>
      <c r="H276" s="5" t="s">
        <v>1847</v>
      </c>
      <c r="I276" s="5" t="s">
        <v>1623</v>
      </c>
      <c r="J276" s="5" t="s">
        <v>1111</v>
      </c>
      <c r="K276" s="5" t="s">
        <v>912</v>
      </c>
      <c r="L276" s="5" t="s">
        <v>56</v>
      </c>
      <c r="M276" s="5" t="s">
        <v>56</v>
      </c>
      <c r="N276" s="5" t="s">
        <v>56</v>
      </c>
      <c r="P276" s="13">
        <f>IFERROR(__xludf.DUMMYFUNCTION("IF(REGEXMATCH(UPPER(E276),""CONGRESO""),1,0)"),0.0)</f>
        <v>0</v>
      </c>
    </row>
    <row r="277" ht="15.75" customHeight="1">
      <c r="A277" s="5" t="s">
        <v>801</v>
      </c>
      <c r="B277" s="5" t="s">
        <v>867</v>
      </c>
      <c r="C277" s="5" t="s">
        <v>868</v>
      </c>
      <c r="D277" s="5" t="s">
        <v>944</v>
      </c>
      <c r="E277" s="5" t="s">
        <v>1848</v>
      </c>
      <c r="F277" s="5" t="s">
        <v>1849</v>
      </c>
      <c r="H277" s="5" t="s">
        <v>1850</v>
      </c>
      <c r="I277" s="5" t="s">
        <v>1128</v>
      </c>
      <c r="J277" s="5" t="s">
        <v>1145</v>
      </c>
      <c r="K277" s="5" t="s">
        <v>912</v>
      </c>
      <c r="L277" s="5" t="s">
        <v>56</v>
      </c>
      <c r="M277" s="5" t="s">
        <v>56</v>
      </c>
      <c r="N277" s="5" t="s">
        <v>56</v>
      </c>
      <c r="P277" s="13">
        <f>IFERROR(__xludf.DUMMYFUNCTION("IF(REGEXMATCH(UPPER(E277),""CONGRESO""),1,0)"),0.0)</f>
        <v>0</v>
      </c>
    </row>
    <row r="278" ht="15.75" customHeight="1">
      <c r="A278" s="5" t="s">
        <v>801</v>
      </c>
      <c r="B278" s="5" t="s">
        <v>867</v>
      </c>
      <c r="C278" s="5" t="s">
        <v>868</v>
      </c>
      <c r="D278" s="5" t="s">
        <v>944</v>
      </c>
      <c r="E278" s="5" t="s">
        <v>1851</v>
      </c>
      <c r="F278" s="5" t="s">
        <v>1852</v>
      </c>
      <c r="H278" s="5" t="s">
        <v>1853</v>
      </c>
      <c r="I278" s="5" t="s">
        <v>1145</v>
      </c>
      <c r="J278" s="5" t="s">
        <v>1006</v>
      </c>
      <c r="K278" s="5" t="s">
        <v>912</v>
      </c>
      <c r="L278" s="5" t="s">
        <v>56</v>
      </c>
      <c r="M278" s="5" t="s">
        <v>56</v>
      </c>
      <c r="N278" s="5" t="s">
        <v>250</v>
      </c>
      <c r="P278" s="13">
        <f>IFERROR(__xludf.DUMMYFUNCTION("IF(REGEXMATCH(UPPER(E278),""CONGRESO""),1,0)"),0.0)</f>
        <v>0</v>
      </c>
    </row>
    <row r="279" ht="15.75" customHeight="1">
      <c r="A279" s="5" t="s">
        <v>801</v>
      </c>
      <c r="B279" s="5" t="s">
        <v>875</v>
      </c>
      <c r="C279" s="5" t="s">
        <v>876</v>
      </c>
      <c r="D279" s="5" t="s">
        <v>944</v>
      </c>
      <c r="E279" s="5" t="s">
        <v>1396</v>
      </c>
      <c r="F279" s="5" t="s">
        <v>1854</v>
      </c>
      <c r="H279" s="5" t="s">
        <v>1855</v>
      </c>
      <c r="I279" s="5" t="s">
        <v>956</v>
      </c>
      <c r="J279" s="5" t="s">
        <v>957</v>
      </c>
      <c r="K279" s="5" t="s">
        <v>912</v>
      </c>
      <c r="L279" s="5" t="s">
        <v>56</v>
      </c>
      <c r="M279" s="5" t="s">
        <v>56</v>
      </c>
      <c r="N279" s="5" t="s">
        <v>233</v>
      </c>
      <c r="P279" s="13">
        <f>IFERROR(__xludf.DUMMYFUNCTION("IF(REGEXMATCH(UPPER(E279),""CONGRESO""),1,0)"),0.0)</f>
        <v>0</v>
      </c>
    </row>
    <row r="280" ht="15.75" customHeight="1">
      <c r="A280" s="5" t="s">
        <v>801</v>
      </c>
      <c r="B280" s="5" t="s">
        <v>883</v>
      </c>
      <c r="C280" s="5" t="s">
        <v>884</v>
      </c>
      <c r="D280" s="5" t="s">
        <v>944</v>
      </c>
      <c r="E280" s="5" t="s">
        <v>1856</v>
      </c>
      <c r="F280" s="5" t="s">
        <v>1229</v>
      </c>
      <c r="H280" s="5" t="s">
        <v>1857</v>
      </c>
      <c r="I280" s="5" t="s">
        <v>968</v>
      </c>
      <c r="J280" s="5" t="s">
        <v>957</v>
      </c>
      <c r="K280" s="5" t="s">
        <v>912</v>
      </c>
      <c r="L280" s="5" t="s">
        <v>56</v>
      </c>
      <c r="M280" s="5" t="s">
        <v>56</v>
      </c>
      <c r="N280" s="5" t="s">
        <v>640</v>
      </c>
      <c r="P280" s="13">
        <f>IFERROR(__xludf.DUMMYFUNCTION("IF(REGEXMATCH(UPPER(E280),""CONGRESO""),1,0)"),0.0)</f>
        <v>0</v>
      </c>
    </row>
    <row r="281" ht="15.75" customHeight="1">
      <c r="A281" s="5" t="s">
        <v>801</v>
      </c>
      <c r="B281" s="5" t="s">
        <v>883</v>
      </c>
      <c r="C281" s="5" t="s">
        <v>884</v>
      </c>
      <c r="D281" s="5" t="s">
        <v>944</v>
      </c>
      <c r="E281" s="5" t="s">
        <v>1858</v>
      </c>
      <c r="F281" s="5" t="s">
        <v>1859</v>
      </c>
      <c r="H281" s="5" t="s">
        <v>1860</v>
      </c>
      <c r="I281" s="5" t="s">
        <v>956</v>
      </c>
      <c r="J281" s="5" t="s">
        <v>968</v>
      </c>
      <c r="K281" s="5" t="s">
        <v>912</v>
      </c>
      <c r="L281" s="5" t="s">
        <v>56</v>
      </c>
      <c r="M281" s="5" t="s">
        <v>56</v>
      </c>
      <c r="N281" s="5" t="s">
        <v>1241</v>
      </c>
      <c r="P281" s="13">
        <f>IFERROR(__xludf.DUMMYFUNCTION("IF(REGEXMATCH(UPPER(E281),""CONGRESO""),1,0)"),0.0)</f>
        <v>0</v>
      </c>
    </row>
    <row r="282" ht="15.75" customHeight="1">
      <c r="A282" s="5" t="s">
        <v>801</v>
      </c>
      <c r="B282" s="5" t="s">
        <v>883</v>
      </c>
      <c r="C282" s="5" t="s">
        <v>884</v>
      </c>
      <c r="D282" s="5" t="s">
        <v>944</v>
      </c>
      <c r="E282" s="5" t="s">
        <v>1861</v>
      </c>
      <c r="F282" s="5" t="s">
        <v>1430</v>
      </c>
      <c r="H282" s="5" t="s">
        <v>1862</v>
      </c>
      <c r="I282" s="5" t="s">
        <v>949</v>
      </c>
      <c r="J282" s="5" t="s">
        <v>956</v>
      </c>
      <c r="K282" s="5" t="s">
        <v>912</v>
      </c>
      <c r="L282" s="5" t="s">
        <v>56</v>
      </c>
      <c r="M282" s="5" t="s">
        <v>56</v>
      </c>
      <c r="N282" s="5" t="s">
        <v>983</v>
      </c>
      <c r="P282" s="13">
        <f>IFERROR(__xludf.DUMMYFUNCTION("IF(REGEXMATCH(UPPER(E282),""CONGRESO""),1,0)"),0.0)</f>
        <v>0</v>
      </c>
    </row>
    <row r="283" ht="15.75" customHeight="1">
      <c r="A283" s="5" t="s">
        <v>801</v>
      </c>
      <c r="B283" s="5" t="s">
        <v>883</v>
      </c>
      <c r="C283" s="5" t="s">
        <v>884</v>
      </c>
      <c r="D283" s="5" t="s">
        <v>944</v>
      </c>
      <c r="E283" s="5" t="s">
        <v>1863</v>
      </c>
      <c r="F283" s="5" t="s">
        <v>1864</v>
      </c>
      <c r="H283" s="5" t="s">
        <v>1865</v>
      </c>
      <c r="I283" s="5" t="s">
        <v>957</v>
      </c>
      <c r="J283" s="5" t="s">
        <v>957</v>
      </c>
      <c r="K283" s="5" t="s">
        <v>912</v>
      </c>
      <c r="L283" s="5" t="s">
        <v>56</v>
      </c>
      <c r="M283" s="5" t="s">
        <v>56</v>
      </c>
      <c r="N283" s="5" t="s">
        <v>640</v>
      </c>
      <c r="P283" s="13">
        <f>IFERROR(__xludf.DUMMYFUNCTION("IF(REGEXMATCH(UPPER(E283),""CONGRESO""),1,0)"),0.0)</f>
        <v>0</v>
      </c>
    </row>
    <row r="284" ht="15.75" customHeight="1">
      <c r="A284" s="5" t="s">
        <v>801</v>
      </c>
      <c r="B284" s="5" t="s">
        <v>883</v>
      </c>
      <c r="C284" s="5" t="s">
        <v>884</v>
      </c>
      <c r="D284" s="5" t="s">
        <v>944</v>
      </c>
      <c r="E284" s="5" t="s">
        <v>1861</v>
      </c>
      <c r="F284" s="5" t="s">
        <v>1229</v>
      </c>
      <c r="H284" s="5" t="s">
        <v>1862</v>
      </c>
      <c r="I284" s="5" t="s">
        <v>949</v>
      </c>
      <c r="J284" s="5" t="s">
        <v>949</v>
      </c>
      <c r="K284" s="5" t="s">
        <v>912</v>
      </c>
      <c r="L284" s="5" t="s">
        <v>56</v>
      </c>
      <c r="M284" s="5" t="s">
        <v>56</v>
      </c>
      <c r="N284" s="5" t="s">
        <v>983</v>
      </c>
      <c r="P284" s="13">
        <f>IFERROR(__xludf.DUMMYFUNCTION("IF(REGEXMATCH(UPPER(E284),""CONGRESO""),1,0)"),0.0)</f>
        <v>0</v>
      </c>
    </row>
    <row r="285" ht="15.75" customHeight="1">
      <c r="A285" s="5" t="s">
        <v>801</v>
      </c>
      <c r="B285" s="5" t="s">
        <v>890</v>
      </c>
      <c r="C285" s="5" t="s">
        <v>891</v>
      </c>
      <c r="D285" s="5" t="s">
        <v>944</v>
      </c>
      <c r="E285" s="5" t="s">
        <v>1866</v>
      </c>
      <c r="F285" s="5" t="s">
        <v>1867</v>
      </c>
      <c r="G285" s="5" t="s">
        <v>1868</v>
      </c>
      <c r="H285" s="5" t="s">
        <v>1869</v>
      </c>
      <c r="I285" s="5" t="s">
        <v>1128</v>
      </c>
      <c r="J285" s="5" t="s">
        <v>1128</v>
      </c>
      <c r="K285" s="5" t="s">
        <v>912</v>
      </c>
      <c r="L285" s="5" t="s">
        <v>56</v>
      </c>
      <c r="M285" s="5" t="s">
        <v>56</v>
      </c>
      <c r="N285" s="5" t="s">
        <v>176</v>
      </c>
      <c r="P285" s="13">
        <f>IFERROR(__xludf.DUMMYFUNCTION("IF(REGEXMATCH(UPPER(E285),""CONGRESO""),1,0)"),0.0)</f>
        <v>0</v>
      </c>
    </row>
    <row r="286" ht="15.75" customHeight="1">
      <c r="A286" s="5" t="s">
        <v>801</v>
      </c>
      <c r="B286" s="5" t="s">
        <v>890</v>
      </c>
      <c r="C286" s="5" t="s">
        <v>891</v>
      </c>
      <c r="D286" s="5" t="s">
        <v>944</v>
      </c>
      <c r="E286" s="5" t="s">
        <v>1870</v>
      </c>
      <c r="F286" s="5" t="s">
        <v>1147</v>
      </c>
      <c r="G286" s="5" t="s">
        <v>1871</v>
      </c>
      <c r="H286" s="5" t="s">
        <v>1872</v>
      </c>
      <c r="I286" s="5" t="s">
        <v>1056</v>
      </c>
      <c r="J286" s="5" t="s">
        <v>949</v>
      </c>
      <c r="K286" s="5" t="s">
        <v>912</v>
      </c>
      <c r="L286" s="5" t="s">
        <v>56</v>
      </c>
      <c r="M286" s="5" t="s">
        <v>56</v>
      </c>
      <c r="N286" s="5" t="s">
        <v>1873</v>
      </c>
      <c r="O286" s="5" t="s">
        <v>1874</v>
      </c>
      <c r="P286" s="13">
        <f>IFERROR(__xludf.DUMMYFUNCTION("IF(REGEXMATCH(UPPER(E286),""CONGRESO""),1,0)"),0.0)</f>
        <v>0</v>
      </c>
    </row>
    <row r="287" ht="15.75" customHeight="1">
      <c r="A287" s="5" t="s">
        <v>801</v>
      </c>
      <c r="B287" s="5" t="s">
        <v>890</v>
      </c>
      <c r="C287" s="5" t="s">
        <v>891</v>
      </c>
      <c r="D287" s="5" t="s">
        <v>944</v>
      </c>
      <c r="E287" s="5" t="s">
        <v>1645</v>
      </c>
      <c r="F287" s="5" t="s">
        <v>1875</v>
      </c>
      <c r="G287" s="5" t="s">
        <v>1064</v>
      </c>
      <c r="H287" s="5" t="s">
        <v>1876</v>
      </c>
      <c r="I287" s="5" t="s">
        <v>1006</v>
      </c>
      <c r="J287" s="5" t="s">
        <v>974</v>
      </c>
      <c r="K287" s="5" t="s">
        <v>912</v>
      </c>
      <c r="L287" s="5" t="s">
        <v>56</v>
      </c>
      <c r="M287" s="5" t="s">
        <v>56</v>
      </c>
      <c r="N287" s="5" t="s">
        <v>56</v>
      </c>
      <c r="O287" s="5" t="s">
        <v>1877</v>
      </c>
      <c r="P287" s="13">
        <f>IFERROR(__xludf.DUMMYFUNCTION("IF(REGEXMATCH(UPPER(E287),""CONGRESO""),1,0)"),0.0)</f>
        <v>0</v>
      </c>
    </row>
    <row r="288" ht="15.75" customHeight="1">
      <c r="A288" s="5" t="s">
        <v>801</v>
      </c>
      <c r="B288" s="5" t="s">
        <v>890</v>
      </c>
      <c r="C288" s="5" t="s">
        <v>891</v>
      </c>
      <c r="D288" s="5" t="s">
        <v>944</v>
      </c>
      <c r="E288" s="5" t="s">
        <v>1107</v>
      </c>
      <c r="F288" s="5" t="s">
        <v>1119</v>
      </c>
      <c r="G288" s="5" t="s">
        <v>1100</v>
      </c>
      <c r="H288" s="5" t="s">
        <v>1878</v>
      </c>
      <c r="I288" s="5" t="s">
        <v>974</v>
      </c>
      <c r="J288" s="5" t="s">
        <v>957</v>
      </c>
      <c r="K288" s="5" t="s">
        <v>912</v>
      </c>
      <c r="L288" s="5" t="s">
        <v>56</v>
      </c>
      <c r="M288" s="5" t="s">
        <v>56</v>
      </c>
      <c r="N288" s="5" t="s">
        <v>56</v>
      </c>
      <c r="O288" s="5" t="s">
        <v>1879</v>
      </c>
      <c r="P288" s="13">
        <f>IFERROR(__xludf.DUMMYFUNCTION("IF(REGEXMATCH(UPPER(E288),""CONGRESO""),1,0)"),1.0)</f>
        <v>1</v>
      </c>
    </row>
    <row r="289" ht="15.75" customHeight="1">
      <c r="A289" s="5" t="s">
        <v>801</v>
      </c>
      <c r="B289" s="5" t="s">
        <v>898</v>
      </c>
      <c r="C289" s="5" t="s">
        <v>899</v>
      </c>
      <c r="D289" s="5" t="s">
        <v>944</v>
      </c>
      <c r="E289" s="5" t="s">
        <v>1880</v>
      </c>
      <c r="F289" s="5" t="s">
        <v>1211</v>
      </c>
      <c r="G289" s="5" t="s">
        <v>1881</v>
      </c>
      <c r="H289" s="5" t="s">
        <v>1882</v>
      </c>
      <c r="I289" s="5" t="s">
        <v>1036</v>
      </c>
      <c r="J289" s="5" t="s">
        <v>950</v>
      </c>
      <c r="K289" s="5" t="s">
        <v>912</v>
      </c>
      <c r="L289" s="5" t="s">
        <v>128</v>
      </c>
      <c r="M289" s="5" t="s">
        <v>1883</v>
      </c>
      <c r="N289" s="5" t="s">
        <v>1883</v>
      </c>
      <c r="P289" s="13">
        <f>IFERROR(__xludf.DUMMYFUNCTION("IF(REGEXMATCH(UPPER(E289),""CONGRESO""),1,0)"),0.0)</f>
        <v>0</v>
      </c>
    </row>
    <row r="290" ht="15.75" customHeight="1">
      <c r="A290" s="5" t="s">
        <v>801</v>
      </c>
      <c r="B290" s="5" t="s">
        <v>898</v>
      </c>
      <c r="C290" s="5" t="s">
        <v>899</v>
      </c>
      <c r="D290" s="5" t="s">
        <v>944</v>
      </c>
      <c r="E290" s="5" t="s">
        <v>1884</v>
      </c>
      <c r="F290" s="5" t="s">
        <v>1885</v>
      </c>
      <c r="G290" s="5" t="s">
        <v>1886</v>
      </c>
      <c r="H290" s="5" t="s">
        <v>1887</v>
      </c>
      <c r="I290" s="5" t="s">
        <v>1145</v>
      </c>
      <c r="J290" s="5" t="s">
        <v>1036</v>
      </c>
      <c r="K290" s="5" t="s">
        <v>912</v>
      </c>
      <c r="L290" s="5" t="s">
        <v>56</v>
      </c>
      <c r="M290" s="5" t="s">
        <v>56</v>
      </c>
      <c r="N290" s="5" t="s">
        <v>1241</v>
      </c>
      <c r="O290" s="5" t="s">
        <v>1888</v>
      </c>
      <c r="P290" s="13">
        <f>IFERROR(__xludf.DUMMYFUNCTION("IF(REGEXMATCH(UPPER(E290),""CONGRESO""),1,0)"),0.0)</f>
        <v>0</v>
      </c>
    </row>
    <row r="291" ht="15.75" customHeight="1">
      <c r="A291" s="5" t="s">
        <v>801</v>
      </c>
      <c r="B291" s="5" t="s">
        <v>898</v>
      </c>
      <c r="C291" s="5" t="s">
        <v>899</v>
      </c>
      <c r="D291" s="5" t="s">
        <v>944</v>
      </c>
      <c r="E291" s="5" t="s">
        <v>1889</v>
      </c>
      <c r="F291" s="5" t="s">
        <v>1251</v>
      </c>
      <c r="G291" s="5" t="s">
        <v>1890</v>
      </c>
      <c r="H291" s="5" t="s">
        <v>1891</v>
      </c>
      <c r="I291" s="5" t="s">
        <v>968</v>
      </c>
      <c r="J291" s="5" t="s">
        <v>957</v>
      </c>
      <c r="K291" s="5" t="s">
        <v>912</v>
      </c>
      <c r="L291" s="5" t="s">
        <v>56</v>
      </c>
      <c r="M291" s="5" t="s">
        <v>56</v>
      </c>
      <c r="N291" s="5" t="s">
        <v>969</v>
      </c>
      <c r="P291" s="13">
        <f>IFERROR(__xludf.DUMMYFUNCTION("IF(REGEXMATCH(UPPER(E291),""CONGRESO""),1,0)"),0.0)</f>
        <v>0</v>
      </c>
    </row>
    <row r="292" ht="15.75" customHeight="1">
      <c r="A292" s="5" t="s">
        <v>801</v>
      </c>
      <c r="B292" s="5" t="s">
        <v>906</v>
      </c>
      <c r="C292" s="5" t="s">
        <v>907</v>
      </c>
      <c r="D292" s="5" t="s">
        <v>944</v>
      </c>
      <c r="E292" s="5" t="s">
        <v>1892</v>
      </c>
      <c r="F292" s="5" t="s">
        <v>1893</v>
      </c>
      <c r="H292" s="5" t="s">
        <v>1894</v>
      </c>
      <c r="I292" s="5" t="s">
        <v>1895</v>
      </c>
      <c r="J292" s="5" t="s">
        <v>1036</v>
      </c>
      <c r="K292" s="5" t="s">
        <v>1771</v>
      </c>
      <c r="P292" s="13">
        <f>IFERROR(__xludf.DUMMYFUNCTION("IF(REGEXMATCH(UPPER(E292),""CONGRESO""),1,0)"),0.0)</f>
        <v>0</v>
      </c>
    </row>
    <row r="293" ht="15.75" customHeight="1">
      <c r="A293" s="5" t="s">
        <v>801</v>
      </c>
      <c r="B293" s="5" t="s">
        <v>906</v>
      </c>
      <c r="C293" s="5" t="s">
        <v>907</v>
      </c>
      <c r="D293" s="5" t="s">
        <v>944</v>
      </c>
      <c r="E293" s="5" t="s">
        <v>1098</v>
      </c>
      <c r="F293" s="5" t="s">
        <v>1119</v>
      </c>
      <c r="H293" s="5" t="s">
        <v>1175</v>
      </c>
      <c r="I293" s="5" t="s">
        <v>974</v>
      </c>
      <c r="J293" s="5" t="s">
        <v>957</v>
      </c>
      <c r="K293" s="5" t="s">
        <v>912</v>
      </c>
      <c r="L293" s="5" t="s">
        <v>56</v>
      </c>
      <c r="M293" s="5" t="s">
        <v>56</v>
      </c>
      <c r="N293" s="5" t="s">
        <v>56</v>
      </c>
      <c r="P293" s="13">
        <f>IFERROR(__xludf.DUMMYFUNCTION("IF(REGEXMATCH(UPPER(E293),""CONGRESO""),1,0)"),1.0)</f>
        <v>1</v>
      </c>
    </row>
    <row r="294" ht="15.75" customHeight="1">
      <c r="P294" s="13">
        <f>IFERROR(__xludf.DUMMYFUNCTION("IF(REGEXMATCH(UPPER(E294),""CONGRESO""),1,0)"),0.0)</f>
        <v>0</v>
      </c>
    </row>
    <row r="295" ht="15.75" customHeight="1">
      <c r="P295" s="13">
        <f>IFERROR(__xludf.DUMMYFUNCTION("IF(REGEXMATCH(UPPER(E295),""CONGRESO""),1,0)"),0.0)</f>
        <v>0</v>
      </c>
    </row>
    <row r="296" ht="15.75" customHeight="1">
      <c r="P296" s="13">
        <f>IFERROR(__xludf.DUMMYFUNCTION("IF(REGEXMATCH(UPPER(E296),""CONGRESO""),1,0)"),0.0)</f>
        <v>0</v>
      </c>
    </row>
    <row r="297" ht="15.75" customHeight="1">
      <c r="P297" s="13">
        <f>IFERROR(__xludf.DUMMYFUNCTION("IF(REGEXMATCH(UPPER(E297),""CONGRESO""),1,0)"),0.0)</f>
        <v>0</v>
      </c>
    </row>
    <row r="298" ht="15.75" customHeight="1">
      <c r="P298" s="13">
        <f>IFERROR(__xludf.DUMMYFUNCTION("IF(REGEXMATCH(UPPER(E298),""CONGRESO""),1,0)"),0.0)</f>
        <v>0</v>
      </c>
    </row>
    <row r="299" ht="15.75" customHeight="1">
      <c r="P299" s="13">
        <f>IFERROR(__xludf.DUMMYFUNCTION("IF(REGEXMATCH(UPPER(E299),""CONGRESO""),1,0)"),0.0)</f>
        <v>0</v>
      </c>
    </row>
    <row r="300" ht="15.75" customHeight="1">
      <c r="P300" s="13">
        <f>IFERROR(__xludf.DUMMYFUNCTION("IF(REGEXMATCH(UPPER(E300),""CONGRESO""),1,0)"),0.0)</f>
        <v>0</v>
      </c>
    </row>
    <row r="301" ht="15.75" customHeight="1">
      <c r="P301" s="13">
        <f>IFERROR(__xludf.DUMMYFUNCTION("IF(REGEXMATCH(UPPER(E301),""CONGRESO""),1,0)"),0.0)</f>
        <v>0</v>
      </c>
    </row>
    <row r="302" ht="15.75" customHeight="1">
      <c r="P302" s="13">
        <f>IFERROR(__xludf.DUMMYFUNCTION("IF(REGEXMATCH(UPPER(E302),""CONGRESO""),1,0)"),0.0)</f>
        <v>0</v>
      </c>
    </row>
    <row r="303" ht="15.75" customHeight="1">
      <c r="P303" s="13">
        <f>IFERROR(__xludf.DUMMYFUNCTION("IF(REGEXMATCH(UPPER(E303),""CONGRESO""),1,0)"),0.0)</f>
        <v>0</v>
      </c>
    </row>
    <row r="304" ht="15.75" customHeight="1">
      <c r="P304" s="13">
        <f>IFERROR(__xludf.DUMMYFUNCTION("IF(REGEXMATCH(UPPER(E304),""CONGRESO""),1,0)"),0.0)</f>
        <v>0</v>
      </c>
    </row>
    <row r="305" ht="15.75" customHeight="1">
      <c r="P305" s="13">
        <f>IFERROR(__xludf.DUMMYFUNCTION("IF(REGEXMATCH(UPPER(E305),""CONGRESO""),1,0)"),0.0)</f>
        <v>0</v>
      </c>
    </row>
    <row r="306" ht="15.75" customHeight="1">
      <c r="P306" s="13">
        <f>IFERROR(__xludf.DUMMYFUNCTION("IF(REGEXMATCH(UPPER(E306),""CONGRESO""),1,0)"),0.0)</f>
        <v>0</v>
      </c>
    </row>
    <row r="307" ht="15.75" customHeight="1">
      <c r="P307" s="13">
        <f>IFERROR(__xludf.DUMMYFUNCTION("IF(REGEXMATCH(UPPER(E307),""CONGRESO""),1,0)"),0.0)</f>
        <v>0</v>
      </c>
    </row>
    <row r="308" ht="15.75" customHeight="1">
      <c r="P308" s="13">
        <f>IFERROR(__xludf.DUMMYFUNCTION("IF(REGEXMATCH(UPPER(E308),""CONGRESO""),1,0)"),0.0)</f>
        <v>0</v>
      </c>
    </row>
    <row r="309" ht="15.75" customHeight="1">
      <c r="P309" s="13">
        <f>IFERROR(__xludf.DUMMYFUNCTION("IF(REGEXMATCH(UPPER(E309),""CONGRESO""),1,0)"),0.0)</f>
        <v>0</v>
      </c>
    </row>
    <row r="310" ht="15.75" customHeight="1">
      <c r="P310" s="13">
        <f>IFERROR(__xludf.DUMMYFUNCTION("IF(REGEXMATCH(UPPER(E310),""CONGRESO""),1,0)"),0.0)</f>
        <v>0</v>
      </c>
    </row>
    <row r="311" ht="15.75" customHeight="1">
      <c r="P311" s="13">
        <f>IFERROR(__xludf.DUMMYFUNCTION("IF(REGEXMATCH(UPPER(E311),""CONGRESO""),1,0)"),0.0)</f>
        <v>0</v>
      </c>
    </row>
    <row r="312" ht="15.75" customHeight="1">
      <c r="P312" s="13">
        <f>IFERROR(__xludf.DUMMYFUNCTION("IF(REGEXMATCH(UPPER(E312),""CONGRESO""),1,0)"),0.0)</f>
        <v>0</v>
      </c>
    </row>
    <row r="313" ht="15.75" customHeight="1">
      <c r="P313" s="13">
        <f>IFERROR(__xludf.DUMMYFUNCTION("IF(REGEXMATCH(UPPER(E313),""CONGRESO""),1,0)"),0.0)</f>
        <v>0</v>
      </c>
    </row>
    <row r="314" ht="15.75" customHeight="1">
      <c r="P314" s="13">
        <f>IFERROR(__xludf.DUMMYFUNCTION("IF(REGEXMATCH(UPPER(E314),""CONGRESO""),1,0)"),0.0)</f>
        <v>0</v>
      </c>
    </row>
    <row r="315" ht="15.75" customHeight="1">
      <c r="P315" s="13">
        <f>IFERROR(__xludf.DUMMYFUNCTION("IF(REGEXMATCH(UPPER(E315),""CONGRESO""),1,0)"),0.0)</f>
        <v>0</v>
      </c>
    </row>
    <row r="316" ht="15.75" customHeight="1">
      <c r="P316" s="13">
        <f>IFERROR(__xludf.DUMMYFUNCTION("IF(REGEXMATCH(UPPER(E316),""CONGRESO""),1,0)"),0.0)</f>
        <v>0</v>
      </c>
    </row>
    <row r="317" ht="15.75" customHeight="1">
      <c r="P317" s="13">
        <f>IFERROR(__xludf.DUMMYFUNCTION("IF(REGEXMATCH(UPPER(E317),""CONGRESO""),1,0)"),0.0)</f>
        <v>0</v>
      </c>
    </row>
    <row r="318" ht="15.75" customHeight="1">
      <c r="P318" s="13">
        <f>IFERROR(__xludf.DUMMYFUNCTION("IF(REGEXMATCH(UPPER(E318),""CONGRESO""),1,0)"),0.0)</f>
        <v>0</v>
      </c>
    </row>
    <row r="319" ht="15.75" customHeight="1">
      <c r="P319" s="13">
        <f>IFERROR(__xludf.DUMMYFUNCTION("IF(REGEXMATCH(UPPER(E319),""CONGRESO""),1,0)"),0.0)</f>
        <v>0</v>
      </c>
    </row>
    <row r="320" ht="15.75" customHeight="1">
      <c r="P320" s="13">
        <f>IFERROR(__xludf.DUMMYFUNCTION("IF(REGEXMATCH(UPPER(E320),""CONGRESO""),1,0)"),0.0)</f>
        <v>0</v>
      </c>
    </row>
    <row r="321" ht="15.75" customHeight="1">
      <c r="P321" s="13">
        <f>IFERROR(__xludf.DUMMYFUNCTION("IF(REGEXMATCH(UPPER(E321),""CONGRESO""),1,0)"),0.0)</f>
        <v>0</v>
      </c>
    </row>
    <row r="322" ht="15.75" customHeight="1">
      <c r="P322" s="13">
        <f>IFERROR(__xludf.DUMMYFUNCTION("IF(REGEXMATCH(UPPER(E322),""CONGRESO""),1,0)"),0.0)</f>
        <v>0</v>
      </c>
    </row>
    <row r="323" ht="15.75" customHeight="1">
      <c r="P323" s="13">
        <f>IFERROR(__xludf.DUMMYFUNCTION("IF(REGEXMATCH(UPPER(E323),""CONGRESO""),1,0)"),0.0)</f>
        <v>0</v>
      </c>
    </row>
    <row r="324" ht="15.75" customHeight="1">
      <c r="P324" s="13">
        <f>IFERROR(__xludf.DUMMYFUNCTION("IF(REGEXMATCH(UPPER(E324),""CONGRESO""),1,0)"),0.0)</f>
        <v>0</v>
      </c>
    </row>
    <row r="325" ht="15.75" customHeight="1">
      <c r="P325" s="13">
        <f>IFERROR(__xludf.DUMMYFUNCTION("IF(REGEXMATCH(UPPER(E325),""CONGRESO""),1,0)"),0.0)</f>
        <v>0</v>
      </c>
    </row>
    <row r="326" ht="15.75" customHeight="1">
      <c r="P326" s="13">
        <f>IFERROR(__xludf.DUMMYFUNCTION("IF(REGEXMATCH(UPPER(E326),""CONGRESO""),1,0)"),0.0)</f>
        <v>0</v>
      </c>
    </row>
    <row r="327" ht="15.75" customHeight="1">
      <c r="P327" s="13">
        <f>IFERROR(__xludf.DUMMYFUNCTION("IF(REGEXMATCH(UPPER(E327),""CONGRESO""),1,0)"),0.0)</f>
        <v>0</v>
      </c>
    </row>
    <row r="328" ht="15.75" customHeight="1">
      <c r="P328" s="13">
        <f>IFERROR(__xludf.DUMMYFUNCTION("IF(REGEXMATCH(UPPER(E328),""CONGRESO""),1,0)"),0.0)</f>
        <v>0</v>
      </c>
    </row>
    <row r="329" ht="15.75" customHeight="1">
      <c r="P329" s="13">
        <f>IFERROR(__xludf.DUMMYFUNCTION("IF(REGEXMATCH(UPPER(E329),""CONGRESO""),1,0)"),0.0)</f>
        <v>0</v>
      </c>
    </row>
    <row r="330" ht="15.75" customHeight="1">
      <c r="P330" s="13">
        <f>IFERROR(__xludf.DUMMYFUNCTION("IF(REGEXMATCH(UPPER(E330),""CONGRESO""),1,0)"),0.0)</f>
        <v>0</v>
      </c>
    </row>
    <row r="331" ht="15.75" customHeight="1">
      <c r="P331" s="13">
        <f>IFERROR(__xludf.DUMMYFUNCTION("IF(REGEXMATCH(UPPER(E331),""CONGRESO""),1,0)"),0.0)</f>
        <v>0</v>
      </c>
    </row>
    <row r="332" ht="15.75" customHeight="1">
      <c r="P332" s="13">
        <f>IFERROR(__xludf.DUMMYFUNCTION("IF(REGEXMATCH(UPPER(E332),""CONGRESO""),1,0)"),0.0)</f>
        <v>0</v>
      </c>
    </row>
    <row r="333" ht="15.75" customHeight="1">
      <c r="P333" s="13">
        <f>IFERROR(__xludf.DUMMYFUNCTION("IF(REGEXMATCH(UPPER(E333),""CONGRESO""),1,0)"),0.0)</f>
        <v>0</v>
      </c>
    </row>
    <row r="334" ht="15.75" customHeight="1">
      <c r="P334" s="13">
        <f>IFERROR(__xludf.DUMMYFUNCTION("IF(REGEXMATCH(UPPER(E334),""CONGRESO""),1,0)"),0.0)</f>
        <v>0</v>
      </c>
    </row>
    <row r="335" ht="15.75" customHeight="1">
      <c r="P335" s="13"/>
    </row>
    <row r="336" ht="15.75" customHeight="1">
      <c r="P336" s="13"/>
    </row>
    <row r="337" ht="15.75" customHeight="1">
      <c r="P337" s="13"/>
    </row>
    <row r="338" ht="15.75" customHeight="1">
      <c r="P338" s="13"/>
    </row>
    <row r="339" ht="15.75" customHeight="1">
      <c r="P339" s="13"/>
    </row>
    <row r="340" ht="15.75" customHeight="1">
      <c r="P340" s="13"/>
    </row>
    <row r="341" ht="15.75" customHeight="1">
      <c r="P341" s="13"/>
    </row>
    <row r="342" ht="15.75" customHeight="1">
      <c r="P342" s="13"/>
    </row>
    <row r="343" ht="15.75" customHeight="1">
      <c r="P343" s="13"/>
    </row>
    <row r="344" ht="15.75" customHeight="1">
      <c r="P344" s="13"/>
    </row>
    <row r="345" ht="15.75" customHeight="1">
      <c r="P345" s="13"/>
    </row>
    <row r="346" ht="15.75" customHeight="1">
      <c r="P346" s="13"/>
    </row>
    <row r="347" ht="15.75" customHeight="1">
      <c r="P347" s="13"/>
    </row>
    <row r="348" ht="15.75" customHeight="1">
      <c r="P348" s="13"/>
    </row>
    <row r="349" ht="15.75" customHeight="1">
      <c r="P349" s="13"/>
    </row>
    <row r="350" ht="15.75" customHeight="1">
      <c r="P350" s="13"/>
    </row>
    <row r="351" ht="15.75" customHeight="1">
      <c r="P351" s="13"/>
    </row>
    <row r="352" ht="15.75" customHeight="1">
      <c r="P352" s="13"/>
    </row>
    <row r="353" ht="15.75" customHeight="1">
      <c r="P353" s="13"/>
    </row>
    <row r="354" ht="15.75" customHeight="1">
      <c r="P354" s="13"/>
    </row>
    <row r="355" ht="15.75" customHeight="1">
      <c r="P355" s="13"/>
    </row>
    <row r="356" ht="15.75" customHeight="1">
      <c r="P356" s="13"/>
    </row>
    <row r="357" ht="15.75" customHeight="1">
      <c r="P357" s="13"/>
    </row>
    <row r="358" ht="15.75" customHeight="1">
      <c r="P358" s="13"/>
    </row>
    <row r="359" ht="15.75" customHeight="1">
      <c r="P359" s="13"/>
    </row>
    <row r="360" ht="15.75" customHeight="1">
      <c r="P360" s="13"/>
    </row>
    <row r="361" ht="15.75" customHeight="1">
      <c r="P361" s="13"/>
    </row>
    <row r="362" ht="15.75" customHeight="1">
      <c r="P362" s="13"/>
    </row>
    <row r="363" ht="15.75" customHeight="1">
      <c r="P363" s="13"/>
    </row>
    <row r="364" ht="15.75" customHeight="1">
      <c r="P364" s="13"/>
    </row>
    <row r="365" ht="15.75" customHeight="1">
      <c r="P365" s="13"/>
    </row>
    <row r="366" ht="15.75" customHeight="1">
      <c r="P366" s="13"/>
    </row>
    <row r="367" ht="15.75" customHeight="1">
      <c r="P367" s="13"/>
    </row>
    <row r="368" ht="15.75" customHeight="1">
      <c r="P368" s="13"/>
    </row>
    <row r="369" ht="15.75" customHeight="1">
      <c r="P369" s="13"/>
    </row>
    <row r="370" ht="15.75" customHeight="1">
      <c r="P370" s="13"/>
    </row>
    <row r="371" ht="15.75" customHeight="1">
      <c r="P371" s="13"/>
    </row>
    <row r="372" ht="15.75" customHeight="1">
      <c r="P372" s="13"/>
    </row>
    <row r="373" ht="15.75" customHeight="1">
      <c r="P373" s="13"/>
    </row>
    <row r="374" ht="15.75" customHeight="1">
      <c r="P374" s="13"/>
    </row>
    <row r="375" ht="15.75" customHeight="1">
      <c r="P375" s="13"/>
    </row>
    <row r="376" ht="15.75" customHeight="1">
      <c r="P376" s="13"/>
    </row>
    <row r="377" ht="15.75" customHeight="1">
      <c r="P377" s="13"/>
    </row>
    <row r="378" ht="15.75" customHeight="1">
      <c r="P378" s="13"/>
    </row>
    <row r="379" ht="15.75" customHeight="1">
      <c r="P379" s="13"/>
    </row>
    <row r="380" ht="15.75" customHeight="1">
      <c r="P380" s="13"/>
    </row>
    <row r="381" ht="15.75" customHeight="1">
      <c r="P381" s="13"/>
    </row>
    <row r="382" ht="15.75" customHeight="1">
      <c r="P382" s="13"/>
    </row>
    <row r="383" ht="15.75" customHeight="1">
      <c r="P383" s="13"/>
    </row>
    <row r="384" ht="15.75" customHeight="1">
      <c r="P384" s="13"/>
    </row>
    <row r="385" ht="15.75" customHeight="1">
      <c r="P385" s="13"/>
    </row>
    <row r="386" ht="15.75" customHeight="1">
      <c r="P386" s="13"/>
    </row>
    <row r="387" ht="15.75" customHeight="1">
      <c r="P387" s="13"/>
    </row>
    <row r="388" ht="15.75" customHeight="1">
      <c r="P388" s="13"/>
    </row>
    <row r="389" ht="15.75" customHeight="1">
      <c r="P389" s="13"/>
    </row>
    <row r="390" ht="15.75" customHeight="1">
      <c r="P390" s="13"/>
    </row>
    <row r="391" ht="15.75" customHeight="1">
      <c r="P391" s="13"/>
    </row>
    <row r="392" ht="15.75" customHeight="1">
      <c r="P392" s="13"/>
    </row>
    <row r="393" ht="15.75" customHeight="1">
      <c r="P393" s="13"/>
    </row>
    <row r="394" ht="15.75" customHeight="1">
      <c r="P394" s="13"/>
    </row>
    <row r="395" ht="15.75" customHeight="1">
      <c r="P395" s="13"/>
    </row>
    <row r="396" ht="15.75" customHeight="1">
      <c r="P396" s="13"/>
    </row>
    <row r="397" ht="15.75" customHeight="1">
      <c r="P397" s="13"/>
    </row>
    <row r="398" ht="15.75" customHeight="1">
      <c r="P398" s="13"/>
    </row>
    <row r="399" ht="15.75" customHeight="1">
      <c r="P399" s="13"/>
    </row>
    <row r="400" ht="15.75" customHeight="1">
      <c r="P400" s="13"/>
    </row>
    <row r="401" ht="15.75" customHeight="1">
      <c r="P401" s="13"/>
    </row>
    <row r="402" ht="15.75" customHeight="1">
      <c r="P402" s="13"/>
    </row>
    <row r="403" ht="15.75" customHeight="1">
      <c r="P403" s="13"/>
    </row>
    <row r="404" ht="15.75" customHeight="1">
      <c r="P404" s="13"/>
    </row>
    <row r="405" ht="15.75" customHeight="1">
      <c r="P405" s="13"/>
    </row>
    <row r="406" ht="15.75" customHeight="1">
      <c r="P406" s="13"/>
    </row>
    <row r="407" ht="15.75" customHeight="1">
      <c r="P407" s="13"/>
    </row>
    <row r="408" ht="15.75" customHeight="1">
      <c r="P408" s="13"/>
    </row>
    <row r="409" ht="15.75" customHeight="1">
      <c r="P409" s="13"/>
    </row>
    <row r="410" ht="15.75" customHeight="1">
      <c r="P410" s="13"/>
    </row>
    <row r="411" ht="15.75" customHeight="1">
      <c r="P411" s="13"/>
    </row>
    <row r="412" ht="15.75" customHeight="1">
      <c r="P412" s="13"/>
    </row>
    <row r="413" ht="15.75" customHeight="1">
      <c r="P413" s="13"/>
    </row>
    <row r="414" ht="15.75" customHeight="1">
      <c r="P414" s="13"/>
    </row>
    <row r="415" ht="15.75" customHeight="1">
      <c r="P415" s="13"/>
    </row>
    <row r="416" ht="15.75" customHeight="1">
      <c r="P416" s="13"/>
    </row>
    <row r="417" ht="15.75" customHeight="1">
      <c r="P417" s="13"/>
    </row>
    <row r="418" ht="15.75" customHeight="1">
      <c r="P418" s="13"/>
    </row>
    <row r="419" ht="15.75" customHeight="1">
      <c r="P419" s="13"/>
    </row>
    <row r="420" ht="15.75" customHeight="1">
      <c r="P420" s="13"/>
    </row>
    <row r="421" ht="15.75" customHeight="1">
      <c r="P421" s="13"/>
    </row>
    <row r="422" ht="15.75" customHeight="1">
      <c r="P422" s="13"/>
    </row>
    <row r="423" ht="15.75" customHeight="1">
      <c r="P423" s="13"/>
    </row>
    <row r="424" ht="15.75" customHeight="1">
      <c r="P424" s="13"/>
    </row>
    <row r="425" ht="15.75" customHeight="1">
      <c r="P425" s="13"/>
    </row>
    <row r="426" ht="15.75" customHeight="1">
      <c r="P426" s="13"/>
    </row>
    <row r="427" ht="15.75" customHeight="1">
      <c r="P427" s="13"/>
    </row>
    <row r="428" ht="15.75" customHeight="1">
      <c r="P428" s="13"/>
    </row>
    <row r="429" ht="15.75" customHeight="1">
      <c r="P429" s="13"/>
    </row>
    <row r="430" ht="15.75" customHeight="1">
      <c r="P430" s="13"/>
    </row>
    <row r="431" ht="15.75" customHeight="1">
      <c r="P431" s="13"/>
    </row>
    <row r="432" ht="15.75" customHeight="1">
      <c r="P432" s="13"/>
    </row>
    <row r="433" ht="15.75" customHeight="1">
      <c r="P433" s="13"/>
    </row>
    <row r="434" ht="15.75" customHeight="1">
      <c r="P434" s="13"/>
    </row>
    <row r="435" ht="15.75" customHeight="1">
      <c r="P435" s="13"/>
    </row>
    <row r="436" ht="15.75" customHeight="1">
      <c r="P436" s="13"/>
    </row>
    <row r="437" ht="15.75" customHeight="1">
      <c r="P437" s="13"/>
    </row>
    <row r="438" ht="15.75" customHeight="1">
      <c r="P438" s="13"/>
    </row>
    <row r="439" ht="15.75" customHeight="1">
      <c r="P439" s="13"/>
    </row>
    <row r="440" ht="15.75" customHeight="1">
      <c r="P440" s="13"/>
    </row>
    <row r="441" ht="15.75" customHeight="1">
      <c r="P441" s="13"/>
    </row>
    <row r="442" ht="15.75" customHeight="1">
      <c r="P442" s="13"/>
    </row>
    <row r="443" ht="15.75" customHeight="1">
      <c r="P443" s="13"/>
    </row>
    <row r="444" ht="15.75" customHeight="1">
      <c r="P444" s="13"/>
    </row>
    <row r="445" ht="15.75" customHeight="1">
      <c r="P445" s="13"/>
    </row>
    <row r="446" ht="15.75" customHeight="1">
      <c r="P446" s="13"/>
    </row>
    <row r="447" ht="15.75" customHeight="1">
      <c r="P447" s="13"/>
    </row>
    <row r="448" ht="15.75" customHeight="1">
      <c r="P448" s="13"/>
    </row>
    <row r="449" ht="15.75" customHeight="1">
      <c r="P449" s="13"/>
    </row>
    <row r="450" ht="15.75" customHeight="1">
      <c r="P450" s="13"/>
    </row>
    <row r="451" ht="15.75" customHeight="1">
      <c r="P451" s="13"/>
    </row>
    <row r="452" ht="15.75" customHeight="1">
      <c r="P452" s="13"/>
    </row>
    <row r="453" ht="15.75" customHeight="1">
      <c r="P453" s="13"/>
    </row>
    <row r="454" ht="15.75" customHeight="1">
      <c r="P454" s="13"/>
    </row>
    <row r="455" ht="15.75" customHeight="1">
      <c r="P455" s="13"/>
    </row>
    <row r="456" ht="15.75" customHeight="1">
      <c r="P456" s="13"/>
    </row>
    <row r="457" ht="15.75" customHeight="1">
      <c r="P457" s="13"/>
    </row>
    <row r="458" ht="15.75" customHeight="1">
      <c r="P458" s="13"/>
    </row>
    <row r="459" ht="15.75" customHeight="1">
      <c r="P459" s="13"/>
    </row>
    <row r="460" ht="15.75" customHeight="1">
      <c r="P460" s="13"/>
    </row>
    <row r="461" ht="15.75" customHeight="1">
      <c r="P461" s="13"/>
    </row>
    <row r="462" ht="15.75" customHeight="1">
      <c r="P462" s="13"/>
    </row>
    <row r="463" ht="15.75" customHeight="1">
      <c r="P463" s="13"/>
    </row>
    <row r="464" ht="15.75" customHeight="1">
      <c r="P464" s="13"/>
    </row>
    <row r="465" ht="15.75" customHeight="1">
      <c r="P465" s="13"/>
    </row>
    <row r="466" ht="15.75" customHeight="1">
      <c r="P466" s="13"/>
    </row>
    <row r="467" ht="15.75" customHeight="1">
      <c r="P467" s="13"/>
    </row>
    <row r="468" ht="15.75" customHeight="1">
      <c r="P468" s="13"/>
    </row>
    <row r="469" ht="15.75" customHeight="1">
      <c r="P469" s="13"/>
    </row>
    <row r="470" ht="15.75" customHeight="1">
      <c r="P470" s="13"/>
    </row>
    <row r="471" ht="15.75" customHeight="1">
      <c r="P471" s="13"/>
    </row>
    <row r="472" ht="15.75" customHeight="1">
      <c r="P472" s="13"/>
    </row>
    <row r="473" ht="15.75" customHeight="1">
      <c r="P473" s="13"/>
    </row>
    <row r="474" ht="15.75" customHeight="1">
      <c r="P474" s="13"/>
    </row>
    <row r="475" ht="15.75" customHeight="1">
      <c r="P475" s="13"/>
    </row>
    <row r="476" ht="15.75" customHeight="1">
      <c r="P476" s="13"/>
    </row>
    <row r="477" ht="15.75" customHeight="1">
      <c r="P477" s="13"/>
    </row>
    <row r="478" ht="15.75" customHeight="1">
      <c r="P478" s="13"/>
    </row>
    <row r="479" ht="15.75" customHeight="1">
      <c r="P479" s="13"/>
    </row>
    <row r="480" ht="15.75" customHeight="1">
      <c r="P480" s="13"/>
    </row>
    <row r="481" ht="15.75" customHeight="1">
      <c r="P481" s="13"/>
    </row>
    <row r="482" ht="15.75" customHeight="1">
      <c r="P482" s="13"/>
    </row>
    <row r="483" ht="15.75" customHeight="1">
      <c r="P483" s="13"/>
    </row>
    <row r="484" ht="15.75" customHeight="1">
      <c r="P484" s="13"/>
    </row>
    <row r="485" ht="15.75" customHeight="1">
      <c r="P485" s="13"/>
    </row>
    <row r="486" ht="15.75" customHeight="1">
      <c r="P486" s="13"/>
    </row>
    <row r="487" ht="15.75" customHeight="1">
      <c r="P487" s="13"/>
    </row>
    <row r="488" ht="15.75" customHeight="1">
      <c r="P488" s="13"/>
    </row>
    <row r="489" ht="15.75" customHeight="1">
      <c r="P489" s="13"/>
    </row>
    <row r="490" ht="15.75" customHeight="1">
      <c r="P490" s="13"/>
    </row>
    <row r="491" ht="15.75" customHeight="1">
      <c r="P491" s="13"/>
    </row>
    <row r="492" ht="15.75" customHeight="1">
      <c r="P492" s="13"/>
    </row>
    <row r="493" ht="15.75" customHeight="1">
      <c r="P493" s="13"/>
    </row>
    <row r="494" ht="15.75" customHeight="1">
      <c r="P494" s="13"/>
    </row>
    <row r="495" ht="15.75" customHeight="1">
      <c r="P495" s="13"/>
    </row>
    <row r="496" ht="15.75" customHeight="1">
      <c r="P496" s="13"/>
    </row>
    <row r="497" ht="15.75" customHeight="1">
      <c r="P497" s="13"/>
    </row>
    <row r="498" ht="15.75" customHeight="1">
      <c r="P498" s="13"/>
    </row>
    <row r="499" ht="15.75" customHeight="1">
      <c r="P499" s="13"/>
    </row>
    <row r="500" ht="15.75" customHeight="1">
      <c r="P500" s="13"/>
    </row>
    <row r="501" ht="15.75" customHeight="1">
      <c r="P501" s="13"/>
    </row>
    <row r="502" ht="15.75" customHeight="1">
      <c r="P502" s="13"/>
    </row>
    <row r="503" ht="15.75" customHeight="1">
      <c r="P503" s="13"/>
    </row>
    <row r="504" ht="15.75" customHeight="1">
      <c r="P504" s="13"/>
    </row>
    <row r="505" ht="15.75" customHeight="1">
      <c r="P505" s="13"/>
    </row>
    <row r="506" ht="15.75" customHeight="1">
      <c r="P506" s="13"/>
    </row>
    <row r="507" ht="15.75" customHeight="1">
      <c r="P507" s="13"/>
    </row>
    <row r="508" ht="15.75" customHeight="1">
      <c r="P508" s="13"/>
    </row>
    <row r="509" ht="15.75" customHeight="1">
      <c r="P509" s="13"/>
    </row>
    <row r="510" ht="15.75" customHeight="1">
      <c r="P510" s="13"/>
    </row>
    <row r="511" ht="15.75" customHeight="1">
      <c r="P511" s="13"/>
    </row>
    <row r="512" ht="15.75" customHeight="1">
      <c r="P512" s="13"/>
    </row>
    <row r="513" ht="15.75" customHeight="1">
      <c r="P513" s="13"/>
    </row>
    <row r="514" ht="15.75" customHeight="1">
      <c r="P514" s="13"/>
    </row>
    <row r="515" ht="15.75" customHeight="1">
      <c r="P515" s="13"/>
    </row>
    <row r="516" ht="15.75" customHeight="1">
      <c r="P516" s="13"/>
    </row>
    <row r="517" ht="15.75" customHeight="1">
      <c r="P517" s="13"/>
    </row>
    <row r="518" ht="15.75" customHeight="1">
      <c r="P518" s="13"/>
    </row>
    <row r="519" ht="15.75" customHeight="1">
      <c r="P519" s="13"/>
    </row>
    <row r="520" ht="15.75" customHeight="1">
      <c r="P520" s="13"/>
    </row>
    <row r="521" ht="15.75" customHeight="1">
      <c r="P521" s="13"/>
    </row>
    <row r="522" ht="15.75" customHeight="1">
      <c r="P522" s="13"/>
    </row>
    <row r="523" ht="15.75" customHeight="1">
      <c r="P523" s="13"/>
    </row>
    <row r="524" ht="15.75" customHeight="1">
      <c r="P524" s="13"/>
    </row>
    <row r="525" ht="15.75" customHeight="1">
      <c r="P525" s="13"/>
    </row>
    <row r="526" ht="15.75" customHeight="1">
      <c r="P526" s="13"/>
    </row>
    <row r="527" ht="15.75" customHeight="1">
      <c r="P527" s="13"/>
    </row>
    <row r="528" ht="15.75" customHeight="1">
      <c r="P528" s="13"/>
    </row>
    <row r="529" ht="15.75" customHeight="1">
      <c r="P529" s="13"/>
    </row>
    <row r="530" ht="15.75" customHeight="1">
      <c r="P530" s="13"/>
    </row>
    <row r="531" ht="15.75" customHeight="1">
      <c r="P531" s="13"/>
    </row>
    <row r="532" ht="15.75" customHeight="1">
      <c r="P532" s="13"/>
    </row>
    <row r="533" ht="15.75" customHeight="1">
      <c r="P533" s="13"/>
    </row>
    <row r="534" ht="15.75" customHeight="1">
      <c r="P534" s="13"/>
    </row>
    <row r="535" ht="15.75" customHeight="1">
      <c r="P535" s="13"/>
    </row>
    <row r="536" ht="15.75" customHeight="1">
      <c r="P536" s="13"/>
    </row>
    <row r="537" ht="15.75" customHeight="1">
      <c r="P537" s="13"/>
    </row>
    <row r="538" ht="15.75" customHeight="1">
      <c r="P538" s="13"/>
    </row>
    <row r="539" ht="15.75" customHeight="1">
      <c r="P539" s="13"/>
    </row>
    <row r="540" ht="15.75" customHeight="1">
      <c r="P540" s="13"/>
    </row>
    <row r="541" ht="15.75" customHeight="1">
      <c r="P541" s="13"/>
    </row>
    <row r="542" ht="15.75" customHeight="1">
      <c r="P542" s="13"/>
    </row>
    <row r="543" ht="15.75" customHeight="1">
      <c r="P543" s="13"/>
    </row>
    <row r="544" ht="15.75" customHeight="1">
      <c r="P544" s="13"/>
    </row>
    <row r="545" ht="15.75" customHeight="1">
      <c r="P545" s="13"/>
    </row>
    <row r="546" ht="15.75" customHeight="1">
      <c r="P546" s="13"/>
    </row>
    <row r="547" ht="15.75" customHeight="1">
      <c r="P547" s="13"/>
    </row>
    <row r="548" ht="15.75" customHeight="1">
      <c r="P548" s="13"/>
    </row>
    <row r="549" ht="15.75" customHeight="1">
      <c r="P549" s="13"/>
    </row>
    <row r="550" ht="15.75" customHeight="1">
      <c r="P550" s="13"/>
    </row>
    <row r="551" ht="15.75" customHeight="1">
      <c r="P551" s="13"/>
    </row>
    <row r="552" ht="15.75" customHeight="1">
      <c r="P552" s="13"/>
    </row>
    <row r="553" ht="15.75" customHeight="1">
      <c r="P553" s="13"/>
    </row>
    <row r="554" ht="15.75" customHeight="1">
      <c r="P554" s="13"/>
    </row>
    <row r="555" ht="15.75" customHeight="1">
      <c r="P555" s="13"/>
    </row>
    <row r="556" ht="15.75" customHeight="1">
      <c r="P556" s="13"/>
    </row>
    <row r="557" ht="15.75" customHeight="1">
      <c r="P557" s="13"/>
    </row>
    <row r="558" ht="15.75" customHeight="1">
      <c r="P558" s="13"/>
    </row>
    <row r="559" ht="15.75" customHeight="1">
      <c r="P559" s="13"/>
    </row>
    <row r="560" ht="15.75" customHeight="1">
      <c r="P560" s="13"/>
    </row>
    <row r="561" ht="15.75" customHeight="1">
      <c r="P561" s="13"/>
    </row>
    <row r="562" ht="15.75" customHeight="1">
      <c r="P562" s="13"/>
    </row>
    <row r="563" ht="15.75" customHeight="1">
      <c r="P563" s="13"/>
    </row>
    <row r="564" ht="15.75" customHeight="1">
      <c r="P564" s="13"/>
    </row>
    <row r="565" ht="15.75" customHeight="1">
      <c r="P565" s="13"/>
    </row>
    <row r="566" ht="15.75" customHeight="1">
      <c r="P566" s="13"/>
    </row>
    <row r="567" ht="15.75" customHeight="1">
      <c r="P567" s="13"/>
    </row>
    <row r="568" ht="15.75" customHeight="1">
      <c r="P568" s="13"/>
    </row>
    <row r="569" ht="15.75" customHeight="1">
      <c r="P569" s="13"/>
    </row>
    <row r="570" ht="15.75" customHeight="1">
      <c r="P570" s="13"/>
    </row>
    <row r="571" ht="15.75" customHeight="1">
      <c r="P571" s="13"/>
    </row>
    <row r="572" ht="15.75" customHeight="1">
      <c r="P572" s="13"/>
    </row>
    <row r="573" ht="15.75" customHeight="1">
      <c r="P573" s="13"/>
    </row>
    <row r="574" ht="15.75" customHeight="1">
      <c r="P574" s="13"/>
    </row>
    <row r="575" ht="15.75" customHeight="1">
      <c r="P575" s="13"/>
    </row>
    <row r="576" ht="15.75" customHeight="1">
      <c r="P576" s="13"/>
    </row>
    <row r="577" ht="15.75" customHeight="1">
      <c r="P577" s="13"/>
    </row>
    <row r="578" ht="15.75" customHeight="1">
      <c r="P578" s="13"/>
    </row>
    <row r="579" ht="15.75" customHeight="1">
      <c r="P579" s="13"/>
    </row>
    <row r="580" ht="15.75" customHeight="1">
      <c r="P580" s="13"/>
    </row>
    <row r="581" ht="15.75" customHeight="1">
      <c r="P581" s="13"/>
    </row>
    <row r="582" ht="15.75" customHeight="1">
      <c r="P582" s="13"/>
    </row>
    <row r="583" ht="15.75" customHeight="1">
      <c r="P583" s="13"/>
    </row>
    <row r="584" ht="15.75" customHeight="1">
      <c r="P584" s="13"/>
    </row>
    <row r="585" ht="15.75" customHeight="1">
      <c r="P585" s="13"/>
    </row>
    <row r="586" ht="15.75" customHeight="1">
      <c r="P586" s="13"/>
    </row>
    <row r="587" ht="15.75" customHeight="1">
      <c r="P587" s="13"/>
    </row>
    <row r="588" ht="15.75" customHeight="1">
      <c r="P588" s="13"/>
    </row>
    <row r="589" ht="15.75" customHeight="1">
      <c r="P589" s="13"/>
    </row>
    <row r="590" ht="15.75" customHeight="1">
      <c r="P590" s="13"/>
    </row>
    <row r="591" ht="15.75" customHeight="1">
      <c r="P591" s="13"/>
    </row>
    <row r="592" ht="15.75" customHeight="1">
      <c r="P592" s="13"/>
    </row>
    <row r="593" ht="15.75" customHeight="1">
      <c r="P593" s="13"/>
    </row>
    <row r="594" ht="15.75" customHeight="1">
      <c r="P594" s="13"/>
    </row>
    <row r="595" ht="15.75" customHeight="1">
      <c r="P595" s="13"/>
    </row>
    <row r="596" ht="15.75" customHeight="1">
      <c r="P596" s="13"/>
    </row>
    <row r="597" ht="15.75" customHeight="1">
      <c r="P597" s="13"/>
    </row>
    <row r="598" ht="15.75" customHeight="1">
      <c r="P598" s="13"/>
    </row>
    <row r="599" ht="15.75" customHeight="1">
      <c r="P599" s="13"/>
    </row>
    <row r="600" ht="15.75" customHeight="1">
      <c r="P600" s="13"/>
    </row>
    <row r="601" ht="15.75" customHeight="1">
      <c r="P601" s="13"/>
    </row>
    <row r="602" ht="15.75" customHeight="1">
      <c r="P602" s="13"/>
    </row>
    <row r="603" ht="15.75" customHeight="1">
      <c r="P603" s="13"/>
    </row>
    <row r="604" ht="15.75" customHeight="1">
      <c r="P604" s="13"/>
    </row>
    <row r="605" ht="15.75" customHeight="1">
      <c r="P605" s="13"/>
    </row>
    <row r="606" ht="15.75" customHeight="1">
      <c r="P606" s="13"/>
    </row>
    <row r="607" ht="15.75" customHeight="1">
      <c r="P607" s="13"/>
    </row>
    <row r="608" ht="15.75" customHeight="1">
      <c r="P608" s="13"/>
    </row>
    <row r="609" ht="15.75" customHeight="1">
      <c r="P609" s="13"/>
    </row>
    <row r="610" ht="15.75" customHeight="1">
      <c r="P610" s="13"/>
    </row>
    <row r="611" ht="15.75" customHeight="1">
      <c r="P611" s="13"/>
    </row>
    <row r="612" ht="15.75" customHeight="1">
      <c r="P612" s="13"/>
    </row>
    <row r="613" ht="15.75" customHeight="1">
      <c r="P613" s="13"/>
    </row>
    <row r="614" ht="15.75" customHeight="1">
      <c r="P614" s="13"/>
    </row>
    <row r="615" ht="15.75" customHeight="1">
      <c r="P615" s="13"/>
    </row>
    <row r="616" ht="15.75" customHeight="1">
      <c r="P616" s="13"/>
    </row>
    <row r="617" ht="15.75" customHeight="1">
      <c r="P617" s="13"/>
    </row>
    <row r="618" ht="15.75" customHeight="1">
      <c r="P618" s="13"/>
    </row>
    <row r="619" ht="15.75" customHeight="1">
      <c r="P619" s="13"/>
    </row>
    <row r="620" ht="15.75" customHeight="1">
      <c r="P620" s="13"/>
    </row>
    <row r="621" ht="15.75" customHeight="1">
      <c r="P621" s="13"/>
    </row>
    <row r="622" ht="15.75" customHeight="1">
      <c r="P622" s="13"/>
    </row>
    <row r="623" ht="15.75" customHeight="1">
      <c r="P623" s="13"/>
    </row>
    <row r="624" ht="15.75" customHeight="1">
      <c r="P624" s="13"/>
    </row>
    <row r="625" ht="15.75" customHeight="1">
      <c r="P625" s="13"/>
    </row>
    <row r="626" ht="15.75" customHeight="1">
      <c r="P626" s="13"/>
    </row>
    <row r="627" ht="15.75" customHeight="1">
      <c r="P627" s="13"/>
    </row>
    <row r="628" ht="15.75" customHeight="1">
      <c r="P628" s="13"/>
    </row>
    <row r="629" ht="15.75" customHeight="1">
      <c r="P629" s="13"/>
    </row>
    <row r="630" ht="15.75" customHeight="1">
      <c r="P630" s="13"/>
    </row>
    <row r="631" ht="15.75" customHeight="1">
      <c r="P631" s="13"/>
    </row>
    <row r="632" ht="15.75" customHeight="1">
      <c r="P632" s="13"/>
    </row>
    <row r="633" ht="15.75" customHeight="1">
      <c r="P633" s="13"/>
    </row>
    <row r="634" ht="15.75" customHeight="1">
      <c r="P634" s="13"/>
    </row>
    <row r="635" ht="15.75" customHeight="1">
      <c r="P635" s="13"/>
    </row>
    <row r="636" ht="15.75" customHeight="1">
      <c r="P636" s="13"/>
    </row>
    <row r="637" ht="15.75" customHeight="1">
      <c r="P637" s="13"/>
    </row>
    <row r="638" ht="15.75" customHeight="1">
      <c r="P638" s="13"/>
    </row>
    <row r="639" ht="15.75" customHeight="1">
      <c r="P639" s="13"/>
    </row>
    <row r="640" ht="15.75" customHeight="1">
      <c r="P640" s="13"/>
    </row>
    <row r="641" ht="15.75" customHeight="1">
      <c r="P641" s="13"/>
    </row>
    <row r="642" ht="15.75" customHeight="1">
      <c r="P642" s="13"/>
    </row>
    <row r="643" ht="15.75" customHeight="1">
      <c r="P643" s="13"/>
    </row>
    <row r="644" ht="15.75" customHeight="1">
      <c r="P644" s="13"/>
    </row>
    <row r="645" ht="15.75" customHeight="1">
      <c r="P645" s="13"/>
    </row>
    <row r="646" ht="15.75" customHeight="1">
      <c r="P646" s="13"/>
    </row>
    <row r="647" ht="15.75" customHeight="1">
      <c r="P647" s="13"/>
    </row>
    <row r="648" ht="15.75" customHeight="1">
      <c r="P648" s="13"/>
    </row>
    <row r="649" ht="15.75" customHeight="1">
      <c r="P649" s="13"/>
    </row>
    <row r="650" ht="15.75" customHeight="1">
      <c r="P650" s="13"/>
    </row>
    <row r="651" ht="15.75" customHeight="1">
      <c r="P651" s="13"/>
    </row>
    <row r="652" ht="15.75" customHeight="1">
      <c r="P652" s="13"/>
    </row>
    <row r="653" ht="15.75" customHeight="1">
      <c r="P653" s="13"/>
    </row>
    <row r="654" ht="15.75" customHeight="1">
      <c r="P654" s="13"/>
    </row>
    <row r="655" ht="15.75" customHeight="1">
      <c r="P655" s="13"/>
    </row>
    <row r="656" ht="15.75" customHeight="1">
      <c r="P656" s="13"/>
    </row>
    <row r="657" ht="15.75" customHeight="1">
      <c r="P657" s="13"/>
    </row>
    <row r="658" ht="15.75" customHeight="1">
      <c r="P658" s="13"/>
    </row>
    <row r="659" ht="15.75" customHeight="1">
      <c r="P659" s="13"/>
    </row>
    <row r="660" ht="15.75" customHeight="1">
      <c r="P660" s="13"/>
    </row>
    <row r="661" ht="15.75" customHeight="1">
      <c r="P661" s="13"/>
    </row>
    <row r="662" ht="15.75" customHeight="1">
      <c r="P662" s="13"/>
    </row>
    <row r="663" ht="15.75" customHeight="1">
      <c r="P663" s="13"/>
    </row>
    <row r="664" ht="15.75" customHeight="1">
      <c r="P664" s="13"/>
    </row>
    <row r="665" ht="15.75" customHeight="1">
      <c r="P665" s="13"/>
    </row>
    <row r="666" ht="15.75" customHeight="1">
      <c r="P666" s="13"/>
    </row>
    <row r="667" ht="15.75" customHeight="1">
      <c r="P667" s="13"/>
    </row>
    <row r="668" ht="15.75" customHeight="1">
      <c r="P668" s="13"/>
    </row>
    <row r="669" ht="15.75" customHeight="1">
      <c r="P669" s="13"/>
    </row>
    <row r="670" ht="15.75" customHeight="1">
      <c r="P670" s="13"/>
    </row>
    <row r="671" ht="15.75" customHeight="1">
      <c r="P671" s="13"/>
    </row>
    <row r="672" ht="15.75" customHeight="1">
      <c r="P672" s="13"/>
    </row>
    <row r="673" ht="15.75" customHeight="1">
      <c r="P673" s="13"/>
    </row>
    <row r="674" ht="15.75" customHeight="1">
      <c r="P674" s="13"/>
    </row>
    <row r="675" ht="15.75" customHeight="1">
      <c r="P675" s="13"/>
    </row>
    <row r="676" ht="15.75" customHeight="1">
      <c r="P676" s="13"/>
    </row>
    <row r="677" ht="15.75" customHeight="1">
      <c r="P677" s="13"/>
    </row>
    <row r="678" ht="15.75" customHeight="1">
      <c r="P678" s="13"/>
    </row>
    <row r="679" ht="15.75" customHeight="1">
      <c r="P679" s="13"/>
    </row>
    <row r="680" ht="15.75" customHeight="1">
      <c r="P680" s="13"/>
    </row>
    <row r="681" ht="15.75" customHeight="1">
      <c r="P681" s="13"/>
    </row>
    <row r="682" ht="15.75" customHeight="1">
      <c r="P682" s="13"/>
    </row>
    <row r="683" ht="15.75" customHeight="1">
      <c r="P683" s="13"/>
    </row>
    <row r="684" ht="15.75" customHeight="1">
      <c r="P684" s="13"/>
    </row>
    <row r="685" ht="15.75" customHeight="1">
      <c r="P685" s="13"/>
    </row>
    <row r="686" ht="15.75" customHeight="1">
      <c r="P686" s="13"/>
    </row>
    <row r="687" ht="15.75" customHeight="1">
      <c r="P687" s="13"/>
    </row>
    <row r="688" ht="15.75" customHeight="1">
      <c r="P688" s="13"/>
    </row>
    <row r="689" ht="15.75" customHeight="1">
      <c r="P689" s="13"/>
    </row>
    <row r="690" ht="15.75" customHeight="1">
      <c r="P690" s="13"/>
    </row>
    <row r="691" ht="15.75" customHeight="1">
      <c r="P691" s="13"/>
    </row>
    <row r="692" ht="15.75" customHeight="1">
      <c r="P692" s="13"/>
    </row>
    <row r="693" ht="15.75" customHeight="1">
      <c r="P693" s="13"/>
    </row>
    <row r="694" ht="15.75" customHeight="1">
      <c r="P694" s="13"/>
    </row>
    <row r="695" ht="15.75" customHeight="1">
      <c r="P695" s="13"/>
    </row>
    <row r="696" ht="15.75" customHeight="1">
      <c r="P696" s="13"/>
    </row>
    <row r="697" ht="15.75" customHeight="1">
      <c r="P697" s="13"/>
    </row>
    <row r="698" ht="15.75" customHeight="1">
      <c r="P698" s="13"/>
    </row>
    <row r="699" ht="15.75" customHeight="1">
      <c r="P699" s="13"/>
    </row>
    <row r="700" ht="15.75" customHeight="1">
      <c r="P700" s="13"/>
    </row>
    <row r="701" ht="15.75" customHeight="1">
      <c r="P701" s="13"/>
    </row>
    <row r="702" ht="15.75" customHeight="1">
      <c r="P702" s="13"/>
    </row>
    <row r="703" ht="15.75" customHeight="1">
      <c r="P703" s="13"/>
    </row>
    <row r="704" ht="15.75" customHeight="1">
      <c r="P704" s="13"/>
    </row>
    <row r="705" ht="15.75" customHeight="1">
      <c r="P705" s="13"/>
    </row>
    <row r="706" ht="15.75" customHeight="1">
      <c r="P706" s="13"/>
    </row>
    <row r="707" ht="15.75" customHeight="1">
      <c r="P707" s="13"/>
    </row>
    <row r="708" ht="15.75" customHeight="1">
      <c r="P708" s="13"/>
    </row>
    <row r="709" ht="15.75" customHeight="1">
      <c r="P709" s="13"/>
    </row>
    <row r="710" ht="15.75" customHeight="1">
      <c r="P710" s="13"/>
    </row>
    <row r="711" ht="15.75" customHeight="1">
      <c r="P711" s="13"/>
    </row>
    <row r="712" ht="15.75" customHeight="1">
      <c r="P712" s="13"/>
    </row>
    <row r="713" ht="15.75" customHeight="1">
      <c r="P713" s="13"/>
    </row>
    <row r="714" ht="15.75" customHeight="1">
      <c r="P714" s="13"/>
    </row>
    <row r="715" ht="15.75" customHeight="1">
      <c r="P715" s="13"/>
    </row>
    <row r="716" ht="15.75" customHeight="1">
      <c r="P716" s="13"/>
    </row>
    <row r="717" ht="15.75" customHeight="1">
      <c r="P717" s="13"/>
    </row>
    <row r="718" ht="15.75" customHeight="1">
      <c r="P718" s="13"/>
    </row>
    <row r="719" ht="15.75" customHeight="1">
      <c r="P719" s="13"/>
    </row>
    <row r="720" ht="15.75" customHeight="1">
      <c r="P720" s="13"/>
    </row>
    <row r="721" ht="15.75" customHeight="1">
      <c r="P721" s="13"/>
    </row>
    <row r="722" ht="15.75" customHeight="1">
      <c r="P722" s="13"/>
    </row>
    <row r="723" ht="15.75" customHeight="1">
      <c r="P723" s="13"/>
    </row>
    <row r="724" ht="15.75" customHeight="1">
      <c r="P724" s="13"/>
    </row>
    <row r="725" ht="15.75" customHeight="1">
      <c r="P725" s="13"/>
    </row>
    <row r="726" ht="15.75" customHeight="1">
      <c r="P726" s="13"/>
    </row>
    <row r="727" ht="15.75" customHeight="1">
      <c r="P727" s="13"/>
    </row>
    <row r="728" ht="15.75" customHeight="1">
      <c r="P728" s="13"/>
    </row>
    <row r="729" ht="15.75" customHeight="1">
      <c r="P729" s="13"/>
    </row>
    <row r="730" ht="15.75" customHeight="1">
      <c r="P730" s="13"/>
    </row>
    <row r="731" ht="15.75" customHeight="1">
      <c r="P731" s="13"/>
    </row>
    <row r="732" ht="15.75" customHeight="1">
      <c r="P732" s="13"/>
    </row>
    <row r="733" ht="15.75" customHeight="1">
      <c r="P733" s="13"/>
    </row>
    <row r="734" ht="15.75" customHeight="1">
      <c r="P734" s="13"/>
    </row>
    <row r="735" ht="15.75" customHeight="1">
      <c r="P735" s="13"/>
    </row>
    <row r="736" ht="15.75" customHeight="1">
      <c r="P736" s="13"/>
    </row>
    <row r="737" ht="15.75" customHeight="1">
      <c r="P737" s="13"/>
    </row>
    <row r="738" ht="15.75" customHeight="1">
      <c r="P738" s="13"/>
    </row>
    <row r="739" ht="15.75" customHeight="1">
      <c r="P739" s="13"/>
    </row>
    <row r="740" ht="15.75" customHeight="1">
      <c r="P740" s="13"/>
    </row>
    <row r="741" ht="15.75" customHeight="1">
      <c r="P741" s="13"/>
    </row>
    <row r="742" ht="15.75" customHeight="1">
      <c r="P742" s="13"/>
    </row>
    <row r="743" ht="15.75" customHeight="1">
      <c r="P743" s="13"/>
    </row>
    <row r="744" ht="15.75" customHeight="1">
      <c r="P744" s="13"/>
    </row>
    <row r="745" ht="15.75" customHeight="1">
      <c r="P745" s="13"/>
    </row>
    <row r="746" ht="15.75" customHeight="1">
      <c r="P746" s="13"/>
    </row>
    <row r="747" ht="15.75" customHeight="1">
      <c r="P747" s="13"/>
    </row>
    <row r="748" ht="15.75" customHeight="1">
      <c r="P748" s="13"/>
    </row>
    <row r="749" ht="15.75" customHeight="1">
      <c r="P749" s="13"/>
    </row>
    <row r="750" ht="15.75" customHeight="1">
      <c r="P750" s="13"/>
    </row>
    <row r="751" ht="15.75" customHeight="1">
      <c r="P751" s="13"/>
    </row>
    <row r="752" ht="15.75" customHeight="1">
      <c r="P752" s="13"/>
    </row>
    <row r="753" ht="15.75" customHeight="1">
      <c r="P753" s="13"/>
    </row>
    <row r="754" ht="15.75" customHeight="1">
      <c r="P754" s="13"/>
    </row>
    <row r="755" ht="15.75" customHeight="1">
      <c r="P755" s="13"/>
    </row>
    <row r="756" ht="15.75" customHeight="1">
      <c r="P756" s="13"/>
    </row>
    <row r="757" ht="15.75" customHeight="1">
      <c r="P757" s="13"/>
    </row>
    <row r="758" ht="15.75" customHeight="1">
      <c r="P758" s="13"/>
    </row>
    <row r="759" ht="15.75" customHeight="1">
      <c r="P759" s="13"/>
    </row>
    <row r="760" ht="15.75" customHeight="1">
      <c r="P760" s="13"/>
    </row>
    <row r="761" ht="15.75" customHeight="1">
      <c r="P761" s="13"/>
    </row>
    <row r="762" ht="15.75" customHeight="1">
      <c r="P762" s="13"/>
    </row>
    <row r="763" ht="15.75" customHeight="1">
      <c r="P763" s="13"/>
    </row>
    <row r="764" ht="15.75" customHeight="1">
      <c r="P764" s="13"/>
    </row>
    <row r="765" ht="15.75" customHeight="1">
      <c r="P765" s="13"/>
    </row>
    <row r="766" ht="15.75" customHeight="1">
      <c r="P766" s="13"/>
    </row>
    <row r="767" ht="15.75" customHeight="1">
      <c r="P767" s="13"/>
    </row>
    <row r="768" ht="15.75" customHeight="1">
      <c r="P768" s="13"/>
    </row>
    <row r="769" ht="15.75" customHeight="1">
      <c r="P769" s="13"/>
    </row>
    <row r="770" ht="15.75" customHeight="1">
      <c r="P770" s="13"/>
    </row>
    <row r="771" ht="15.75" customHeight="1">
      <c r="P771" s="13"/>
    </row>
    <row r="772" ht="15.75" customHeight="1">
      <c r="P772" s="13"/>
    </row>
    <row r="773" ht="15.75" customHeight="1">
      <c r="P773" s="13"/>
    </row>
    <row r="774" ht="15.75" customHeight="1">
      <c r="P774" s="13"/>
    </row>
    <row r="775" ht="15.75" customHeight="1">
      <c r="P775" s="13"/>
    </row>
    <row r="776" ht="15.75" customHeight="1">
      <c r="P776" s="13"/>
    </row>
    <row r="777" ht="15.75" customHeight="1">
      <c r="P777" s="13"/>
    </row>
    <row r="778" ht="15.75" customHeight="1">
      <c r="P778" s="13"/>
    </row>
    <row r="779" ht="15.75" customHeight="1">
      <c r="P779" s="13"/>
    </row>
    <row r="780" ht="15.75" customHeight="1">
      <c r="P780" s="13"/>
    </row>
    <row r="781" ht="15.75" customHeight="1">
      <c r="P781" s="13"/>
    </row>
    <row r="782" ht="15.75" customHeight="1">
      <c r="P782" s="13"/>
    </row>
    <row r="783" ht="15.75" customHeight="1">
      <c r="P783" s="13"/>
    </row>
    <row r="784" ht="15.75" customHeight="1">
      <c r="P784" s="13"/>
    </row>
    <row r="785" ht="15.75" customHeight="1">
      <c r="P785" s="13"/>
    </row>
    <row r="786" ht="15.75" customHeight="1">
      <c r="P786" s="13"/>
    </row>
    <row r="787" ht="15.75" customHeight="1">
      <c r="P787" s="13"/>
    </row>
    <row r="788" ht="15.75" customHeight="1">
      <c r="P788" s="13"/>
    </row>
    <row r="789" ht="15.75" customHeight="1">
      <c r="P789" s="13"/>
    </row>
    <row r="790" ht="15.75" customHeight="1">
      <c r="P790" s="13"/>
    </row>
    <row r="791" ht="15.75" customHeight="1">
      <c r="P791" s="13"/>
    </row>
    <row r="792" ht="15.75" customHeight="1">
      <c r="P792" s="13"/>
    </row>
    <row r="793" ht="15.75" customHeight="1">
      <c r="P793" s="13"/>
    </row>
    <row r="794" ht="15.75" customHeight="1">
      <c r="P794" s="13"/>
    </row>
    <row r="795" ht="15.75" customHeight="1">
      <c r="P795" s="13"/>
    </row>
    <row r="796" ht="15.75" customHeight="1">
      <c r="P796" s="13"/>
    </row>
    <row r="797" ht="15.75" customHeight="1">
      <c r="P797" s="13"/>
    </row>
    <row r="798" ht="15.75" customHeight="1">
      <c r="P798" s="13"/>
    </row>
    <row r="799" ht="15.75" customHeight="1">
      <c r="P799" s="13"/>
    </row>
    <row r="800" ht="15.75" customHeight="1">
      <c r="P800" s="13"/>
    </row>
    <row r="801" ht="15.75" customHeight="1">
      <c r="P801" s="13"/>
    </row>
    <row r="802" ht="15.75" customHeight="1">
      <c r="P802" s="13"/>
    </row>
    <row r="803" ht="15.75" customHeight="1">
      <c r="P803" s="13"/>
    </row>
    <row r="804" ht="15.75" customHeight="1">
      <c r="P804" s="13"/>
    </row>
    <row r="805" ht="15.75" customHeight="1">
      <c r="P805" s="13"/>
    </row>
    <row r="806" ht="15.75" customHeight="1">
      <c r="P806" s="13"/>
    </row>
    <row r="807" ht="15.75" customHeight="1">
      <c r="P807" s="13"/>
    </row>
    <row r="808" ht="15.75" customHeight="1">
      <c r="P808" s="13"/>
    </row>
    <row r="809" ht="15.75" customHeight="1">
      <c r="P809" s="13"/>
    </row>
    <row r="810" ht="15.75" customHeight="1">
      <c r="P810" s="13"/>
    </row>
    <row r="811" ht="15.75" customHeight="1">
      <c r="P811" s="13"/>
    </row>
    <row r="812" ht="15.75" customHeight="1">
      <c r="P812" s="13"/>
    </row>
    <row r="813" ht="15.75" customHeight="1">
      <c r="P813" s="13"/>
    </row>
    <row r="814" ht="15.75" customHeight="1">
      <c r="P814" s="13"/>
    </row>
    <row r="815" ht="15.75" customHeight="1">
      <c r="P815" s="13"/>
    </row>
    <row r="816" ht="15.75" customHeight="1">
      <c r="P816" s="13"/>
    </row>
    <row r="817" ht="15.75" customHeight="1">
      <c r="P817" s="13"/>
    </row>
    <row r="818" ht="15.75" customHeight="1">
      <c r="P818" s="13"/>
    </row>
    <row r="819" ht="15.75" customHeight="1">
      <c r="P819" s="13"/>
    </row>
    <row r="820" ht="15.75" customHeight="1">
      <c r="P820" s="13"/>
    </row>
    <row r="821" ht="15.75" customHeight="1">
      <c r="P821" s="13"/>
    </row>
    <row r="822" ht="15.75" customHeight="1">
      <c r="P822" s="13"/>
    </row>
    <row r="823" ht="15.75" customHeight="1">
      <c r="P823" s="13"/>
    </row>
    <row r="824" ht="15.75" customHeight="1">
      <c r="P824" s="13"/>
    </row>
    <row r="825" ht="15.75" customHeight="1">
      <c r="P825" s="13"/>
    </row>
    <row r="826" ht="15.75" customHeight="1">
      <c r="P826" s="13"/>
    </row>
    <row r="827" ht="15.75" customHeight="1">
      <c r="P827" s="13"/>
    </row>
    <row r="828" ht="15.75" customHeight="1">
      <c r="P828" s="13"/>
    </row>
    <row r="829" ht="15.75" customHeight="1">
      <c r="P829" s="13"/>
    </row>
    <row r="830" ht="15.75" customHeight="1">
      <c r="P830" s="13"/>
    </row>
    <row r="831" ht="15.75" customHeight="1">
      <c r="P831" s="13"/>
    </row>
    <row r="832" ht="15.75" customHeight="1">
      <c r="P832" s="13"/>
    </row>
    <row r="833" ht="15.75" customHeight="1">
      <c r="P833" s="13"/>
    </row>
    <row r="834" ht="15.75" customHeight="1">
      <c r="P834" s="13"/>
    </row>
    <row r="835" ht="15.75" customHeight="1">
      <c r="P835" s="13"/>
    </row>
    <row r="836" ht="15.75" customHeight="1">
      <c r="P836" s="13"/>
    </row>
    <row r="837" ht="15.75" customHeight="1">
      <c r="P837" s="13"/>
    </row>
    <row r="838" ht="15.75" customHeight="1">
      <c r="P838" s="13"/>
    </row>
    <row r="839" ht="15.75" customHeight="1">
      <c r="P839" s="13"/>
    </row>
    <row r="840" ht="15.75" customHeight="1">
      <c r="P840" s="13"/>
    </row>
    <row r="841" ht="15.75" customHeight="1">
      <c r="P841" s="13"/>
    </row>
    <row r="842" ht="15.75" customHeight="1">
      <c r="P842" s="13"/>
    </row>
    <row r="843" ht="15.75" customHeight="1">
      <c r="P843" s="13"/>
    </row>
    <row r="844" ht="15.75" customHeight="1">
      <c r="P844" s="13"/>
    </row>
    <row r="845" ht="15.75" customHeight="1">
      <c r="P845" s="13"/>
    </row>
    <row r="846" ht="15.75" customHeight="1">
      <c r="P846" s="13"/>
    </row>
    <row r="847" ht="15.75" customHeight="1">
      <c r="P847" s="13"/>
    </row>
    <row r="848" ht="15.75" customHeight="1">
      <c r="P848" s="13"/>
    </row>
    <row r="849" ht="15.75" customHeight="1">
      <c r="P849" s="13"/>
    </row>
    <row r="850" ht="15.75" customHeight="1">
      <c r="P850" s="13"/>
    </row>
    <row r="851" ht="15.75" customHeight="1">
      <c r="P851" s="13"/>
    </row>
    <row r="852" ht="15.75" customHeight="1">
      <c r="P852" s="13"/>
    </row>
    <row r="853" ht="15.75" customHeight="1">
      <c r="P853" s="13"/>
    </row>
    <row r="854" ht="15.75" customHeight="1">
      <c r="P854" s="13"/>
    </row>
    <row r="855" ht="15.75" customHeight="1">
      <c r="P855" s="13"/>
    </row>
    <row r="856" ht="15.75" customHeight="1">
      <c r="P856" s="13"/>
    </row>
    <row r="857" ht="15.75" customHeight="1">
      <c r="P857" s="13"/>
    </row>
    <row r="858" ht="15.75" customHeight="1">
      <c r="P858" s="13"/>
    </row>
    <row r="859" ht="15.75" customHeight="1">
      <c r="P859" s="13"/>
    </row>
    <row r="860" ht="15.75" customHeight="1">
      <c r="P860" s="13"/>
    </row>
    <row r="861" ht="15.75" customHeight="1">
      <c r="P861" s="13"/>
    </row>
    <row r="862" ht="15.75" customHeight="1">
      <c r="P862" s="13"/>
    </row>
    <row r="863" ht="15.75" customHeight="1">
      <c r="P863" s="13"/>
    </row>
    <row r="864" ht="15.75" customHeight="1">
      <c r="P864" s="13"/>
    </row>
    <row r="865" ht="15.75" customHeight="1">
      <c r="P865" s="13"/>
    </row>
    <row r="866" ht="15.75" customHeight="1">
      <c r="P866" s="13"/>
    </row>
    <row r="867" ht="15.75" customHeight="1">
      <c r="P867" s="13"/>
    </row>
    <row r="868" ht="15.75" customHeight="1">
      <c r="P868" s="13"/>
    </row>
    <row r="869" ht="15.75" customHeight="1">
      <c r="P869" s="13"/>
    </row>
    <row r="870" ht="15.75" customHeight="1">
      <c r="P870" s="13"/>
    </row>
    <row r="871" ht="15.75" customHeight="1">
      <c r="P871" s="13"/>
    </row>
    <row r="872" ht="15.75" customHeight="1">
      <c r="P872" s="13"/>
    </row>
    <row r="873" ht="15.75" customHeight="1">
      <c r="P873" s="13"/>
    </row>
    <row r="874" ht="15.75" customHeight="1">
      <c r="P874" s="13"/>
    </row>
    <row r="875" ht="15.75" customHeight="1">
      <c r="P875" s="13"/>
    </row>
    <row r="876" ht="15.75" customHeight="1">
      <c r="P876" s="13"/>
    </row>
    <row r="877" ht="15.75" customHeight="1">
      <c r="P877" s="13"/>
    </row>
    <row r="878" ht="15.75" customHeight="1">
      <c r="P878" s="13"/>
    </row>
    <row r="879" ht="15.75" customHeight="1">
      <c r="P879" s="13"/>
    </row>
    <row r="880" ht="15.75" customHeight="1">
      <c r="P880" s="13"/>
    </row>
    <row r="881" ht="15.75" customHeight="1">
      <c r="P881" s="13"/>
    </row>
    <row r="882" ht="15.75" customHeight="1">
      <c r="P882" s="13"/>
    </row>
    <row r="883" ht="15.75" customHeight="1">
      <c r="P883" s="13"/>
    </row>
    <row r="884" ht="15.75" customHeight="1">
      <c r="P884" s="13"/>
    </row>
    <row r="885" ht="15.75" customHeight="1">
      <c r="P885" s="13"/>
    </row>
    <row r="886" ht="15.75" customHeight="1">
      <c r="P886" s="13"/>
    </row>
    <row r="887" ht="15.75" customHeight="1">
      <c r="P887" s="13"/>
    </row>
    <row r="888" ht="15.75" customHeight="1">
      <c r="P888" s="13"/>
    </row>
    <row r="889" ht="15.75" customHeight="1">
      <c r="P889" s="13"/>
    </row>
    <row r="890" ht="15.75" customHeight="1">
      <c r="P890" s="13"/>
    </row>
    <row r="891" ht="15.75" customHeight="1">
      <c r="P891" s="13"/>
    </row>
    <row r="892" ht="15.75" customHeight="1">
      <c r="P892" s="13"/>
    </row>
    <row r="893" ht="15.75" customHeight="1">
      <c r="P893" s="13"/>
    </row>
    <row r="894" ht="15.75" customHeight="1">
      <c r="P894" s="13"/>
    </row>
    <row r="895" ht="15.75" customHeight="1">
      <c r="P895" s="13"/>
    </row>
    <row r="896" ht="15.75" customHeight="1">
      <c r="P896" s="13"/>
    </row>
    <row r="897" ht="15.75" customHeight="1">
      <c r="P897" s="13"/>
    </row>
    <row r="898" ht="15.75" customHeight="1">
      <c r="P898" s="13"/>
    </row>
    <row r="899" ht="15.75" customHeight="1">
      <c r="P899" s="13"/>
    </row>
    <row r="900" ht="15.75" customHeight="1">
      <c r="P900" s="13"/>
    </row>
    <row r="901" ht="15.75" customHeight="1">
      <c r="P901" s="13"/>
    </row>
    <row r="902" ht="15.75" customHeight="1">
      <c r="P902" s="13"/>
    </row>
    <row r="903" ht="15.75" customHeight="1">
      <c r="P903" s="13"/>
    </row>
    <row r="904" ht="15.75" customHeight="1">
      <c r="P904" s="13"/>
    </row>
    <row r="905" ht="15.75" customHeight="1">
      <c r="P905" s="13"/>
    </row>
    <row r="906" ht="15.75" customHeight="1">
      <c r="P906" s="13"/>
    </row>
    <row r="907" ht="15.75" customHeight="1">
      <c r="P907" s="13"/>
    </row>
    <row r="908" ht="15.75" customHeight="1">
      <c r="P908" s="13"/>
    </row>
    <row r="909" ht="15.75" customHeight="1">
      <c r="P909" s="13"/>
    </row>
    <row r="910" ht="15.75" customHeight="1">
      <c r="P910" s="13"/>
    </row>
    <row r="911" ht="15.75" customHeight="1">
      <c r="P911" s="13"/>
    </row>
    <row r="912" ht="15.75" customHeight="1">
      <c r="P912" s="13"/>
    </row>
    <row r="913" ht="15.75" customHeight="1">
      <c r="P913" s="13"/>
    </row>
    <row r="914" ht="15.75" customHeight="1">
      <c r="P914" s="13"/>
    </row>
    <row r="915" ht="15.75" customHeight="1">
      <c r="P915" s="13"/>
    </row>
    <row r="916" ht="15.75" customHeight="1">
      <c r="P916" s="13"/>
    </row>
    <row r="917" ht="15.75" customHeight="1">
      <c r="P917" s="13"/>
    </row>
    <row r="918" ht="15.75" customHeight="1">
      <c r="P918" s="13"/>
    </row>
    <row r="919" ht="15.75" customHeight="1">
      <c r="P919" s="13"/>
    </row>
    <row r="920" ht="15.75" customHeight="1">
      <c r="P920" s="13"/>
    </row>
    <row r="921" ht="15.75" customHeight="1">
      <c r="P921" s="13"/>
    </row>
    <row r="922" ht="15.75" customHeight="1">
      <c r="P922" s="13"/>
    </row>
    <row r="923" ht="15.75" customHeight="1">
      <c r="P923" s="13"/>
    </row>
    <row r="924" ht="15.75" customHeight="1">
      <c r="P924" s="13"/>
    </row>
    <row r="925" ht="15.75" customHeight="1">
      <c r="P925" s="13"/>
    </row>
    <row r="926" ht="15.75" customHeight="1">
      <c r="P926" s="13"/>
    </row>
    <row r="927" ht="15.75" customHeight="1">
      <c r="P927" s="13"/>
    </row>
    <row r="928" ht="15.75" customHeight="1">
      <c r="P928" s="13"/>
    </row>
    <row r="929" ht="15.75" customHeight="1">
      <c r="P929" s="13"/>
    </row>
    <row r="930" ht="15.75" customHeight="1">
      <c r="P930" s="13"/>
    </row>
    <row r="931" ht="15.75" customHeight="1">
      <c r="P931" s="13"/>
    </row>
    <row r="932" ht="15.75" customHeight="1">
      <c r="P932" s="13"/>
    </row>
    <row r="933" ht="15.75" customHeight="1">
      <c r="P933" s="13"/>
    </row>
    <row r="934" ht="15.75" customHeight="1">
      <c r="P934" s="13"/>
    </row>
    <row r="935" ht="15.75" customHeight="1">
      <c r="P935" s="13"/>
    </row>
    <row r="936" ht="15.75" customHeight="1">
      <c r="P936" s="13"/>
    </row>
    <row r="937" ht="15.75" customHeight="1">
      <c r="P937" s="13"/>
    </row>
    <row r="938" ht="15.75" customHeight="1">
      <c r="P938" s="13"/>
    </row>
    <row r="939" ht="15.75" customHeight="1">
      <c r="P939" s="13"/>
    </row>
    <row r="940" ht="15.75" customHeight="1">
      <c r="P940" s="13"/>
    </row>
    <row r="941" ht="15.75" customHeight="1">
      <c r="P941" s="13"/>
    </row>
    <row r="942" ht="15.75" customHeight="1">
      <c r="P942" s="13"/>
    </row>
    <row r="943" ht="15.75" customHeight="1">
      <c r="P943" s="13"/>
    </row>
    <row r="944" ht="15.75" customHeight="1">
      <c r="P944" s="13"/>
    </row>
    <row r="945" ht="15.75" customHeight="1">
      <c r="P945" s="13"/>
    </row>
    <row r="946" ht="15.75" customHeight="1">
      <c r="P946" s="13"/>
    </row>
    <row r="947" ht="15.75" customHeight="1">
      <c r="P947" s="13"/>
    </row>
    <row r="948" ht="15.75" customHeight="1">
      <c r="P948" s="13"/>
    </row>
    <row r="949" ht="15.75" customHeight="1">
      <c r="P949" s="13"/>
    </row>
    <row r="950" ht="15.75" customHeight="1">
      <c r="P950" s="13"/>
    </row>
    <row r="951" ht="15.75" customHeight="1">
      <c r="P951" s="13"/>
    </row>
    <row r="952" ht="15.75" customHeight="1">
      <c r="P952" s="13"/>
    </row>
    <row r="953" ht="15.75" customHeight="1">
      <c r="P953" s="13"/>
    </row>
    <row r="954" ht="15.75" customHeight="1">
      <c r="P954" s="13"/>
    </row>
    <row r="955" ht="15.75" customHeight="1">
      <c r="P955" s="13"/>
    </row>
    <row r="956" ht="15.75" customHeight="1">
      <c r="P956" s="13"/>
    </row>
    <row r="957" ht="15.75" customHeight="1">
      <c r="P957" s="13"/>
    </row>
    <row r="958" ht="15.75" customHeight="1">
      <c r="P958" s="13"/>
    </row>
    <row r="959" ht="15.75" customHeight="1">
      <c r="P959" s="13"/>
    </row>
    <row r="960" ht="15.75" customHeight="1">
      <c r="P960" s="13"/>
    </row>
    <row r="961" ht="15.75" customHeight="1">
      <c r="P961" s="13"/>
    </row>
    <row r="962" ht="15.75" customHeight="1">
      <c r="P962" s="13"/>
    </row>
    <row r="963" ht="15.75" customHeight="1">
      <c r="P963" s="13"/>
    </row>
    <row r="964" ht="15.75" customHeight="1">
      <c r="P964" s="13"/>
    </row>
    <row r="965" ht="15.75" customHeight="1">
      <c r="P965" s="13"/>
    </row>
    <row r="966" ht="15.75" customHeight="1">
      <c r="P966" s="13"/>
    </row>
    <row r="967" ht="15.75" customHeight="1">
      <c r="P967" s="13"/>
    </row>
    <row r="968" ht="15.75" customHeight="1">
      <c r="P968" s="13"/>
    </row>
    <row r="969" ht="15.75" customHeight="1">
      <c r="P969" s="13"/>
    </row>
    <row r="970" ht="15.75" customHeight="1">
      <c r="P970" s="13"/>
    </row>
    <row r="971" ht="15.75" customHeight="1">
      <c r="P971" s="13"/>
    </row>
    <row r="972" ht="15.75" customHeight="1">
      <c r="P972" s="13"/>
    </row>
    <row r="973" ht="15.75" customHeight="1">
      <c r="P973" s="13"/>
    </row>
    <row r="974" ht="15.75" customHeight="1">
      <c r="P974" s="13"/>
    </row>
    <row r="975" ht="15.75" customHeight="1">
      <c r="P975" s="13"/>
    </row>
    <row r="976" ht="15.75" customHeight="1">
      <c r="P976" s="13"/>
    </row>
    <row r="977" ht="15.75" customHeight="1">
      <c r="P977" s="13"/>
    </row>
    <row r="978" ht="15.75" customHeight="1">
      <c r="P978" s="13"/>
    </row>
    <row r="979" ht="15.75" customHeight="1">
      <c r="P979" s="13"/>
    </row>
    <row r="980" ht="15.75" customHeight="1">
      <c r="P980" s="13"/>
    </row>
    <row r="981" ht="15.75" customHeight="1">
      <c r="P981" s="13"/>
    </row>
    <row r="982" ht="15.75" customHeight="1">
      <c r="P982" s="13"/>
    </row>
    <row r="983" ht="15.75" customHeight="1">
      <c r="P983" s="13"/>
    </row>
    <row r="984" ht="15.75" customHeight="1">
      <c r="P984" s="13"/>
    </row>
    <row r="985" ht="15.75" customHeight="1">
      <c r="P985" s="13"/>
    </row>
    <row r="986" ht="15.75" customHeight="1">
      <c r="P986" s="13"/>
    </row>
    <row r="987" ht="15.75" customHeight="1">
      <c r="P987" s="13"/>
    </row>
    <row r="988" ht="15.75" customHeight="1">
      <c r="P988" s="13"/>
    </row>
    <row r="989" ht="15.75" customHeight="1">
      <c r="P989" s="13"/>
    </row>
    <row r="990" ht="15.75" customHeight="1">
      <c r="P990" s="13"/>
    </row>
    <row r="991" ht="15.75" customHeight="1">
      <c r="P991" s="13"/>
    </row>
    <row r="992" ht="15.75" customHeight="1">
      <c r="P992" s="13"/>
    </row>
    <row r="993" ht="15.75" customHeight="1">
      <c r="P993" s="13"/>
    </row>
    <row r="994" ht="15.75" customHeight="1">
      <c r="P994" s="13"/>
    </row>
    <row r="995" ht="15.75" customHeight="1">
      <c r="P995" s="13"/>
    </row>
    <row r="996" ht="15.75" customHeight="1">
      <c r="P996" s="13"/>
    </row>
    <row r="997" ht="15.75" customHeight="1">
      <c r="P997" s="13"/>
    </row>
    <row r="998" ht="15.75" customHeight="1">
      <c r="P998" s="13"/>
    </row>
    <row r="999" ht="15.75" customHeight="1">
      <c r="P999" s="13"/>
    </row>
    <row r="1000" ht="15.75" customHeight="1">
      <c r="P1000" s="13"/>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71"/>
    <col customWidth="1" min="2" max="2" width="41.71"/>
    <col customWidth="1" min="3" max="3" width="34.86"/>
  </cols>
  <sheetData>
    <row r="1">
      <c r="A1" s="7" t="s">
        <v>1</v>
      </c>
      <c r="B1" s="7" t="s">
        <v>1896</v>
      </c>
      <c r="C1" s="7" t="s">
        <v>1897</v>
      </c>
    </row>
    <row r="2">
      <c r="A2" s="5" t="str">
        <f t="array" ref="A2:A102">UNIQUE('02 EXPERIENCIA LABORAL'!B2:B1000)</f>
        <v>29569533</v>
      </c>
      <c r="B2" s="5">
        <f>IF(SUMIF('02 EXPERIENCIA LABORAL'!B:B,A2,'02 EXPERIENCIA LABORAL'!P:P)&gt;0,1,0)</f>
        <v>0</v>
      </c>
      <c r="C2" s="5">
        <f>SUMIF('02 EXPERIENCIA LABORAL'!B:B,A2,'02 EXPERIENCIA LABORAL'!P:P)</f>
        <v>0</v>
      </c>
    </row>
    <row r="3">
      <c r="A3" s="5" t="s">
        <v>39</v>
      </c>
      <c r="B3" s="5">
        <f>IF(SUMIF('02 EXPERIENCIA LABORAL'!B:B,A3,'02 EXPERIENCIA LABORAL'!P:P)&gt;0,1,0)</f>
        <v>0</v>
      </c>
      <c r="C3" s="5">
        <f>SUMIF('02 EXPERIENCIA LABORAL'!B:B,A3,'02 EXPERIENCIA LABORAL'!P:P)</f>
        <v>0</v>
      </c>
    </row>
    <row r="4">
      <c r="A4" s="5" t="s">
        <v>50</v>
      </c>
      <c r="B4" s="5">
        <f>IF(SUMIF('02 EXPERIENCIA LABORAL'!B:B,A4,'02 EXPERIENCIA LABORAL'!P:P)&gt;0,1,0)</f>
        <v>0</v>
      </c>
      <c r="C4" s="5">
        <f>SUMIF('02 EXPERIENCIA LABORAL'!B:B,A4,'02 EXPERIENCIA LABORAL'!P:P)</f>
        <v>0</v>
      </c>
    </row>
    <row r="5">
      <c r="A5" s="5" t="s">
        <v>60</v>
      </c>
      <c r="B5" s="5">
        <f>IF(SUMIF('02 EXPERIENCIA LABORAL'!B:B,A5,'02 EXPERIENCIA LABORAL'!P:P)&gt;0,1,0)</f>
        <v>0</v>
      </c>
      <c r="C5" s="5">
        <f>SUMIF('02 EXPERIENCIA LABORAL'!B:B,A5,'02 EXPERIENCIA LABORAL'!P:P)</f>
        <v>0</v>
      </c>
    </row>
    <row r="6">
      <c r="A6" s="5" t="s">
        <v>71</v>
      </c>
      <c r="B6" s="5">
        <f>IF(SUMIF('02 EXPERIENCIA LABORAL'!B:B,A6,'02 EXPERIENCIA LABORAL'!P:P)&gt;0,1,0)</f>
        <v>0</v>
      </c>
      <c r="C6" s="5">
        <f>SUMIF('02 EXPERIENCIA LABORAL'!B:B,A6,'02 EXPERIENCIA LABORAL'!P:P)</f>
        <v>0</v>
      </c>
    </row>
    <row r="7">
      <c r="A7" s="5" t="s">
        <v>80</v>
      </c>
      <c r="B7" s="5">
        <f>IF(SUMIF('02 EXPERIENCIA LABORAL'!B:B,A7,'02 EXPERIENCIA LABORAL'!P:P)&gt;0,1,0)</f>
        <v>0</v>
      </c>
      <c r="C7" s="5">
        <f>SUMIF('02 EXPERIENCIA LABORAL'!B:B,A7,'02 EXPERIENCIA LABORAL'!P:P)</f>
        <v>0</v>
      </c>
    </row>
    <row r="8">
      <c r="A8" s="5" t="s">
        <v>91</v>
      </c>
      <c r="B8" s="5">
        <f>IF(SUMIF('02 EXPERIENCIA LABORAL'!B:B,A8,'02 EXPERIENCIA LABORAL'!P:P)&gt;0,1,0)</f>
        <v>0</v>
      </c>
      <c r="C8" s="5">
        <f>SUMIF('02 EXPERIENCIA LABORAL'!B:B,A8,'02 EXPERIENCIA LABORAL'!P:P)</f>
        <v>0</v>
      </c>
    </row>
    <row r="9">
      <c r="A9" s="5" t="s">
        <v>100</v>
      </c>
      <c r="B9" s="5">
        <f>IF(SUMIF('02 EXPERIENCIA LABORAL'!B:B,A9,'02 EXPERIENCIA LABORAL'!P:P)&gt;0,1,0)</f>
        <v>0</v>
      </c>
      <c r="C9" s="5">
        <f>SUMIF('02 EXPERIENCIA LABORAL'!B:B,A9,'02 EXPERIENCIA LABORAL'!P:P)</f>
        <v>0</v>
      </c>
    </row>
    <row r="10">
      <c r="A10" s="5" t="s">
        <v>110</v>
      </c>
      <c r="B10" s="5">
        <f>IF(SUMIF('02 EXPERIENCIA LABORAL'!B:B,A10,'02 EXPERIENCIA LABORAL'!P:P)&gt;0,1,0)</f>
        <v>0</v>
      </c>
      <c r="C10" s="5">
        <f>SUMIF('02 EXPERIENCIA LABORAL'!B:B,A10,'02 EXPERIENCIA LABORAL'!P:P)</f>
        <v>0</v>
      </c>
    </row>
    <row r="11">
      <c r="A11" s="5" t="s">
        <v>122</v>
      </c>
      <c r="B11" s="5">
        <f>IF(SUMIF('02 EXPERIENCIA LABORAL'!B:B,A11,'02 EXPERIENCIA LABORAL'!P:P)&gt;0,1,0)</f>
        <v>1</v>
      </c>
      <c r="C11" s="5">
        <f>SUMIF('02 EXPERIENCIA LABORAL'!B:B,A11,'02 EXPERIENCIA LABORAL'!P:P)</f>
        <v>2</v>
      </c>
    </row>
    <row r="12">
      <c r="A12" s="5" t="s">
        <v>133</v>
      </c>
      <c r="B12" s="5">
        <f>IF(SUMIF('02 EXPERIENCIA LABORAL'!B:B,A12,'02 EXPERIENCIA LABORAL'!P:P)&gt;0,1,0)</f>
        <v>1</v>
      </c>
      <c r="C12" s="5">
        <f>SUMIF('02 EXPERIENCIA LABORAL'!B:B,A12,'02 EXPERIENCIA LABORAL'!P:P)</f>
        <v>5</v>
      </c>
    </row>
    <row r="13">
      <c r="A13" s="5" t="s">
        <v>142</v>
      </c>
      <c r="B13" s="5">
        <f>IF(SUMIF('02 EXPERIENCIA LABORAL'!B:B,A13,'02 EXPERIENCIA LABORAL'!P:P)&gt;0,1,0)</f>
        <v>1</v>
      </c>
      <c r="C13" s="5">
        <f>SUMIF('02 EXPERIENCIA LABORAL'!B:B,A13,'02 EXPERIENCIA LABORAL'!P:P)</f>
        <v>1</v>
      </c>
    </row>
    <row r="14">
      <c r="A14" s="5" t="s">
        <v>153</v>
      </c>
      <c r="B14" s="5">
        <f>IF(SUMIF('02 EXPERIENCIA LABORAL'!B:B,A14,'02 EXPERIENCIA LABORAL'!P:P)&gt;0,1,0)</f>
        <v>1</v>
      </c>
      <c r="C14" s="5">
        <f>SUMIF('02 EXPERIENCIA LABORAL'!B:B,A14,'02 EXPERIENCIA LABORAL'!P:P)</f>
        <v>3</v>
      </c>
    </row>
    <row r="15">
      <c r="A15" s="5" t="s">
        <v>161</v>
      </c>
      <c r="B15" s="5">
        <f>IF(SUMIF('02 EXPERIENCIA LABORAL'!B:B,A15,'02 EXPERIENCIA LABORAL'!P:P)&gt;0,1,0)</f>
        <v>1</v>
      </c>
      <c r="C15" s="5">
        <f>SUMIF('02 EXPERIENCIA LABORAL'!B:B,A15,'02 EXPERIENCIA LABORAL'!P:P)</f>
        <v>5</v>
      </c>
    </row>
    <row r="16">
      <c r="A16" s="5" t="s">
        <v>170</v>
      </c>
      <c r="B16" s="5">
        <f>IF(SUMIF('02 EXPERIENCIA LABORAL'!B:B,A16,'02 EXPERIENCIA LABORAL'!P:P)&gt;0,1,0)</f>
        <v>1</v>
      </c>
      <c r="C16" s="5">
        <f>SUMIF('02 EXPERIENCIA LABORAL'!B:B,A16,'02 EXPERIENCIA LABORAL'!P:P)</f>
        <v>3</v>
      </c>
    </row>
    <row r="17">
      <c r="A17" s="5" t="s">
        <v>180</v>
      </c>
      <c r="B17" s="5">
        <f>IF(SUMIF('02 EXPERIENCIA LABORAL'!B:B,A17,'02 EXPERIENCIA LABORAL'!P:P)&gt;0,1,0)</f>
        <v>1</v>
      </c>
      <c r="C17" s="5">
        <f>SUMIF('02 EXPERIENCIA LABORAL'!B:B,A17,'02 EXPERIENCIA LABORAL'!P:P)</f>
        <v>4</v>
      </c>
    </row>
    <row r="18">
      <c r="A18" s="5" t="s">
        <v>190</v>
      </c>
      <c r="B18" s="5">
        <f>IF(SUMIF('02 EXPERIENCIA LABORAL'!B:B,A18,'02 EXPERIENCIA LABORAL'!P:P)&gt;0,1,0)</f>
        <v>0</v>
      </c>
      <c r="C18" s="5">
        <f>SUMIF('02 EXPERIENCIA LABORAL'!B:B,A18,'02 EXPERIENCIA LABORAL'!P:P)</f>
        <v>0</v>
      </c>
    </row>
    <row r="19">
      <c r="A19" s="5" t="s">
        <v>201</v>
      </c>
      <c r="B19" s="5">
        <f>IF(SUMIF('02 EXPERIENCIA LABORAL'!B:B,A19,'02 EXPERIENCIA LABORAL'!P:P)&gt;0,1,0)</f>
        <v>0</v>
      </c>
      <c r="C19" s="5">
        <f>SUMIF('02 EXPERIENCIA LABORAL'!B:B,A19,'02 EXPERIENCIA LABORAL'!P:P)</f>
        <v>0</v>
      </c>
    </row>
    <row r="20">
      <c r="A20" s="5" t="s">
        <v>211</v>
      </c>
      <c r="B20" s="5">
        <f>IF(SUMIF('02 EXPERIENCIA LABORAL'!B:B,A20,'02 EXPERIENCIA LABORAL'!P:P)&gt;0,1,0)</f>
        <v>1</v>
      </c>
      <c r="C20" s="5">
        <f>SUMIF('02 EXPERIENCIA LABORAL'!B:B,A20,'02 EXPERIENCIA LABORAL'!P:P)</f>
        <v>5</v>
      </c>
    </row>
    <row r="21">
      <c r="A21" s="5" t="s">
        <v>219</v>
      </c>
      <c r="B21" s="5">
        <f>IF(SUMIF('02 EXPERIENCIA LABORAL'!B:B,A21,'02 EXPERIENCIA LABORAL'!P:P)&gt;0,1,0)</f>
        <v>1</v>
      </c>
      <c r="C21" s="5">
        <f>SUMIF('02 EXPERIENCIA LABORAL'!B:B,A21,'02 EXPERIENCIA LABORAL'!P:P)</f>
        <v>1</v>
      </c>
    </row>
    <row r="22">
      <c r="A22" s="5" t="s">
        <v>227</v>
      </c>
      <c r="B22" s="5">
        <f>IF(SUMIF('02 EXPERIENCIA LABORAL'!B:B,A22,'02 EXPERIENCIA LABORAL'!P:P)&gt;0,1,0)</f>
        <v>1</v>
      </c>
      <c r="C22" s="5">
        <f>SUMIF('02 EXPERIENCIA LABORAL'!B:B,A22,'02 EXPERIENCIA LABORAL'!P:P)</f>
        <v>4</v>
      </c>
    </row>
    <row r="23">
      <c r="A23" s="5" t="s">
        <v>236</v>
      </c>
      <c r="B23" s="5">
        <f>IF(SUMIF('02 EXPERIENCIA LABORAL'!B:B,A23,'02 EXPERIENCIA LABORAL'!P:P)&gt;0,1,0)</f>
        <v>0</v>
      </c>
      <c r="C23" s="5">
        <f>SUMIF('02 EXPERIENCIA LABORAL'!B:B,A23,'02 EXPERIENCIA LABORAL'!P:P)</f>
        <v>0</v>
      </c>
    </row>
    <row r="24">
      <c r="A24" s="5" t="s">
        <v>244</v>
      </c>
      <c r="B24" s="5">
        <f>IF(SUMIF('02 EXPERIENCIA LABORAL'!B:B,A24,'02 EXPERIENCIA LABORAL'!P:P)&gt;0,1,0)</f>
        <v>0</v>
      </c>
      <c r="C24" s="5">
        <f>SUMIF('02 EXPERIENCIA LABORAL'!B:B,A24,'02 EXPERIENCIA LABORAL'!P:P)</f>
        <v>0</v>
      </c>
    </row>
    <row r="25">
      <c r="A25" s="5" t="s">
        <v>253</v>
      </c>
      <c r="B25" s="5">
        <f>IF(SUMIF('02 EXPERIENCIA LABORAL'!B:B,A25,'02 EXPERIENCIA LABORAL'!P:P)&gt;0,1,0)</f>
        <v>0</v>
      </c>
      <c r="C25" s="5">
        <f>SUMIF('02 EXPERIENCIA LABORAL'!B:B,A25,'02 EXPERIENCIA LABORAL'!P:P)</f>
        <v>0</v>
      </c>
    </row>
    <row r="26">
      <c r="A26" s="5" t="s">
        <v>261</v>
      </c>
      <c r="B26" s="5">
        <f>IF(SUMIF('02 EXPERIENCIA LABORAL'!B:B,A26,'02 EXPERIENCIA LABORAL'!P:P)&gt;0,1,0)</f>
        <v>1</v>
      </c>
      <c r="C26" s="5">
        <f>SUMIF('02 EXPERIENCIA LABORAL'!B:B,A26,'02 EXPERIENCIA LABORAL'!P:P)</f>
        <v>1</v>
      </c>
    </row>
    <row r="27">
      <c r="A27" s="5" t="s">
        <v>270</v>
      </c>
      <c r="B27" s="5">
        <f>IF(SUMIF('02 EXPERIENCIA LABORAL'!B:B,A27,'02 EXPERIENCIA LABORAL'!P:P)&gt;0,1,0)</f>
        <v>1</v>
      </c>
      <c r="C27" s="5">
        <f>SUMIF('02 EXPERIENCIA LABORAL'!B:B,A27,'02 EXPERIENCIA LABORAL'!P:P)</f>
        <v>2</v>
      </c>
    </row>
    <row r="28">
      <c r="A28" s="5" t="s">
        <v>279</v>
      </c>
      <c r="B28" s="5">
        <f>IF(SUMIF('02 EXPERIENCIA LABORAL'!B:B,A28,'02 EXPERIENCIA LABORAL'!P:P)&gt;0,1,0)</f>
        <v>0</v>
      </c>
      <c r="C28" s="5">
        <f>SUMIF('02 EXPERIENCIA LABORAL'!B:B,A28,'02 EXPERIENCIA LABORAL'!P:P)</f>
        <v>0</v>
      </c>
    </row>
    <row r="29">
      <c r="A29" s="5" t="s">
        <v>288</v>
      </c>
      <c r="B29" s="5">
        <f>IF(SUMIF('02 EXPERIENCIA LABORAL'!B:B,A29,'02 EXPERIENCIA LABORAL'!P:P)&gt;0,1,0)</f>
        <v>0</v>
      </c>
      <c r="C29" s="5">
        <f>SUMIF('02 EXPERIENCIA LABORAL'!B:B,A29,'02 EXPERIENCIA LABORAL'!P:P)</f>
        <v>0</v>
      </c>
    </row>
    <row r="30">
      <c r="A30" s="5" t="s">
        <v>296</v>
      </c>
      <c r="B30" s="5">
        <f>IF(SUMIF('02 EXPERIENCIA LABORAL'!B:B,A30,'02 EXPERIENCIA LABORAL'!P:P)&gt;0,1,0)</f>
        <v>1</v>
      </c>
      <c r="C30" s="5">
        <f>SUMIF('02 EXPERIENCIA LABORAL'!B:B,A30,'02 EXPERIENCIA LABORAL'!P:P)</f>
        <v>1</v>
      </c>
    </row>
    <row r="31">
      <c r="A31" s="5" t="s">
        <v>304</v>
      </c>
      <c r="B31" s="5">
        <f>IF(SUMIF('02 EXPERIENCIA LABORAL'!B:B,A31,'02 EXPERIENCIA LABORAL'!P:P)&gt;0,1,0)</f>
        <v>1</v>
      </c>
      <c r="C31" s="5">
        <f>SUMIF('02 EXPERIENCIA LABORAL'!B:B,A31,'02 EXPERIENCIA LABORAL'!P:P)</f>
        <v>3</v>
      </c>
    </row>
    <row r="32">
      <c r="A32" s="5" t="s">
        <v>313</v>
      </c>
      <c r="B32" s="5">
        <f>IF(SUMIF('02 EXPERIENCIA LABORAL'!B:B,A32,'02 EXPERIENCIA LABORAL'!P:P)&gt;0,1,0)</f>
        <v>1</v>
      </c>
      <c r="C32" s="5">
        <f>SUMIF('02 EXPERIENCIA LABORAL'!B:B,A32,'02 EXPERIENCIA LABORAL'!P:P)</f>
        <v>1</v>
      </c>
    </row>
    <row r="33">
      <c r="A33" s="5" t="s">
        <v>321</v>
      </c>
      <c r="B33" s="5">
        <f>IF(SUMIF('02 EXPERIENCIA LABORAL'!B:B,A33,'02 EXPERIENCIA LABORAL'!P:P)&gt;0,1,0)</f>
        <v>1</v>
      </c>
      <c r="C33" s="5">
        <f>SUMIF('02 EXPERIENCIA LABORAL'!B:B,A33,'02 EXPERIENCIA LABORAL'!P:P)</f>
        <v>1</v>
      </c>
    </row>
    <row r="34">
      <c r="A34" s="5" t="s">
        <v>330</v>
      </c>
      <c r="B34" s="5">
        <f>IF(SUMIF('02 EXPERIENCIA LABORAL'!B:B,A34,'02 EXPERIENCIA LABORAL'!P:P)&gt;0,1,0)</f>
        <v>1</v>
      </c>
      <c r="C34" s="5">
        <f>SUMIF('02 EXPERIENCIA LABORAL'!B:B,A34,'02 EXPERIENCIA LABORAL'!P:P)</f>
        <v>1</v>
      </c>
    </row>
    <row r="35">
      <c r="A35" s="5" t="s">
        <v>338</v>
      </c>
      <c r="B35" s="5">
        <f>IF(SUMIF('02 EXPERIENCIA LABORAL'!B:B,A35,'02 EXPERIENCIA LABORAL'!P:P)&gt;0,1,0)</f>
        <v>0</v>
      </c>
      <c r="C35" s="5">
        <f>SUMIF('02 EXPERIENCIA LABORAL'!B:B,A35,'02 EXPERIENCIA LABORAL'!P:P)</f>
        <v>0</v>
      </c>
    </row>
    <row r="36">
      <c r="A36" s="5" t="s">
        <v>348</v>
      </c>
      <c r="B36" s="5">
        <f>IF(SUMIF('02 EXPERIENCIA LABORAL'!B:B,A36,'02 EXPERIENCIA LABORAL'!P:P)&gt;0,1,0)</f>
        <v>1</v>
      </c>
      <c r="C36" s="5">
        <f>SUMIF('02 EXPERIENCIA LABORAL'!B:B,A36,'02 EXPERIENCIA LABORAL'!P:P)</f>
        <v>1</v>
      </c>
    </row>
    <row r="37">
      <c r="A37" s="5" t="s">
        <v>355</v>
      </c>
      <c r="B37" s="5">
        <f>IF(SUMIF('02 EXPERIENCIA LABORAL'!B:B,A37,'02 EXPERIENCIA LABORAL'!P:P)&gt;0,1,0)</f>
        <v>0</v>
      </c>
      <c r="C37" s="5">
        <f>SUMIF('02 EXPERIENCIA LABORAL'!B:B,A37,'02 EXPERIENCIA LABORAL'!P:P)</f>
        <v>0</v>
      </c>
    </row>
    <row r="38">
      <c r="A38" s="5" t="s">
        <v>365</v>
      </c>
      <c r="B38" s="5">
        <f>IF(SUMIF('02 EXPERIENCIA LABORAL'!B:B,A38,'02 EXPERIENCIA LABORAL'!P:P)&gt;0,1,0)</f>
        <v>0</v>
      </c>
      <c r="C38" s="5">
        <f>SUMIF('02 EXPERIENCIA LABORAL'!B:B,A38,'02 EXPERIENCIA LABORAL'!P:P)</f>
        <v>0</v>
      </c>
    </row>
    <row r="39">
      <c r="A39" s="5" t="s">
        <v>375</v>
      </c>
      <c r="B39" s="5">
        <f>IF(SUMIF('02 EXPERIENCIA LABORAL'!B:B,A39,'02 EXPERIENCIA LABORAL'!P:P)&gt;0,1,0)</f>
        <v>1</v>
      </c>
      <c r="C39" s="5">
        <f>SUMIF('02 EXPERIENCIA LABORAL'!B:B,A39,'02 EXPERIENCIA LABORAL'!P:P)</f>
        <v>1</v>
      </c>
    </row>
    <row r="40">
      <c r="A40" s="5" t="s">
        <v>387</v>
      </c>
      <c r="B40" s="5">
        <f>IF(SUMIF('02 EXPERIENCIA LABORAL'!B:B,A40,'02 EXPERIENCIA LABORAL'!P:P)&gt;0,1,0)</f>
        <v>1</v>
      </c>
      <c r="C40" s="5">
        <f>SUMIF('02 EXPERIENCIA LABORAL'!B:B,A40,'02 EXPERIENCIA LABORAL'!P:P)</f>
        <v>5</v>
      </c>
    </row>
    <row r="41">
      <c r="A41" s="5" t="s">
        <v>395</v>
      </c>
      <c r="B41" s="5">
        <f>IF(SUMIF('02 EXPERIENCIA LABORAL'!B:B,A41,'02 EXPERIENCIA LABORAL'!P:P)&gt;0,1,0)</f>
        <v>0</v>
      </c>
      <c r="C41" s="5">
        <f>SUMIF('02 EXPERIENCIA LABORAL'!B:B,A41,'02 EXPERIENCIA LABORAL'!P:P)</f>
        <v>0</v>
      </c>
    </row>
    <row r="42">
      <c r="A42" s="5" t="s">
        <v>405</v>
      </c>
      <c r="B42" s="5">
        <f>IF(SUMIF('02 EXPERIENCIA LABORAL'!B:B,A42,'02 EXPERIENCIA LABORAL'!P:P)&gt;0,1,0)</f>
        <v>0</v>
      </c>
      <c r="C42" s="5">
        <f>SUMIF('02 EXPERIENCIA LABORAL'!B:B,A42,'02 EXPERIENCIA LABORAL'!P:P)</f>
        <v>0</v>
      </c>
    </row>
    <row r="43">
      <c r="A43" s="5" t="s">
        <v>412</v>
      </c>
      <c r="B43" s="5">
        <f>IF(SUMIF('02 EXPERIENCIA LABORAL'!B:B,A43,'02 EXPERIENCIA LABORAL'!P:P)&gt;0,1,0)</f>
        <v>0</v>
      </c>
      <c r="C43" s="5">
        <f>SUMIF('02 EXPERIENCIA LABORAL'!B:B,A43,'02 EXPERIENCIA LABORAL'!P:P)</f>
        <v>0</v>
      </c>
    </row>
    <row r="44">
      <c r="A44" s="5" t="s">
        <v>420</v>
      </c>
      <c r="B44" s="5">
        <f>IF(SUMIF('02 EXPERIENCIA LABORAL'!B:B,A44,'02 EXPERIENCIA LABORAL'!P:P)&gt;0,1,0)</f>
        <v>0</v>
      </c>
      <c r="C44" s="5">
        <f>SUMIF('02 EXPERIENCIA LABORAL'!B:B,A44,'02 EXPERIENCIA LABORAL'!P:P)</f>
        <v>0</v>
      </c>
    </row>
    <row r="45">
      <c r="A45" s="5" t="s">
        <v>430</v>
      </c>
      <c r="B45" s="5">
        <f>IF(SUMIF('02 EXPERIENCIA LABORAL'!B:B,A45,'02 EXPERIENCIA LABORAL'!P:P)&gt;0,1,0)</f>
        <v>0</v>
      </c>
      <c r="C45" s="5">
        <f>SUMIF('02 EXPERIENCIA LABORAL'!B:B,A45,'02 EXPERIENCIA LABORAL'!P:P)</f>
        <v>0</v>
      </c>
    </row>
    <row r="46">
      <c r="A46" s="5" t="s">
        <v>438</v>
      </c>
      <c r="B46" s="5">
        <f>IF(SUMIF('02 EXPERIENCIA LABORAL'!B:B,A46,'02 EXPERIENCIA LABORAL'!P:P)&gt;0,1,0)</f>
        <v>0</v>
      </c>
      <c r="C46" s="5">
        <f>SUMIF('02 EXPERIENCIA LABORAL'!B:B,A46,'02 EXPERIENCIA LABORAL'!P:P)</f>
        <v>0</v>
      </c>
    </row>
    <row r="47">
      <c r="A47" s="5" t="s">
        <v>446</v>
      </c>
      <c r="B47" s="5">
        <f>IF(SUMIF('02 EXPERIENCIA LABORAL'!B:B,A47,'02 EXPERIENCIA LABORAL'!P:P)&gt;0,1,0)</f>
        <v>0</v>
      </c>
      <c r="C47" s="5">
        <f>SUMIF('02 EXPERIENCIA LABORAL'!B:B,A47,'02 EXPERIENCIA LABORAL'!P:P)</f>
        <v>0</v>
      </c>
    </row>
    <row r="48">
      <c r="A48" s="5" t="s">
        <v>453</v>
      </c>
      <c r="B48" s="5">
        <f>IF(SUMIF('02 EXPERIENCIA LABORAL'!B:B,A48,'02 EXPERIENCIA LABORAL'!P:P)&gt;0,1,0)</f>
        <v>0</v>
      </c>
      <c r="C48" s="5">
        <f>SUMIF('02 EXPERIENCIA LABORAL'!B:B,A48,'02 EXPERIENCIA LABORAL'!P:P)</f>
        <v>0</v>
      </c>
    </row>
    <row r="49">
      <c r="A49" s="5" t="s">
        <v>461</v>
      </c>
      <c r="B49" s="5">
        <f>IF(SUMIF('02 EXPERIENCIA LABORAL'!B:B,A49,'02 EXPERIENCIA LABORAL'!P:P)&gt;0,1,0)</f>
        <v>0</v>
      </c>
      <c r="C49" s="5">
        <f>SUMIF('02 EXPERIENCIA LABORAL'!B:B,A49,'02 EXPERIENCIA LABORAL'!P:P)</f>
        <v>0</v>
      </c>
    </row>
    <row r="50">
      <c r="A50" s="5" t="s">
        <v>469</v>
      </c>
      <c r="B50" s="5">
        <f>IF(SUMIF('02 EXPERIENCIA LABORAL'!B:B,A50,'02 EXPERIENCIA LABORAL'!P:P)&gt;0,1,0)</f>
        <v>0</v>
      </c>
      <c r="C50" s="5">
        <f>SUMIF('02 EXPERIENCIA LABORAL'!B:B,A50,'02 EXPERIENCIA LABORAL'!P:P)</f>
        <v>0</v>
      </c>
    </row>
    <row r="51">
      <c r="A51" s="5" t="s">
        <v>477</v>
      </c>
      <c r="B51" s="5">
        <f>IF(SUMIF('02 EXPERIENCIA LABORAL'!B:B,A51,'02 EXPERIENCIA LABORAL'!P:P)&gt;0,1,0)</f>
        <v>0</v>
      </c>
      <c r="C51" s="5">
        <f>SUMIF('02 EXPERIENCIA LABORAL'!B:B,A51,'02 EXPERIENCIA LABORAL'!P:P)</f>
        <v>0</v>
      </c>
    </row>
    <row r="52">
      <c r="A52" s="5" t="s">
        <v>488</v>
      </c>
      <c r="B52" s="5">
        <f>IF(SUMIF('02 EXPERIENCIA LABORAL'!B:B,A52,'02 EXPERIENCIA LABORAL'!P:P)&gt;0,1,0)</f>
        <v>0</v>
      </c>
      <c r="C52" s="5">
        <f>SUMIF('02 EXPERIENCIA LABORAL'!B:B,A52,'02 EXPERIENCIA LABORAL'!P:P)</f>
        <v>0</v>
      </c>
    </row>
    <row r="53">
      <c r="A53" s="5" t="s">
        <v>498</v>
      </c>
      <c r="B53" s="5">
        <f>IF(SUMIF('02 EXPERIENCIA LABORAL'!B:B,A53,'02 EXPERIENCIA LABORAL'!P:P)&gt;0,1,0)</f>
        <v>0</v>
      </c>
      <c r="C53" s="5">
        <f>SUMIF('02 EXPERIENCIA LABORAL'!B:B,A53,'02 EXPERIENCIA LABORAL'!P:P)</f>
        <v>0</v>
      </c>
    </row>
    <row r="54">
      <c r="A54" s="5" t="s">
        <v>507</v>
      </c>
      <c r="B54" s="5">
        <f>IF(SUMIF('02 EXPERIENCIA LABORAL'!B:B,A54,'02 EXPERIENCIA LABORAL'!P:P)&gt;0,1,0)</f>
        <v>0</v>
      </c>
      <c r="C54" s="5">
        <f>SUMIF('02 EXPERIENCIA LABORAL'!B:B,A54,'02 EXPERIENCIA LABORAL'!P:P)</f>
        <v>0</v>
      </c>
    </row>
    <row r="55">
      <c r="A55" s="5" t="s">
        <v>517</v>
      </c>
      <c r="B55" s="5">
        <f>IF(SUMIF('02 EXPERIENCIA LABORAL'!B:B,A55,'02 EXPERIENCIA LABORAL'!P:P)&gt;0,1,0)</f>
        <v>0</v>
      </c>
      <c r="C55" s="5">
        <f>SUMIF('02 EXPERIENCIA LABORAL'!B:B,A55,'02 EXPERIENCIA LABORAL'!P:P)</f>
        <v>0</v>
      </c>
    </row>
    <row r="56">
      <c r="A56" s="5" t="s">
        <v>527</v>
      </c>
      <c r="B56" s="5">
        <f>IF(SUMIF('02 EXPERIENCIA LABORAL'!B:B,A56,'02 EXPERIENCIA LABORAL'!P:P)&gt;0,1,0)</f>
        <v>0</v>
      </c>
      <c r="C56" s="5">
        <f>SUMIF('02 EXPERIENCIA LABORAL'!B:B,A56,'02 EXPERIENCIA LABORAL'!P:P)</f>
        <v>0</v>
      </c>
    </row>
    <row r="57">
      <c r="A57" s="5" t="s">
        <v>533</v>
      </c>
      <c r="B57" s="5">
        <f>IF(SUMIF('02 EXPERIENCIA LABORAL'!B:B,A57,'02 EXPERIENCIA LABORAL'!P:P)&gt;0,1,0)</f>
        <v>0</v>
      </c>
      <c r="C57" s="5">
        <f>SUMIF('02 EXPERIENCIA LABORAL'!B:B,A57,'02 EXPERIENCIA LABORAL'!P:P)</f>
        <v>0</v>
      </c>
    </row>
    <row r="58">
      <c r="A58" s="5" t="s">
        <v>541</v>
      </c>
      <c r="B58" s="5">
        <f>IF(SUMIF('02 EXPERIENCIA LABORAL'!B:B,A58,'02 EXPERIENCIA LABORAL'!P:P)&gt;0,1,0)</f>
        <v>0</v>
      </c>
      <c r="C58" s="5">
        <f>SUMIF('02 EXPERIENCIA LABORAL'!B:B,A58,'02 EXPERIENCIA LABORAL'!P:P)</f>
        <v>0</v>
      </c>
    </row>
    <row r="59">
      <c r="A59" s="5" t="s">
        <v>550</v>
      </c>
      <c r="B59" s="5">
        <f>IF(SUMIF('02 EXPERIENCIA LABORAL'!B:B,A59,'02 EXPERIENCIA LABORAL'!P:P)&gt;0,1,0)</f>
        <v>0</v>
      </c>
      <c r="C59" s="5">
        <f>SUMIF('02 EXPERIENCIA LABORAL'!B:B,A59,'02 EXPERIENCIA LABORAL'!P:P)</f>
        <v>0</v>
      </c>
    </row>
    <row r="60">
      <c r="A60" s="5" t="s">
        <v>559</v>
      </c>
      <c r="B60" s="5">
        <f>IF(SUMIF('02 EXPERIENCIA LABORAL'!B:B,A60,'02 EXPERIENCIA LABORAL'!P:P)&gt;0,1,0)</f>
        <v>1</v>
      </c>
      <c r="C60" s="5">
        <f>SUMIF('02 EXPERIENCIA LABORAL'!B:B,A60,'02 EXPERIENCIA LABORAL'!P:P)</f>
        <v>1</v>
      </c>
    </row>
    <row r="61">
      <c r="A61" s="5" t="s">
        <v>568</v>
      </c>
      <c r="B61" s="5">
        <f>IF(SUMIF('02 EXPERIENCIA LABORAL'!B:B,A61,'02 EXPERIENCIA LABORAL'!P:P)&gt;0,1,0)</f>
        <v>0</v>
      </c>
      <c r="C61" s="5">
        <f>SUMIF('02 EXPERIENCIA LABORAL'!B:B,A61,'02 EXPERIENCIA LABORAL'!P:P)</f>
        <v>0</v>
      </c>
    </row>
    <row r="62">
      <c r="A62" s="5" t="s">
        <v>577</v>
      </c>
      <c r="B62" s="5">
        <f>IF(SUMIF('02 EXPERIENCIA LABORAL'!B:B,A62,'02 EXPERIENCIA LABORAL'!P:P)&gt;0,1,0)</f>
        <v>0</v>
      </c>
      <c r="C62" s="5">
        <f>SUMIF('02 EXPERIENCIA LABORAL'!B:B,A62,'02 EXPERIENCIA LABORAL'!P:P)</f>
        <v>0</v>
      </c>
    </row>
    <row r="63">
      <c r="A63" s="5" t="s">
        <v>586</v>
      </c>
      <c r="B63" s="5">
        <f>IF(SUMIF('02 EXPERIENCIA LABORAL'!B:B,A63,'02 EXPERIENCIA LABORAL'!P:P)&gt;0,1,0)</f>
        <v>0</v>
      </c>
      <c r="C63" s="5">
        <f>SUMIF('02 EXPERIENCIA LABORAL'!B:B,A63,'02 EXPERIENCIA LABORAL'!P:P)</f>
        <v>0</v>
      </c>
    </row>
    <row r="64">
      <c r="A64" s="5" t="s">
        <v>597</v>
      </c>
      <c r="B64" s="5">
        <f>IF(SUMIF('02 EXPERIENCIA LABORAL'!B:B,A64,'02 EXPERIENCIA LABORAL'!P:P)&gt;0,1,0)</f>
        <v>1</v>
      </c>
      <c r="C64" s="5">
        <f>SUMIF('02 EXPERIENCIA LABORAL'!B:B,A64,'02 EXPERIENCIA LABORAL'!P:P)</f>
        <v>2</v>
      </c>
    </row>
    <row r="65">
      <c r="A65" s="5" t="s">
        <v>606</v>
      </c>
      <c r="B65" s="5">
        <f>IF(SUMIF('02 EXPERIENCIA LABORAL'!B:B,A65,'02 EXPERIENCIA LABORAL'!P:P)&gt;0,1,0)</f>
        <v>0</v>
      </c>
      <c r="C65" s="5">
        <f>SUMIF('02 EXPERIENCIA LABORAL'!B:B,A65,'02 EXPERIENCIA LABORAL'!P:P)</f>
        <v>0</v>
      </c>
    </row>
    <row r="66">
      <c r="A66" s="5" t="s">
        <v>614</v>
      </c>
      <c r="B66" s="5">
        <f>IF(SUMIF('02 EXPERIENCIA LABORAL'!B:B,A66,'02 EXPERIENCIA LABORAL'!P:P)&gt;0,1,0)</f>
        <v>0</v>
      </c>
      <c r="C66" s="5">
        <f>SUMIF('02 EXPERIENCIA LABORAL'!B:B,A66,'02 EXPERIENCIA LABORAL'!P:P)</f>
        <v>0</v>
      </c>
    </row>
    <row r="67">
      <c r="A67" s="5" t="s">
        <v>624</v>
      </c>
      <c r="B67" s="5">
        <f>IF(SUMIF('02 EXPERIENCIA LABORAL'!B:B,A67,'02 EXPERIENCIA LABORAL'!P:P)&gt;0,1,0)</f>
        <v>0</v>
      </c>
      <c r="C67" s="5">
        <f>SUMIF('02 EXPERIENCIA LABORAL'!B:B,A67,'02 EXPERIENCIA LABORAL'!P:P)</f>
        <v>0</v>
      </c>
    </row>
    <row r="68">
      <c r="A68" s="5" t="s">
        <v>634</v>
      </c>
      <c r="B68" s="5">
        <f>IF(SUMIF('02 EXPERIENCIA LABORAL'!B:B,A68,'02 EXPERIENCIA LABORAL'!P:P)&gt;0,1,0)</f>
        <v>0</v>
      </c>
      <c r="C68" s="5">
        <f>SUMIF('02 EXPERIENCIA LABORAL'!B:B,A68,'02 EXPERIENCIA LABORAL'!P:P)</f>
        <v>0</v>
      </c>
    </row>
    <row r="69">
      <c r="A69" s="5" t="s">
        <v>643</v>
      </c>
      <c r="B69" s="5">
        <f>IF(SUMIF('02 EXPERIENCIA LABORAL'!B:B,A69,'02 EXPERIENCIA LABORAL'!P:P)&gt;0,1,0)</f>
        <v>0</v>
      </c>
      <c r="C69" s="5">
        <f>SUMIF('02 EXPERIENCIA LABORAL'!B:B,A69,'02 EXPERIENCIA LABORAL'!P:P)</f>
        <v>0</v>
      </c>
    </row>
    <row r="70">
      <c r="A70" s="5" t="s">
        <v>651</v>
      </c>
      <c r="B70" s="5">
        <f>IF(SUMIF('02 EXPERIENCIA LABORAL'!B:B,A70,'02 EXPERIENCIA LABORAL'!P:P)&gt;0,1,0)</f>
        <v>1</v>
      </c>
      <c r="C70" s="5">
        <f>SUMIF('02 EXPERIENCIA LABORAL'!B:B,A70,'02 EXPERIENCIA LABORAL'!P:P)</f>
        <v>3</v>
      </c>
    </row>
    <row r="71">
      <c r="A71" s="5" t="s">
        <v>659</v>
      </c>
      <c r="B71" s="5">
        <f>IF(SUMIF('02 EXPERIENCIA LABORAL'!B:B,A71,'02 EXPERIENCIA LABORAL'!P:P)&gt;0,1,0)</f>
        <v>0</v>
      </c>
      <c r="C71" s="5">
        <f>SUMIF('02 EXPERIENCIA LABORAL'!B:B,A71,'02 EXPERIENCIA LABORAL'!P:P)</f>
        <v>0</v>
      </c>
    </row>
    <row r="72">
      <c r="A72" s="5" t="s">
        <v>667</v>
      </c>
      <c r="B72" s="5">
        <f>IF(SUMIF('02 EXPERIENCIA LABORAL'!B:B,A72,'02 EXPERIENCIA LABORAL'!P:P)&gt;0,1,0)</f>
        <v>0</v>
      </c>
      <c r="C72" s="5">
        <f>SUMIF('02 EXPERIENCIA LABORAL'!B:B,A72,'02 EXPERIENCIA LABORAL'!P:P)</f>
        <v>0</v>
      </c>
    </row>
    <row r="73">
      <c r="A73" s="5" t="s">
        <v>674</v>
      </c>
      <c r="B73" s="5">
        <f>IF(SUMIF('02 EXPERIENCIA LABORAL'!B:B,A73,'02 EXPERIENCIA LABORAL'!P:P)&gt;0,1,0)</f>
        <v>0</v>
      </c>
      <c r="C73" s="5">
        <f>SUMIF('02 EXPERIENCIA LABORAL'!B:B,A73,'02 EXPERIENCIA LABORAL'!P:P)</f>
        <v>0</v>
      </c>
    </row>
    <row r="74">
      <c r="A74" s="5" t="s">
        <v>683</v>
      </c>
      <c r="B74" s="5">
        <f>IF(SUMIF('02 EXPERIENCIA LABORAL'!B:B,A74,'02 EXPERIENCIA LABORAL'!P:P)&gt;0,1,0)</f>
        <v>0</v>
      </c>
      <c r="C74" s="5">
        <f>SUMIF('02 EXPERIENCIA LABORAL'!B:B,A74,'02 EXPERIENCIA LABORAL'!P:P)</f>
        <v>0</v>
      </c>
    </row>
    <row r="75">
      <c r="A75" s="5" t="s">
        <v>691</v>
      </c>
      <c r="B75" s="5">
        <f>IF(SUMIF('02 EXPERIENCIA LABORAL'!B:B,A75,'02 EXPERIENCIA LABORAL'!P:P)&gt;0,1,0)</f>
        <v>0</v>
      </c>
      <c r="C75" s="5">
        <f>SUMIF('02 EXPERIENCIA LABORAL'!B:B,A75,'02 EXPERIENCIA LABORAL'!P:P)</f>
        <v>0</v>
      </c>
    </row>
    <row r="76">
      <c r="A76" s="5" t="s">
        <v>699</v>
      </c>
      <c r="B76" s="5">
        <f>IF(SUMIF('02 EXPERIENCIA LABORAL'!B:B,A76,'02 EXPERIENCIA LABORAL'!P:P)&gt;0,1,0)</f>
        <v>0</v>
      </c>
      <c r="C76" s="5">
        <f>SUMIF('02 EXPERIENCIA LABORAL'!B:B,A76,'02 EXPERIENCIA LABORAL'!P:P)</f>
        <v>0</v>
      </c>
    </row>
    <row r="77">
      <c r="A77" s="5" t="s">
        <v>707</v>
      </c>
      <c r="B77" s="5">
        <f>IF(SUMIF('02 EXPERIENCIA LABORAL'!B:B,A77,'02 EXPERIENCIA LABORAL'!P:P)&gt;0,1,0)</f>
        <v>0</v>
      </c>
      <c r="C77" s="5">
        <f>SUMIF('02 EXPERIENCIA LABORAL'!B:B,A77,'02 EXPERIENCIA LABORAL'!P:P)</f>
        <v>0</v>
      </c>
    </row>
    <row r="78">
      <c r="A78" s="5" t="s">
        <v>715</v>
      </c>
      <c r="B78" s="5">
        <f>IF(SUMIF('02 EXPERIENCIA LABORAL'!B:B,A78,'02 EXPERIENCIA LABORAL'!P:P)&gt;0,1,0)</f>
        <v>0</v>
      </c>
      <c r="C78" s="5">
        <f>SUMIF('02 EXPERIENCIA LABORAL'!B:B,A78,'02 EXPERIENCIA LABORAL'!P:P)</f>
        <v>0</v>
      </c>
    </row>
    <row r="79">
      <c r="A79" s="5" t="s">
        <v>725</v>
      </c>
      <c r="B79" s="5">
        <f>IF(SUMIF('02 EXPERIENCIA LABORAL'!B:B,A79,'02 EXPERIENCIA LABORAL'!P:P)&gt;0,1,0)</f>
        <v>0</v>
      </c>
      <c r="C79" s="5">
        <f>SUMIF('02 EXPERIENCIA LABORAL'!B:B,A79,'02 EXPERIENCIA LABORAL'!P:P)</f>
        <v>0</v>
      </c>
    </row>
    <row r="80">
      <c r="A80" s="5" t="s">
        <v>732</v>
      </c>
      <c r="B80" s="5">
        <f>IF(SUMIF('02 EXPERIENCIA LABORAL'!B:B,A80,'02 EXPERIENCIA LABORAL'!P:P)&gt;0,1,0)</f>
        <v>0</v>
      </c>
      <c r="C80" s="5">
        <f>SUMIF('02 EXPERIENCIA LABORAL'!B:B,A80,'02 EXPERIENCIA LABORAL'!P:P)</f>
        <v>0</v>
      </c>
    </row>
    <row r="81">
      <c r="A81" s="5" t="s">
        <v>739</v>
      </c>
      <c r="B81" s="5">
        <f>IF(SUMIF('02 EXPERIENCIA LABORAL'!B:B,A81,'02 EXPERIENCIA LABORAL'!P:P)&gt;0,1,0)</f>
        <v>0</v>
      </c>
      <c r="C81" s="5">
        <f>SUMIF('02 EXPERIENCIA LABORAL'!B:B,A81,'02 EXPERIENCIA LABORAL'!P:P)</f>
        <v>0</v>
      </c>
    </row>
    <row r="82">
      <c r="A82" s="5" t="s">
        <v>749</v>
      </c>
      <c r="B82" s="5">
        <f>IF(SUMIF('02 EXPERIENCIA LABORAL'!B:B,A82,'02 EXPERIENCIA LABORAL'!P:P)&gt;0,1,0)</f>
        <v>0</v>
      </c>
      <c r="C82" s="5">
        <f>SUMIF('02 EXPERIENCIA LABORAL'!B:B,A82,'02 EXPERIENCIA LABORAL'!P:P)</f>
        <v>0</v>
      </c>
    </row>
    <row r="83">
      <c r="A83" s="5" t="s">
        <v>757</v>
      </c>
      <c r="B83" s="5">
        <f>IF(SUMIF('02 EXPERIENCIA LABORAL'!B:B,A83,'02 EXPERIENCIA LABORAL'!P:P)&gt;0,1,0)</f>
        <v>0</v>
      </c>
      <c r="C83" s="5">
        <f>SUMIF('02 EXPERIENCIA LABORAL'!B:B,A83,'02 EXPERIENCIA LABORAL'!P:P)</f>
        <v>0</v>
      </c>
    </row>
    <row r="84">
      <c r="A84" s="5" t="s">
        <v>765</v>
      </c>
      <c r="B84" s="5">
        <f>IF(SUMIF('02 EXPERIENCIA LABORAL'!B:B,A84,'02 EXPERIENCIA LABORAL'!P:P)&gt;0,1,0)</f>
        <v>0</v>
      </c>
      <c r="C84" s="5">
        <f>SUMIF('02 EXPERIENCIA LABORAL'!B:B,A84,'02 EXPERIENCIA LABORAL'!P:P)</f>
        <v>0</v>
      </c>
    </row>
    <row r="85">
      <c r="A85" s="5" t="s">
        <v>773</v>
      </c>
      <c r="B85" s="5">
        <f>IF(SUMIF('02 EXPERIENCIA LABORAL'!B:B,A85,'02 EXPERIENCIA LABORAL'!P:P)&gt;0,1,0)</f>
        <v>0</v>
      </c>
      <c r="C85" s="5">
        <f>SUMIF('02 EXPERIENCIA LABORAL'!B:B,A85,'02 EXPERIENCIA LABORAL'!P:P)</f>
        <v>0</v>
      </c>
    </row>
    <row r="86">
      <c r="A86" s="5" t="s">
        <v>782</v>
      </c>
      <c r="B86" s="5">
        <f>IF(SUMIF('02 EXPERIENCIA LABORAL'!B:B,A86,'02 EXPERIENCIA LABORAL'!P:P)&gt;0,1,0)</f>
        <v>0</v>
      </c>
      <c r="C86" s="5">
        <f>SUMIF('02 EXPERIENCIA LABORAL'!B:B,A86,'02 EXPERIENCIA LABORAL'!P:P)</f>
        <v>0</v>
      </c>
    </row>
    <row r="87">
      <c r="A87" s="5" t="s">
        <v>791</v>
      </c>
      <c r="B87" s="5">
        <f>IF(SUMIF('02 EXPERIENCIA LABORAL'!B:B,A87,'02 EXPERIENCIA LABORAL'!P:P)&gt;0,1,0)</f>
        <v>0</v>
      </c>
      <c r="C87" s="5">
        <f>SUMIF('02 EXPERIENCIA LABORAL'!B:B,A87,'02 EXPERIENCIA LABORAL'!P:P)</f>
        <v>0</v>
      </c>
    </row>
    <row r="88">
      <c r="A88" s="5" t="s">
        <v>802</v>
      </c>
      <c r="B88" s="5">
        <f>IF(SUMIF('02 EXPERIENCIA LABORAL'!B:B,A88,'02 EXPERIENCIA LABORAL'!P:P)&gt;0,1,0)</f>
        <v>0</v>
      </c>
      <c r="C88" s="5">
        <f>SUMIF('02 EXPERIENCIA LABORAL'!B:B,A88,'02 EXPERIENCIA LABORAL'!P:P)</f>
        <v>0</v>
      </c>
    </row>
    <row r="89">
      <c r="A89" s="5" t="s">
        <v>810</v>
      </c>
      <c r="B89" s="5">
        <f>IF(SUMIF('02 EXPERIENCIA LABORAL'!B:B,A89,'02 EXPERIENCIA LABORAL'!P:P)&gt;0,1,0)</f>
        <v>0</v>
      </c>
      <c r="C89" s="5">
        <f>SUMIF('02 EXPERIENCIA LABORAL'!B:B,A89,'02 EXPERIENCIA LABORAL'!P:P)</f>
        <v>0</v>
      </c>
    </row>
    <row r="90">
      <c r="A90" s="5" t="s">
        <v>818</v>
      </c>
      <c r="B90" s="5">
        <f>IF(SUMIF('02 EXPERIENCIA LABORAL'!B:B,A90,'02 EXPERIENCIA LABORAL'!P:P)&gt;0,1,0)</f>
        <v>1</v>
      </c>
      <c r="C90" s="5">
        <f>SUMIF('02 EXPERIENCIA LABORAL'!B:B,A90,'02 EXPERIENCIA LABORAL'!P:P)</f>
        <v>1</v>
      </c>
    </row>
    <row r="91">
      <c r="A91" s="5" t="s">
        <v>826</v>
      </c>
      <c r="B91" s="5">
        <f>IF(SUMIF('02 EXPERIENCIA LABORAL'!B:B,A91,'02 EXPERIENCIA LABORAL'!P:P)&gt;0,1,0)</f>
        <v>0</v>
      </c>
      <c r="C91" s="5">
        <f>SUMIF('02 EXPERIENCIA LABORAL'!B:B,A91,'02 EXPERIENCIA LABORAL'!P:P)</f>
        <v>0</v>
      </c>
    </row>
    <row r="92">
      <c r="A92" s="5" t="s">
        <v>836</v>
      </c>
      <c r="B92" s="5">
        <f>IF(SUMIF('02 EXPERIENCIA LABORAL'!B:B,A92,'02 EXPERIENCIA LABORAL'!P:P)&gt;0,1,0)</f>
        <v>0</v>
      </c>
      <c r="C92" s="5">
        <f>SUMIF('02 EXPERIENCIA LABORAL'!B:B,A92,'02 EXPERIENCIA LABORAL'!P:P)</f>
        <v>0</v>
      </c>
    </row>
    <row r="93">
      <c r="A93" s="5" t="s">
        <v>844</v>
      </c>
      <c r="B93" s="5">
        <f>IF(SUMIF('02 EXPERIENCIA LABORAL'!B:B,A93,'02 EXPERIENCIA LABORAL'!P:P)&gt;0,1,0)</f>
        <v>1</v>
      </c>
      <c r="C93" s="5">
        <f>SUMIF('02 EXPERIENCIA LABORAL'!B:B,A93,'02 EXPERIENCIA LABORAL'!P:P)</f>
        <v>1</v>
      </c>
    </row>
    <row r="94">
      <c r="A94" s="5" t="s">
        <v>853</v>
      </c>
      <c r="B94" s="5">
        <f>IF(SUMIF('02 EXPERIENCIA LABORAL'!B:B,A94,'02 EXPERIENCIA LABORAL'!P:P)&gt;0,1,0)</f>
        <v>1</v>
      </c>
      <c r="C94" s="5">
        <f>SUMIF('02 EXPERIENCIA LABORAL'!B:B,A94,'02 EXPERIENCIA LABORAL'!P:P)</f>
        <v>1</v>
      </c>
    </row>
    <row r="95">
      <c r="A95" s="5" t="s">
        <v>860</v>
      </c>
      <c r="B95" s="5">
        <f>IF(SUMIF('02 EXPERIENCIA LABORAL'!B:B,A95,'02 EXPERIENCIA LABORAL'!P:P)&gt;0,1,0)</f>
        <v>1</v>
      </c>
      <c r="C95" s="5">
        <f>SUMIF('02 EXPERIENCIA LABORAL'!B:B,A95,'02 EXPERIENCIA LABORAL'!P:P)</f>
        <v>1</v>
      </c>
    </row>
    <row r="96">
      <c r="A96" s="5" t="s">
        <v>867</v>
      </c>
      <c r="B96" s="5">
        <f>IF(SUMIF('02 EXPERIENCIA LABORAL'!B:B,A96,'02 EXPERIENCIA LABORAL'!P:P)&gt;0,1,0)</f>
        <v>0</v>
      </c>
      <c r="C96" s="5">
        <f>SUMIF('02 EXPERIENCIA LABORAL'!B:B,A96,'02 EXPERIENCIA LABORAL'!P:P)</f>
        <v>0</v>
      </c>
    </row>
    <row r="97">
      <c r="A97" s="5" t="s">
        <v>875</v>
      </c>
      <c r="B97" s="5">
        <f>IF(SUMIF('02 EXPERIENCIA LABORAL'!B:B,A97,'02 EXPERIENCIA LABORAL'!P:P)&gt;0,1,0)</f>
        <v>0</v>
      </c>
      <c r="C97" s="5">
        <f>SUMIF('02 EXPERIENCIA LABORAL'!B:B,A97,'02 EXPERIENCIA LABORAL'!P:P)</f>
        <v>0</v>
      </c>
    </row>
    <row r="98">
      <c r="A98" s="5" t="s">
        <v>883</v>
      </c>
      <c r="B98" s="5">
        <f>IF(SUMIF('02 EXPERIENCIA LABORAL'!B:B,A98,'02 EXPERIENCIA LABORAL'!P:P)&gt;0,1,0)</f>
        <v>0</v>
      </c>
      <c r="C98" s="5">
        <f>SUMIF('02 EXPERIENCIA LABORAL'!B:B,A98,'02 EXPERIENCIA LABORAL'!P:P)</f>
        <v>0</v>
      </c>
    </row>
    <row r="99">
      <c r="A99" s="5" t="s">
        <v>890</v>
      </c>
      <c r="B99" s="5">
        <f>IF(SUMIF('02 EXPERIENCIA LABORAL'!B:B,A99,'02 EXPERIENCIA LABORAL'!P:P)&gt;0,1,0)</f>
        <v>1</v>
      </c>
      <c r="C99" s="5">
        <f>SUMIF('02 EXPERIENCIA LABORAL'!B:B,A99,'02 EXPERIENCIA LABORAL'!P:P)</f>
        <v>1</v>
      </c>
    </row>
    <row r="100">
      <c r="A100" s="5" t="s">
        <v>898</v>
      </c>
      <c r="B100" s="5">
        <f>IF(SUMIF('02 EXPERIENCIA LABORAL'!B:B,A100,'02 EXPERIENCIA LABORAL'!P:P)&gt;0,1,0)</f>
        <v>0</v>
      </c>
      <c r="C100" s="5">
        <f>SUMIF('02 EXPERIENCIA LABORAL'!B:B,A100,'02 EXPERIENCIA LABORAL'!P:P)</f>
        <v>0</v>
      </c>
    </row>
    <row r="101">
      <c r="A101" s="5" t="s">
        <v>906</v>
      </c>
      <c r="B101" s="5">
        <f>IF(SUMIF('02 EXPERIENCIA LABORAL'!B:B,A101,'02 EXPERIENCIA LABORAL'!P:P)&gt;0,1,0)</f>
        <v>1</v>
      </c>
      <c r="C101" s="5">
        <f>SUMIF('02 EXPERIENCIA LABORAL'!B:B,A101,'02 EXPERIENCIA LABORAL'!P:P)</f>
        <v>1</v>
      </c>
    </row>
    <row r="102">
      <c r="A102" s="5"/>
    </row>
    <row r="103">
      <c r="B103" s="14">
        <f t="shared" ref="B103:C103" si="1">SUM(B2:B101)</f>
        <v>29</v>
      </c>
      <c r="C103" s="5">
        <f t="shared" si="1"/>
        <v>62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 width="15.43"/>
    <col customWidth="1" min="3" max="3" width="12.57"/>
    <col customWidth="1" min="4" max="4" width="23.43"/>
    <col customWidth="1" min="5" max="5" width="22.29"/>
    <col customWidth="1" min="6" max="6" width="18.29"/>
    <col customWidth="1" min="7" max="7" width="10.86"/>
    <col customWidth="1" min="8" max="8" width="23.0"/>
    <col customWidth="1" min="9" max="26" width="8.71"/>
  </cols>
  <sheetData>
    <row r="1">
      <c r="A1" s="1" t="s">
        <v>0</v>
      </c>
      <c r="B1" s="1" t="s">
        <v>1</v>
      </c>
      <c r="C1" s="1" t="s">
        <v>2</v>
      </c>
      <c r="D1" s="1" t="s">
        <v>1898</v>
      </c>
      <c r="E1" s="1" t="s">
        <v>1899</v>
      </c>
      <c r="F1" s="1" t="s">
        <v>1900</v>
      </c>
      <c r="G1" s="1" t="s">
        <v>1901</v>
      </c>
      <c r="H1" s="1" t="s">
        <v>1902</v>
      </c>
    </row>
    <row r="2">
      <c r="A2" s="5" t="s">
        <v>26</v>
      </c>
      <c r="B2" s="5" t="s">
        <v>27</v>
      </c>
      <c r="C2" s="5" t="s">
        <v>28</v>
      </c>
      <c r="D2" s="5" t="s">
        <v>944</v>
      </c>
      <c r="E2" s="5" t="s">
        <v>944</v>
      </c>
      <c r="F2" s="5" t="s">
        <v>944</v>
      </c>
      <c r="G2" s="5" t="s">
        <v>944</v>
      </c>
      <c r="H2" s="5" t="s">
        <v>944</v>
      </c>
    </row>
    <row r="3">
      <c r="A3" s="5" t="s">
        <v>26</v>
      </c>
      <c r="B3" s="5" t="s">
        <v>39</v>
      </c>
      <c r="C3" s="5" t="s">
        <v>40</v>
      </c>
      <c r="D3" s="5" t="s">
        <v>944</v>
      </c>
      <c r="E3" s="5" t="s">
        <v>944</v>
      </c>
      <c r="F3" s="5" t="s">
        <v>944</v>
      </c>
      <c r="G3" s="5" t="s">
        <v>944</v>
      </c>
      <c r="H3" s="5" t="s">
        <v>944</v>
      </c>
    </row>
    <row r="4">
      <c r="A4" s="5" t="s">
        <v>26</v>
      </c>
      <c r="B4" s="5" t="s">
        <v>50</v>
      </c>
      <c r="C4" s="5" t="s">
        <v>51</v>
      </c>
      <c r="D4" s="5" t="s">
        <v>944</v>
      </c>
      <c r="E4" s="5" t="s">
        <v>944</v>
      </c>
      <c r="F4" s="5" t="s">
        <v>944</v>
      </c>
      <c r="G4" s="5" t="s">
        <v>944</v>
      </c>
      <c r="H4" s="5" t="s">
        <v>944</v>
      </c>
    </row>
    <row r="5">
      <c r="A5" s="5" t="s">
        <v>26</v>
      </c>
      <c r="B5" s="5" t="s">
        <v>60</v>
      </c>
      <c r="C5" s="5" t="s">
        <v>61</v>
      </c>
      <c r="D5" s="5" t="s">
        <v>944</v>
      </c>
      <c r="E5" s="5" t="s">
        <v>944</v>
      </c>
      <c r="F5" s="5" t="s">
        <v>944</v>
      </c>
      <c r="G5" s="5" t="s">
        <v>944</v>
      </c>
      <c r="H5" s="5" t="s">
        <v>944</v>
      </c>
    </row>
    <row r="6">
      <c r="A6" s="5" t="s">
        <v>26</v>
      </c>
      <c r="B6" s="5" t="s">
        <v>71</v>
      </c>
      <c r="C6" s="5" t="s">
        <v>72</v>
      </c>
      <c r="D6" s="5" t="s">
        <v>944</v>
      </c>
      <c r="E6" s="5" t="s">
        <v>944</v>
      </c>
      <c r="F6" s="5" t="s">
        <v>944</v>
      </c>
      <c r="G6" s="5" t="s">
        <v>944</v>
      </c>
      <c r="H6" s="5" t="s">
        <v>944</v>
      </c>
    </row>
    <row r="7">
      <c r="A7" s="5" t="s">
        <v>26</v>
      </c>
      <c r="B7" s="5" t="s">
        <v>80</v>
      </c>
      <c r="C7" s="5" t="s">
        <v>81</v>
      </c>
      <c r="D7" s="5" t="s">
        <v>944</v>
      </c>
      <c r="E7" s="5" t="s">
        <v>944</v>
      </c>
      <c r="F7" s="5" t="s">
        <v>944</v>
      </c>
      <c r="G7" s="5" t="s">
        <v>944</v>
      </c>
      <c r="H7" s="5" t="s">
        <v>944</v>
      </c>
    </row>
    <row r="8">
      <c r="A8" s="5" t="s">
        <v>26</v>
      </c>
      <c r="B8" s="5" t="s">
        <v>91</v>
      </c>
      <c r="C8" s="5" t="s">
        <v>92</v>
      </c>
      <c r="D8" s="5" t="s">
        <v>944</v>
      </c>
      <c r="E8" s="5" t="s">
        <v>944</v>
      </c>
      <c r="F8" s="5" t="s">
        <v>944</v>
      </c>
      <c r="G8" s="5" t="s">
        <v>944</v>
      </c>
      <c r="H8" s="5" t="s">
        <v>944</v>
      </c>
    </row>
    <row r="9">
      <c r="A9" s="5" t="s">
        <v>26</v>
      </c>
      <c r="B9" s="5" t="s">
        <v>100</v>
      </c>
      <c r="C9" s="5" t="s">
        <v>101</v>
      </c>
      <c r="D9" s="5" t="s">
        <v>944</v>
      </c>
      <c r="E9" s="5" t="s">
        <v>944</v>
      </c>
      <c r="F9" s="5" t="s">
        <v>944</v>
      </c>
      <c r="G9" s="5" t="s">
        <v>944</v>
      </c>
      <c r="H9" s="5" t="s">
        <v>944</v>
      </c>
    </row>
    <row r="10">
      <c r="A10" s="5" t="s">
        <v>26</v>
      </c>
      <c r="B10" s="5" t="s">
        <v>110</v>
      </c>
      <c r="C10" s="5" t="s">
        <v>111</v>
      </c>
      <c r="D10" s="5" t="s">
        <v>944</v>
      </c>
      <c r="E10" s="5" t="s">
        <v>944</v>
      </c>
      <c r="F10" s="5" t="s">
        <v>944</v>
      </c>
      <c r="G10" s="5" t="s">
        <v>944</v>
      </c>
      <c r="H10" s="5" t="s">
        <v>944</v>
      </c>
    </row>
    <row r="11">
      <c r="A11" s="5" t="s">
        <v>121</v>
      </c>
      <c r="B11" s="5" t="s">
        <v>122</v>
      </c>
      <c r="C11" s="5" t="s">
        <v>123</v>
      </c>
      <c r="D11" s="5" t="s">
        <v>944</v>
      </c>
      <c r="E11" s="5" t="s">
        <v>944</v>
      </c>
      <c r="F11" s="5" t="s">
        <v>944</v>
      </c>
      <c r="G11" s="5" t="s">
        <v>944</v>
      </c>
      <c r="H11" s="5" t="s">
        <v>944</v>
      </c>
    </row>
    <row r="12">
      <c r="A12" s="5" t="s">
        <v>121</v>
      </c>
      <c r="B12" s="5" t="s">
        <v>133</v>
      </c>
      <c r="C12" s="5" t="s">
        <v>134</v>
      </c>
      <c r="D12" s="5" t="s">
        <v>944</v>
      </c>
      <c r="E12" s="5" t="s">
        <v>944</v>
      </c>
      <c r="F12" s="5" t="s">
        <v>944</v>
      </c>
      <c r="G12" s="5" t="s">
        <v>944</v>
      </c>
      <c r="H12" s="5" t="s">
        <v>944</v>
      </c>
    </row>
    <row r="13">
      <c r="A13" s="5" t="s">
        <v>121</v>
      </c>
      <c r="B13" s="5" t="s">
        <v>142</v>
      </c>
      <c r="C13" s="5" t="s">
        <v>143</v>
      </c>
      <c r="D13" s="5" t="s">
        <v>944</v>
      </c>
      <c r="E13" s="5" t="s">
        <v>944</v>
      </c>
      <c r="F13" s="5" t="s">
        <v>944</v>
      </c>
      <c r="G13" s="5" t="s">
        <v>944</v>
      </c>
      <c r="H13" s="5" t="s">
        <v>944</v>
      </c>
    </row>
    <row r="14">
      <c r="A14" s="5" t="s">
        <v>121</v>
      </c>
      <c r="B14" s="5" t="s">
        <v>153</v>
      </c>
      <c r="C14" s="5" t="s">
        <v>154</v>
      </c>
      <c r="D14" s="5" t="s">
        <v>944</v>
      </c>
      <c r="E14" s="5" t="s">
        <v>944</v>
      </c>
      <c r="F14" s="5" t="s">
        <v>944</v>
      </c>
      <c r="G14" s="5" t="s">
        <v>944</v>
      </c>
      <c r="H14" s="5" t="s">
        <v>944</v>
      </c>
    </row>
    <row r="15">
      <c r="A15" s="5" t="s">
        <v>121</v>
      </c>
      <c r="B15" s="5" t="s">
        <v>161</v>
      </c>
      <c r="C15" s="5" t="s">
        <v>162</v>
      </c>
      <c r="D15" s="5" t="s">
        <v>944</v>
      </c>
      <c r="E15" s="5" t="s">
        <v>944</v>
      </c>
      <c r="F15" s="5" t="s">
        <v>944</v>
      </c>
      <c r="G15" s="5" t="s">
        <v>944</v>
      </c>
      <c r="H15" s="5" t="s">
        <v>944</v>
      </c>
    </row>
    <row r="16">
      <c r="A16" s="5" t="s">
        <v>121</v>
      </c>
      <c r="B16" s="5" t="s">
        <v>170</v>
      </c>
      <c r="C16" s="5" t="s">
        <v>171</v>
      </c>
      <c r="D16" s="5" t="s">
        <v>944</v>
      </c>
      <c r="E16" s="5" t="s">
        <v>944</v>
      </c>
      <c r="F16" s="5" t="s">
        <v>944</v>
      </c>
      <c r="G16" s="5" t="s">
        <v>944</v>
      </c>
      <c r="H16" s="5" t="s">
        <v>944</v>
      </c>
    </row>
    <row r="17">
      <c r="A17" s="5" t="s">
        <v>121</v>
      </c>
      <c r="B17" s="5" t="s">
        <v>180</v>
      </c>
      <c r="C17" s="5" t="s">
        <v>181</v>
      </c>
      <c r="D17" s="5" t="s">
        <v>944</v>
      </c>
      <c r="E17" s="5" t="s">
        <v>944</v>
      </c>
      <c r="F17" s="5" t="s">
        <v>944</v>
      </c>
      <c r="G17" s="5" t="s">
        <v>944</v>
      </c>
      <c r="H17" s="5" t="s">
        <v>944</v>
      </c>
    </row>
    <row r="18">
      <c r="A18" s="5" t="s">
        <v>121</v>
      </c>
      <c r="B18" s="5" t="s">
        <v>190</v>
      </c>
      <c r="C18" s="5" t="s">
        <v>191</v>
      </c>
      <c r="D18" s="5" t="s">
        <v>944</v>
      </c>
      <c r="E18" s="5" t="s">
        <v>944</v>
      </c>
      <c r="F18" s="5" t="s">
        <v>944</v>
      </c>
      <c r="G18" s="5" t="s">
        <v>944</v>
      </c>
      <c r="H18" s="5" t="s">
        <v>944</v>
      </c>
    </row>
    <row r="19">
      <c r="A19" s="5" t="s">
        <v>121</v>
      </c>
      <c r="B19" s="5" t="s">
        <v>201</v>
      </c>
      <c r="C19" s="5" t="s">
        <v>202</v>
      </c>
      <c r="D19" s="5" t="s">
        <v>944</v>
      </c>
      <c r="E19" s="5" t="s">
        <v>944</v>
      </c>
      <c r="F19" s="5" t="s">
        <v>944</v>
      </c>
      <c r="G19" s="5" t="s">
        <v>944</v>
      </c>
      <c r="H19" s="5" t="s">
        <v>944</v>
      </c>
    </row>
    <row r="20">
      <c r="A20" s="5" t="s">
        <v>121</v>
      </c>
      <c r="B20" s="5" t="s">
        <v>211</v>
      </c>
      <c r="C20" s="5" t="s">
        <v>212</v>
      </c>
      <c r="D20" s="5" t="s">
        <v>944</v>
      </c>
      <c r="E20" s="5" t="s">
        <v>944</v>
      </c>
      <c r="F20" s="5" t="s">
        <v>944</v>
      </c>
      <c r="G20" s="5" t="s">
        <v>944</v>
      </c>
      <c r="H20" s="5" t="s">
        <v>944</v>
      </c>
    </row>
    <row r="21" ht="15.75" customHeight="1">
      <c r="A21" s="5" t="s">
        <v>121</v>
      </c>
      <c r="B21" s="5" t="s">
        <v>219</v>
      </c>
      <c r="C21" s="5" t="s">
        <v>220</v>
      </c>
      <c r="D21" s="5" t="s">
        <v>944</v>
      </c>
      <c r="E21" s="5" t="s">
        <v>944</v>
      </c>
      <c r="F21" s="5" t="s">
        <v>944</v>
      </c>
      <c r="G21" s="5" t="s">
        <v>944</v>
      </c>
      <c r="H21" s="5" t="s">
        <v>944</v>
      </c>
    </row>
    <row r="22" ht="15.75" customHeight="1">
      <c r="A22" s="5" t="s">
        <v>121</v>
      </c>
      <c r="B22" s="5" t="s">
        <v>227</v>
      </c>
      <c r="C22" s="5" t="s">
        <v>228</v>
      </c>
      <c r="D22" s="5" t="s">
        <v>944</v>
      </c>
      <c r="E22" s="5" t="s">
        <v>944</v>
      </c>
      <c r="F22" s="5" t="s">
        <v>944</v>
      </c>
      <c r="G22" s="5" t="s">
        <v>944</v>
      </c>
      <c r="H22" s="5" t="s">
        <v>944</v>
      </c>
    </row>
    <row r="23" ht="15.75" customHeight="1">
      <c r="A23" s="5" t="s">
        <v>121</v>
      </c>
      <c r="B23" s="5" t="s">
        <v>236</v>
      </c>
      <c r="C23" s="5" t="s">
        <v>237</v>
      </c>
      <c r="D23" s="5" t="s">
        <v>944</v>
      </c>
      <c r="E23" s="5" t="s">
        <v>944</v>
      </c>
      <c r="F23" s="5" t="s">
        <v>944</v>
      </c>
      <c r="G23" s="5" t="s">
        <v>944</v>
      </c>
      <c r="H23" s="5" t="s">
        <v>944</v>
      </c>
    </row>
    <row r="24" ht="15.75" customHeight="1">
      <c r="A24" s="5" t="s">
        <v>121</v>
      </c>
      <c r="B24" s="5" t="s">
        <v>244</v>
      </c>
      <c r="C24" s="5" t="s">
        <v>245</v>
      </c>
      <c r="D24" s="5" t="s">
        <v>944</v>
      </c>
      <c r="E24" s="5" t="s">
        <v>944</v>
      </c>
      <c r="F24" s="5" t="s">
        <v>944</v>
      </c>
      <c r="G24" s="5" t="s">
        <v>944</v>
      </c>
      <c r="H24" s="5" t="s">
        <v>944</v>
      </c>
    </row>
    <row r="25" ht="15.75" customHeight="1">
      <c r="A25" s="5" t="s">
        <v>121</v>
      </c>
      <c r="B25" s="5" t="s">
        <v>253</v>
      </c>
      <c r="C25" s="5" t="s">
        <v>254</v>
      </c>
      <c r="D25" s="5" t="s">
        <v>944</v>
      </c>
      <c r="E25" s="5" t="s">
        <v>944</v>
      </c>
      <c r="F25" s="5" t="s">
        <v>944</v>
      </c>
      <c r="G25" s="5" t="s">
        <v>944</v>
      </c>
      <c r="H25" s="5" t="s">
        <v>944</v>
      </c>
    </row>
    <row r="26" ht="15.75" customHeight="1">
      <c r="A26" s="5" t="s">
        <v>121</v>
      </c>
      <c r="B26" s="5" t="s">
        <v>261</v>
      </c>
      <c r="C26" s="5" t="s">
        <v>262</v>
      </c>
      <c r="D26" s="5" t="s">
        <v>944</v>
      </c>
      <c r="E26" s="5" t="s">
        <v>944</v>
      </c>
      <c r="F26" s="5" t="s">
        <v>944</v>
      </c>
      <c r="G26" s="5" t="s">
        <v>944</v>
      </c>
      <c r="H26" s="5" t="s">
        <v>944</v>
      </c>
    </row>
    <row r="27" ht="15.75" customHeight="1">
      <c r="A27" s="5" t="s">
        <v>121</v>
      </c>
      <c r="B27" s="5" t="s">
        <v>270</v>
      </c>
      <c r="C27" s="5" t="s">
        <v>271</v>
      </c>
      <c r="D27" s="5" t="s">
        <v>944</v>
      </c>
      <c r="E27" s="5" t="s">
        <v>944</v>
      </c>
      <c r="F27" s="5" t="s">
        <v>944</v>
      </c>
      <c r="G27" s="5" t="s">
        <v>944</v>
      </c>
      <c r="H27" s="5" t="s">
        <v>944</v>
      </c>
    </row>
    <row r="28" ht="15.75" customHeight="1">
      <c r="A28" s="5" t="s">
        <v>121</v>
      </c>
      <c r="B28" s="5" t="s">
        <v>279</v>
      </c>
      <c r="C28" s="5" t="s">
        <v>280</v>
      </c>
      <c r="D28" s="5" t="s">
        <v>944</v>
      </c>
      <c r="E28" s="5" t="s">
        <v>944</v>
      </c>
      <c r="F28" s="5" t="s">
        <v>944</v>
      </c>
      <c r="G28" s="5" t="s">
        <v>944</v>
      </c>
      <c r="H28" s="5" t="s">
        <v>944</v>
      </c>
    </row>
    <row r="29" ht="15.75" customHeight="1">
      <c r="A29" s="5" t="s">
        <v>121</v>
      </c>
      <c r="B29" s="5" t="s">
        <v>288</v>
      </c>
      <c r="C29" s="5" t="s">
        <v>289</v>
      </c>
      <c r="D29" s="5" t="s">
        <v>944</v>
      </c>
      <c r="E29" s="5" t="s">
        <v>944</v>
      </c>
      <c r="F29" s="5" t="s">
        <v>944</v>
      </c>
      <c r="G29" s="5" t="s">
        <v>944</v>
      </c>
      <c r="H29" s="5" t="s">
        <v>944</v>
      </c>
    </row>
    <row r="30" ht="15.75" customHeight="1">
      <c r="A30" s="5" t="s">
        <v>121</v>
      </c>
      <c r="B30" s="5" t="s">
        <v>296</v>
      </c>
      <c r="C30" s="5" t="s">
        <v>297</v>
      </c>
      <c r="D30" s="5" t="s">
        <v>944</v>
      </c>
      <c r="E30" s="5" t="s">
        <v>944</v>
      </c>
      <c r="F30" s="5" t="s">
        <v>944</v>
      </c>
      <c r="G30" s="5" t="s">
        <v>944</v>
      </c>
      <c r="H30" s="5" t="s">
        <v>944</v>
      </c>
    </row>
    <row r="31" ht="15.75" customHeight="1">
      <c r="A31" s="5" t="s">
        <v>121</v>
      </c>
      <c r="B31" s="5" t="s">
        <v>304</v>
      </c>
      <c r="C31" s="5" t="s">
        <v>305</v>
      </c>
      <c r="D31" s="5" t="s">
        <v>944</v>
      </c>
      <c r="E31" s="5" t="s">
        <v>944</v>
      </c>
      <c r="F31" s="5" t="s">
        <v>944</v>
      </c>
      <c r="G31" s="5" t="s">
        <v>944</v>
      </c>
      <c r="H31" s="5" t="s">
        <v>944</v>
      </c>
    </row>
    <row r="32" ht="15.75" customHeight="1">
      <c r="A32" s="5" t="s">
        <v>121</v>
      </c>
      <c r="B32" s="5" t="s">
        <v>313</v>
      </c>
      <c r="C32" s="5" t="s">
        <v>314</v>
      </c>
      <c r="D32" s="5" t="s">
        <v>944</v>
      </c>
      <c r="E32" s="5" t="s">
        <v>944</v>
      </c>
      <c r="F32" s="5" t="s">
        <v>944</v>
      </c>
      <c r="G32" s="5" t="s">
        <v>944</v>
      </c>
      <c r="H32" s="5" t="s">
        <v>944</v>
      </c>
    </row>
    <row r="33" ht="15.75" customHeight="1">
      <c r="A33" s="5" t="s">
        <v>121</v>
      </c>
      <c r="B33" s="5" t="s">
        <v>321</v>
      </c>
      <c r="C33" s="5" t="s">
        <v>322</v>
      </c>
      <c r="D33" s="5" t="s">
        <v>944</v>
      </c>
      <c r="E33" s="5" t="s">
        <v>944</v>
      </c>
      <c r="F33" s="5" t="s">
        <v>944</v>
      </c>
      <c r="G33" s="5" t="s">
        <v>944</v>
      </c>
      <c r="H33" s="5" t="s">
        <v>944</v>
      </c>
    </row>
    <row r="34" ht="15.75" customHeight="1">
      <c r="A34" s="5" t="s">
        <v>121</v>
      </c>
      <c r="B34" s="5" t="s">
        <v>330</v>
      </c>
      <c r="C34" s="5" t="s">
        <v>331</v>
      </c>
      <c r="D34" s="5" t="s">
        <v>944</v>
      </c>
      <c r="E34" s="5" t="s">
        <v>944</v>
      </c>
      <c r="F34" s="5" t="s">
        <v>944</v>
      </c>
      <c r="G34" s="5" t="s">
        <v>944</v>
      </c>
      <c r="H34" s="5" t="s">
        <v>944</v>
      </c>
    </row>
    <row r="35" ht="15.75" customHeight="1">
      <c r="A35" s="5" t="s">
        <v>121</v>
      </c>
      <c r="B35" s="5" t="s">
        <v>338</v>
      </c>
      <c r="C35" s="5" t="s">
        <v>339</v>
      </c>
      <c r="D35" s="5" t="s">
        <v>944</v>
      </c>
      <c r="E35" s="5" t="s">
        <v>944</v>
      </c>
      <c r="F35" s="5" t="s">
        <v>944</v>
      </c>
      <c r="G35" s="5" t="s">
        <v>944</v>
      </c>
      <c r="H35" s="5" t="s">
        <v>944</v>
      </c>
    </row>
    <row r="36" ht="15.75" customHeight="1">
      <c r="A36" s="5" t="s">
        <v>121</v>
      </c>
      <c r="B36" s="5" t="s">
        <v>348</v>
      </c>
      <c r="C36" s="5" t="s">
        <v>349</v>
      </c>
      <c r="D36" s="5" t="s">
        <v>944</v>
      </c>
      <c r="E36" s="5" t="s">
        <v>944</v>
      </c>
      <c r="F36" s="5" t="s">
        <v>944</v>
      </c>
      <c r="G36" s="5" t="s">
        <v>944</v>
      </c>
      <c r="H36" s="5" t="s">
        <v>944</v>
      </c>
    </row>
    <row r="37" ht="15.75" customHeight="1">
      <c r="A37" s="5" t="s">
        <v>121</v>
      </c>
      <c r="B37" s="5" t="s">
        <v>355</v>
      </c>
      <c r="C37" s="5" t="s">
        <v>356</v>
      </c>
      <c r="D37" s="5" t="s">
        <v>944</v>
      </c>
      <c r="E37" s="5" t="s">
        <v>944</v>
      </c>
      <c r="F37" s="5" t="s">
        <v>944</v>
      </c>
      <c r="G37" s="5" t="s">
        <v>944</v>
      </c>
      <c r="H37" s="5" t="s">
        <v>944</v>
      </c>
    </row>
    <row r="38" ht="15.75" customHeight="1">
      <c r="A38" s="5" t="s">
        <v>121</v>
      </c>
      <c r="B38" s="5" t="s">
        <v>365</v>
      </c>
      <c r="C38" s="5" t="s">
        <v>366</v>
      </c>
      <c r="D38" s="5" t="s">
        <v>944</v>
      </c>
      <c r="E38" s="5" t="s">
        <v>944</v>
      </c>
      <c r="F38" s="5" t="s">
        <v>944</v>
      </c>
      <c r="G38" s="5" t="s">
        <v>944</v>
      </c>
      <c r="H38" s="5" t="s">
        <v>944</v>
      </c>
    </row>
    <row r="39" ht="15.75" customHeight="1">
      <c r="A39" s="5" t="s">
        <v>121</v>
      </c>
      <c r="B39" s="5" t="s">
        <v>375</v>
      </c>
      <c r="C39" s="5" t="s">
        <v>376</v>
      </c>
      <c r="D39" s="5" t="s">
        <v>944</v>
      </c>
      <c r="E39" s="5" t="s">
        <v>944</v>
      </c>
      <c r="F39" s="5" t="s">
        <v>944</v>
      </c>
      <c r="G39" s="5" t="s">
        <v>944</v>
      </c>
      <c r="H39" s="5" t="s">
        <v>944</v>
      </c>
    </row>
    <row r="40" ht="15.75" customHeight="1">
      <c r="A40" s="5" t="s">
        <v>121</v>
      </c>
      <c r="B40" s="5" t="s">
        <v>375</v>
      </c>
      <c r="C40" s="5" t="s">
        <v>376</v>
      </c>
      <c r="D40" s="5" t="s">
        <v>944</v>
      </c>
      <c r="E40" s="5" t="s">
        <v>944</v>
      </c>
      <c r="F40" s="5" t="s">
        <v>944</v>
      </c>
      <c r="G40" s="5" t="s">
        <v>944</v>
      </c>
      <c r="H40" s="5" t="s">
        <v>944</v>
      </c>
    </row>
    <row r="41" ht="15.75" customHeight="1">
      <c r="A41" s="5" t="s">
        <v>121</v>
      </c>
      <c r="B41" s="5" t="s">
        <v>387</v>
      </c>
      <c r="C41" s="5" t="s">
        <v>388</v>
      </c>
      <c r="D41" s="5" t="s">
        <v>944</v>
      </c>
      <c r="E41" s="5" t="s">
        <v>944</v>
      </c>
      <c r="F41" s="5" t="s">
        <v>944</v>
      </c>
      <c r="G41" s="5" t="s">
        <v>944</v>
      </c>
      <c r="H41" s="5" t="s">
        <v>944</v>
      </c>
    </row>
    <row r="42" ht="15.75" customHeight="1">
      <c r="A42" s="5" t="s">
        <v>121</v>
      </c>
      <c r="B42" s="5" t="s">
        <v>395</v>
      </c>
      <c r="C42" s="5" t="s">
        <v>396</v>
      </c>
      <c r="D42" s="5" t="s">
        <v>944</v>
      </c>
      <c r="E42" s="5" t="s">
        <v>944</v>
      </c>
      <c r="F42" s="5" t="s">
        <v>944</v>
      </c>
      <c r="G42" s="5" t="s">
        <v>944</v>
      </c>
      <c r="H42" s="5" t="s">
        <v>944</v>
      </c>
    </row>
    <row r="43" ht="15.75" customHeight="1">
      <c r="A43" s="5" t="s">
        <v>121</v>
      </c>
      <c r="B43" s="5" t="s">
        <v>405</v>
      </c>
      <c r="C43" s="5" t="s">
        <v>406</v>
      </c>
      <c r="D43" s="5" t="s">
        <v>944</v>
      </c>
      <c r="E43" s="5" t="s">
        <v>944</v>
      </c>
      <c r="F43" s="5" t="s">
        <v>944</v>
      </c>
      <c r="G43" s="5" t="s">
        <v>944</v>
      </c>
      <c r="H43" s="5" t="s">
        <v>944</v>
      </c>
    </row>
    <row r="44" ht="15.75" customHeight="1">
      <c r="A44" s="5" t="s">
        <v>121</v>
      </c>
      <c r="B44" s="5" t="s">
        <v>412</v>
      </c>
      <c r="C44" s="5" t="s">
        <v>413</v>
      </c>
      <c r="D44" s="5" t="s">
        <v>944</v>
      </c>
      <c r="E44" s="5" t="s">
        <v>944</v>
      </c>
      <c r="F44" s="5" t="s">
        <v>944</v>
      </c>
      <c r="G44" s="5" t="s">
        <v>944</v>
      </c>
      <c r="H44" s="5" t="s">
        <v>944</v>
      </c>
    </row>
    <row r="45" ht="15.75" customHeight="1">
      <c r="A45" s="5" t="s">
        <v>419</v>
      </c>
      <c r="B45" s="5" t="s">
        <v>420</v>
      </c>
      <c r="C45" s="5" t="s">
        <v>421</v>
      </c>
      <c r="D45" s="5" t="s">
        <v>944</v>
      </c>
      <c r="E45" s="5" t="s">
        <v>944</v>
      </c>
      <c r="F45" s="5" t="s">
        <v>944</v>
      </c>
      <c r="G45" s="5" t="s">
        <v>944</v>
      </c>
      <c r="H45" s="5" t="s">
        <v>944</v>
      </c>
    </row>
    <row r="46" ht="15.75" customHeight="1">
      <c r="A46" s="5" t="s">
        <v>419</v>
      </c>
      <c r="B46" s="5" t="s">
        <v>430</v>
      </c>
      <c r="C46" s="5" t="s">
        <v>431</v>
      </c>
      <c r="D46" s="5" t="s">
        <v>944</v>
      </c>
      <c r="E46" s="5" t="s">
        <v>944</v>
      </c>
      <c r="F46" s="5" t="s">
        <v>944</v>
      </c>
      <c r="G46" s="5" t="s">
        <v>944</v>
      </c>
      <c r="H46" s="5" t="s">
        <v>944</v>
      </c>
    </row>
    <row r="47" ht="15.75" customHeight="1">
      <c r="A47" s="5" t="s">
        <v>419</v>
      </c>
      <c r="B47" s="5" t="s">
        <v>438</v>
      </c>
      <c r="C47" s="5" t="s">
        <v>439</v>
      </c>
      <c r="D47" s="5" t="s">
        <v>944</v>
      </c>
      <c r="E47" s="5" t="s">
        <v>944</v>
      </c>
      <c r="F47" s="5" t="s">
        <v>944</v>
      </c>
      <c r="G47" s="5" t="s">
        <v>944</v>
      </c>
      <c r="H47" s="5" t="s">
        <v>944</v>
      </c>
    </row>
    <row r="48" ht="15.75" customHeight="1">
      <c r="A48" s="5" t="s">
        <v>419</v>
      </c>
      <c r="B48" s="5" t="s">
        <v>446</v>
      </c>
      <c r="C48" s="5" t="s">
        <v>447</v>
      </c>
      <c r="D48" s="5" t="s">
        <v>944</v>
      </c>
      <c r="E48" s="5" t="s">
        <v>944</v>
      </c>
      <c r="F48" s="5" t="s">
        <v>944</v>
      </c>
      <c r="G48" s="5" t="s">
        <v>944</v>
      </c>
      <c r="H48" s="5" t="s">
        <v>944</v>
      </c>
    </row>
    <row r="49" ht="15.75" customHeight="1">
      <c r="A49" s="5" t="s">
        <v>419</v>
      </c>
      <c r="B49" s="5" t="s">
        <v>453</v>
      </c>
      <c r="C49" s="5" t="s">
        <v>454</v>
      </c>
      <c r="D49" s="5" t="s">
        <v>944</v>
      </c>
      <c r="E49" s="5" t="s">
        <v>944</v>
      </c>
      <c r="F49" s="5" t="s">
        <v>944</v>
      </c>
      <c r="G49" s="5" t="s">
        <v>944</v>
      </c>
      <c r="H49" s="5" t="s">
        <v>944</v>
      </c>
    </row>
    <row r="50" ht="15.75" customHeight="1">
      <c r="A50" s="5" t="s">
        <v>419</v>
      </c>
      <c r="B50" s="5" t="s">
        <v>461</v>
      </c>
      <c r="C50" s="5" t="s">
        <v>462</v>
      </c>
      <c r="D50" s="5" t="s">
        <v>944</v>
      </c>
      <c r="E50" s="5" t="s">
        <v>944</v>
      </c>
      <c r="F50" s="5" t="s">
        <v>944</v>
      </c>
      <c r="G50" s="5" t="s">
        <v>944</v>
      </c>
      <c r="H50" s="5" t="s">
        <v>944</v>
      </c>
    </row>
    <row r="51" ht="15.75" customHeight="1">
      <c r="A51" s="5" t="s">
        <v>419</v>
      </c>
      <c r="B51" s="5" t="s">
        <v>469</v>
      </c>
      <c r="C51" s="5" t="s">
        <v>470</v>
      </c>
      <c r="D51" s="5" t="s">
        <v>944</v>
      </c>
      <c r="E51" s="5" t="s">
        <v>944</v>
      </c>
      <c r="F51" s="5" t="s">
        <v>944</v>
      </c>
      <c r="G51" s="5" t="s">
        <v>944</v>
      </c>
      <c r="H51" s="5" t="s">
        <v>944</v>
      </c>
    </row>
    <row r="52" ht="15.75" customHeight="1">
      <c r="A52" s="5" t="s">
        <v>419</v>
      </c>
      <c r="B52" s="5" t="s">
        <v>477</v>
      </c>
      <c r="C52" s="5" t="s">
        <v>478</v>
      </c>
      <c r="D52" s="5" t="s">
        <v>944</v>
      </c>
      <c r="E52" s="5" t="s">
        <v>944</v>
      </c>
      <c r="F52" s="5" t="s">
        <v>944</v>
      </c>
      <c r="G52" s="5" t="s">
        <v>944</v>
      </c>
      <c r="H52" s="5" t="s">
        <v>944</v>
      </c>
    </row>
    <row r="53" ht="15.75" customHeight="1">
      <c r="A53" s="5" t="s">
        <v>419</v>
      </c>
      <c r="B53" s="5" t="s">
        <v>477</v>
      </c>
      <c r="C53" s="5" t="s">
        <v>478</v>
      </c>
      <c r="D53" s="5" t="s">
        <v>944</v>
      </c>
      <c r="E53" s="5" t="s">
        <v>944</v>
      </c>
      <c r="F53" s="5" t="s">
        <v>944</v>
      </c>
      <c r="G53" s="5" t="s">
        <v>944</v>
      </c>
      <c r="H53" s="5" t="s">
        <v>944</v>
      </c>
    </row>
    <row r="54" ht="15.75" customHeight="1">
      <c r="A54" s="5" t="s">
        <v>419</v>
      </c>
      <c r="B54" s="5" t="s">
        <v>488</v>
      </c>
      <c r="C54" s="5" t="s">
        <v>489</v>
      </c>
      <c r="D54" s="5" t="s">
        <v>944</v>
      </c>
      <c r="E54" s="5" t="s">
        <v>944</v>
      </c>
      <c r="F54" s="5" t="s">
        <v>944</v>
      </c>
      <c r="G54" s="5" t="s">
        <v>944</v>
      </c>
      <c r="H54" s="5" t="s">
        <v>944</v>
      </c>
    </row>
    <row r="55" ht="15.75" customHeight="1">
      <c r="A55" s="5" t="s">
        <v>419</v>
      </c>
      <c r="B55" s="5" t="s">
        <v>498</v>
      </c>
      <c r="C55" s="5" t="s">
        <v>499</v>
      </c>
      <c r="D55" s="5" t="s">
        <v>944</v>
      </c>
      <c r="E55" s="5" t="s">
        <v>944</v>
      </c>
      <c r="F55" s="5" t="s">
        <v>944</v>
      </c>
      <c r="G55" s="5" t="s">
        <v>944</v>
      </c>
      <c r="H55" s="5" t="s">
        <v>944</v>
      </c>
    </row>
    <row r="56" ht="15.75" customHeight="1">
      <c r="A56" s="5" t="s">
        <v>419</v>
      </c>
      <c r="B56" s="5" t="s">
        <v>507</v>
      </c>
      <c r="C56" s="5" t="s">
        <v>508</v>
      </c>
      <c r="D56" s="5" t="s">
        <v>944</v>
      </c>
      <c r="E56" s="5" t="s">
        <v>944</v>
      </c>
      <c r="G56" s="5" t="s">
        <v>944</v>
      </c>
    </row>
    <row r="57" ht="15.75" customHeight="1">
      <c r="A57" s="5" t="s">
        <v>419</v>
      </c>
      <c r="B57" s="5" t="s">
        <v>517</v>
      </c>
      <c r="C57" s="5" t="s">
        <v>518</v>
      </c>
      <c r="D57" s="5" t="s">
        <v>944</v>
      </c>
      <c r="E57" s="5" t="s">
        <v>944</v>
      </c>
      <c r="F57" s="5" t="s">
        <v>944</v>
      </c>
      <c r="G57" s="5" t="s">
        <v>944</v>
      </c>
      <c r="H57" s="5" t="s">
        <v>944</v>
      </c>
    </row>
    <row r="58" ht="15.75" customHeight="1">
      <c r="A58" s="5" t="s">
        <v>419</v>
      </c>
      <c r="B58" s="5" t="s">
        <v>527</v>
      </c>
      <c r="C58" s="5" t="s">
        <v>528</v>
      </c>
      <c r="D58" s="5" t="s">
        <v>944</v>
      </c>
      <c r="E58" s="5" t="s">
        <v>944</v>
      </c>
      <c r="F58" s="5" t="s">
        <v>944</v>
      </c>
      <c r="G58" s="5" t="s">
        <v>944</v>
      </c>
      <c r="H58" s="5" t="s">
        <v>944</v>
      </c>
    </row>
    <row r="59" ht="15.75" customHeight="1">
      <c r="A59" s="5" t="s">
        <v>419</v>
      </c>
      <c r="B59" s="5" t="s">
        <v>533</v>
      </c>
      <c r="C59" s="5" t="s">
        <v>534</v>
      </c>
      <c r="D59" s="5" t="s">
        <v>944</v>
      </c>
      <c r="E59" s="5" t="s">
        <v>944</v>
      </c>
      <c r="F59" s="5" t="s">
        <v>944</v>
      </c>
      <c r="G59" s="5" t="s">
        <v>944</v>
      </c>
      <c r="H59" s="5" t="s">
        <v>944</v>
      </c>
    </row>
    <row r="60" ht="15.75" customHeight="1">
      <c r="A60" s="5" t="s">
        <v>419</v>
      </c>
      <c r="B60" s="5" t="s">
        <v>541</v>
      </c>
      <c r="C60" s="5" t="s">
        <v>542</v>
      </c>
      <c r="D60" s="5" t="s">
        <v>1560</v>
      </c>
    </row>
    <row r="61" ht="15.75" customHeight="1">
      <c r="A61" s="5" t="s">
        <v>419</v>
      </c>
      <c r="B61" s="5" t="s">
        <v>550</v>
      </c>
      <c r="C61" s="5" t="s">
        <v>551</v>
      </c>
      <c r="D61" s="5" t="s">
        <v>944</v>
      </c>
      <c r="E61" s="5" t="s">
        <v>944</v>
      </c>
      <c r="F61" s="5" t="s">
        <v>944</v>
      </c>
      <c r="G61" s="5" t="s">
        <v>944</v>
      </c>
      <c r="H61" s="5" t="s">
        <v>944</v>
      </c>
    </row>
    <row r="62" ht="15.75" customHeight="1">
      <c r="A62" s="5" t="s">
        <v>419</v>
      </c>
      <c r="B62" s="5" t="s">
        <v>559</v>
      </c>
      <c r="C62" s="5" t="s">
        <v>560</v>
      </c>
      <c r="D62" s="5" t="s">
        <v>944</v>
      </c>
      <c r="E62" s="5" t="s">
        <v>944</v>
      </c>
      <c r="F62" s="5" t="s">
        <v>944</v>
      </c>
      <c r="G62" s="5" t="s">
        <v>944</v>
      </c>
      <c r="H62" s="5" t="s">
        <v>944</v>
      </c>
    </row>
    <row r="63" ht="15.75" customHeight="1">
      <c r="A63" s="5" t="s">
        <v>567</v>
      </c>
      <c r="B63" s="5" t="s">
        <v>568</v>
      </c>
      <c r="C63" s="5" t="s">
        <v>569</v>
      </c>
      <c r="D63" s="5" t="s">
        <v>944</v>
      </c>
      <c r="E63" s="5" t="s">
        <v>944</v>
      </c>
      <c r="F63" s="5" t="s">
        <v>944</v>
      </c>
      <c r="G63" s="5" t="s">
        <v>944</v>
      </c>
      <c r="H63" s="5" t="s">
        <v>944</v>
      </c>
    </row>
    <row r="64" ht="15.75" customHeight="1">
      <c r="A64" s="5" t="s">
        <v>567</v>
      </c>
      <c r="B64" s="5" t="s">
        <v>577</v>
      </c>
      <c r="C64" s="5" t="s">
        <v>578</v>
      </c>
      <c r="D64" s="5" t="s">
        <v>944</v>
      </c>
      <c r="E64" s="5" t="s">
        <v>944</v>
      </c>
      <c r="F64" s="5" t="s">
        <v>944</v>
      </c>
      <c r="G64" s="5" t="s">
        <v>944</v>
      </c>
      <c r="H64" s="5" t="s">
        <v>944</v>
      </c>
    </row>
    <row r="65" ht="15.75" customHeight="1">
      <c r="A65" s="5" t="s">
        <v>567</v>
      </c>
      <c r="B65" s="5" t="s">
        <v>586</v>
      </c>
      <c r="C65" s="5" t="s">
        <v>587</v>
      </c>
      <c r="D65" s="5" t="s">
        <v>944</v>
      </c>
      <c r="E65" s="5" t="s">
        <v>944</v>
      </c>
      <c r="F65" s="5" t="s">
        <v>944</v>
      </c>
      <c r="G65" s="5" t="s">
        <v>944</v>
      </c>
      <c r="H65" s="5" t="s">
        <v>944</v>
      </c>
    </row>
    <row r="66" ht="15.75" customHeight="1">
      <c r="A66" s="5" t="s">
        <v>567</v>
      </c>
      <c r="B66" s="5" t="s">
        <v>597</v>
      </c>
      <c r="C66" s="5" t="s">
        <v>598</v>
      </c>
      <c r="D66" s="5" t="s">
        <v>944</v>
      </c>
      <c r="E66" s="5" t="s">
        <v>944</v>
      </c>
      <c r="F66" s="5" t="s">
        <v>944</v>
      </c>
      <c r="G66" s="5" t="s">
        <v>944</v>
      </c>
      <c r="H66" s="5" t="s">
        <v>944</v>
      </c>
    </row>
    <row r="67" ht="15.75" customHeight="1">
      <c r="A67" s="5" t="s">
        <v>567</v>
      </c>
      <c r="B67" s="5" t="s">
        <v>606</v>
      </c>
      <c r="C67" s="5" t="s">
        <v>607</v>
      </c>
      <c r="D67" s="5" t="s">
        <v>944</v>
      </c>
      <c r="E67" s="5" t="s">
        <v>944</v>
      </c>
      <c r="F67" s="5" t="s">
        <v>944</v>
      </c>
      <c r="G67" s="5" t="s">
        <v>944</v>
      </c>
      <c r="H67" s="5" t="s">
        <v>944</v>
      </c>
    </row>
    <row r="68" ht="15.75" customHeight="1">
      <c r="A68" s="5" t="s">
        <v>567</v>
      </c>
      <c r="B68" s="5" t="s">
        <v>606</v>
      </c>
      <c r="C68" s="5" t="s">
        <v>607</v>
      </c>
      <c r="D68" s="5" t="s">
        <v>944</v>
      </c>
      <c r="E68" s="5" t="s">
        <v>944</v>
      </c>
      <c r="F68" s="5" t="s">
        <v>944</v>
      </c>
      <c r="G68" s="5" t="s">
        <v>944</v>
      </c>
      <c r="H68" s="5" t="s">
        <v>944</v>
      </c>
    </row>
    <row r="69" ht="15.75" customHeight="1">
      <c r="A69" s="5" t="s">
        <v>567</v>
      </c>
      <c r="B69" s="5" t="s">
        <v>614</v>
      </c>
      <c r="C69" s="5" t="s">
        <v>615</v>
      </c>
      <c r="D69" s="5" t="s">
        <v>944</v>
      </c>
      <c r="E69" s="5" t="s">
        <v>944</v>
      </c>
      <c r="F69" s="5" t="s">
        <v>944</v>
      </c>
      <c r="G69" s="5" t="s">
        <v>944</v>
      </c>
      <c r="H69" s="5" t="s">
        <v>944</v>
      </c>
    </row>
    <row r="70" ht="15.75" customHeight="1">
      <c r="A70" s="5" t="s">
        <v>567</v>
      </c>
      <c r="B70" s="5" t="s">
        <v>624</v>
      </c>
      <c r="C70" s="5" t="s">
        <v>625</v>
      </c>
      <c r="D70" s="5" t="s">
        <v>944</v>
      </c>
      <c r="E70" s="5" t="s">
        <v>944</v>
      </c>
      <c r="F70" s="5" t="s">
        <v>944</v>
      </c>
      <c r="G70" s="5" t="s">
        <v>944</v>
      </c>
      <c r="H70" s="5" t="s">
        <v>944</v>
      </c>
    </row>
    <row r="71" ht="15.75" customHeight="1">
      <c r="A71" s="5" t="s">
        <v>567</v>
      </c>
      <c r="B71" s="5" t="s">
        <v>634</v>
      </c>
      <c r="C71" s="5" t="s">
        <v>635</v>
      </c>
      <c r="D71" s="5" t="s">
        <v>944</v>
      </c>
      <c r="E71" s="5" t="s">
        <v>944</v>
      </c>
      <c r="F71" s="5" t="s">
        <v>944</v>
      </c>
      <c r="G71" s="5" t="s">
        <v>944</v>
      </c>
      <c r="H71" s="5" t="s">
        <v>944</v>
      </c>
    </row>
    <row r="72" ht="15.75" customHeight="1">
      <c r="A72" s="5" t="s">
        <v>567</v>
      </c>
      <c r="B72" s="5" t="s">
        <v>643</v>
      </c>
      <c r="C72" s="5" t="s">
        <v>644</v>
      </c>
      <c r="D72" s="5" t="s">
        <v>944</v>
      </c>
      <c r="E72" s="5" t="s">
        <v>944</v>
      </c>
      <c r="F72" s="5" t="s">
        <v>944</v>
      </c>
      <c r="G72" s="5" t="s">
        <v>944</v>
      </c>
      <c r="H72" s="5" t="s">
        <v>944</v>
      </c>
    </row>
    <row r="73" ht="15.75" customHeight="1">
      <c r="A73" s="5" t="s">
        <v>567</v>
      </c>
      <c r="B73" s="5" t="s">
        <v>651</v>
      </c>
      <c r="C73" s="5" t="s">
        <v>652</v>
      </c>
      <c r="D73" s="5" t="s">
        <v>944</v>
      </c>
      <c r="E73" s="5" t="s">
        <v>944</v>
      </c>
      <c r="F73" s="5" t="s">
        <v>944</v>
      </c>
      <c r="G73" s="5" t="s">
        <v>944</v>
      </c>
      <c r="H73" s="5" t="s">
        <v>944</v>
      </c>
    </row>
    <row r="74" ht="15.75" customHeight="1">
      <c r="A74" s="5" t="s">
        <v>567</v>
      </c>
      <c r="B74" s="5" t="s">
        <v>659</v>
      </c>
      <c r="C74" s="5" t="s">
        <v>660</v>
      </c>
      <c r="D74" s="5" t="s">
        <v>944</v>
      </c>
      <c r="E74" s="5" t="s">
        <v>944</v>
      </c>
      <c r="F74" s="5" t="s">
        <v>944</v>
      </c>
    </row>
    <row r="75" ht="15.75" customHeight="1">
      <c r="A75" s="5" t="s">
        <v>567</v>
      </c>
      <c r="B75" s="5" t="s">
        <v>667</v>
      </c>
      <c r="C75" s="5" t="s">
        <v>668</v>
      </c>
      <c r="D75" s="5" t="s">
        <v>944</v>
      </c>
      <c r="E75" s="5" t="s">
        <v>944</v>
      </c>
      <c r="F75" s="5" t="s">
        <v>944</v>
      </c>
      <c r="G75" s="5" t="s">
        <v>944</v>
      </c>
      <c r="H75" s="5" t="s">
        <v>1903</v>
      </c>
    </row>
    <row r="76" ht="15.75" customHeight="1">
      <c r="A76" s="5" t="s">
        <v>567</v>
      </c>
      <c r="B76" s="5" t="s">
        <v>674</v>
      </c>
      <c r="C76" s="5" t="s">
        <v>675</v>
      </c>
      <c r="D76" s="5" t="s">
        <v>944</v>
      </c>
      <c r="E76" s="5" t="s">
        <v>944</v>
      </c>
      <c r="F76" s="5" t="s">
        <v>944</v>
      </c>
      <c r="G76" s="5" t="s">
        <v>944</v>
      </c>
      <c r="H76" s="5" t="s">
        <v>944</v>
      </c>
    </row>
    <row r="77" ht="15.75" customHeight="1">
      <c r="A77" s="5" t="s">
        <v>682</v>
      </c>
      <c r="B77" s="5" t="s">
        <v>683</v>
      </c>
      <c r="C77" s="5" t="s">
        <v>684</v>
      </c>
      <c r="D77" s="5" t="s">
        <v>944</v>
      </c>
      <c r="E77" s="5" t="s">
        <v>944</v>
      </c>
      <c r="F77" s="5" t="s">
        <v>944</v>
      </c>
    </row>
    <row r="78" ht="15.75" customHeight="1">
      <c r="A78" s="5" t="s">
        <v>682</v>
      </c>
      <c r="B78" s="5" t="s">
        <v>691</v>
      </c>
      <c r="C78" s="5" t="s">
        <v>692</v>
      </c>
      <c r="D78" s="5" t="s">
        <v>944</v>
      </c>
      <c r="E78" s="5" t="s">
        <v>944</v>
      </c>
      <c r="F78" s="5" t="s">
        <v>944</v>
      </c>
      <c r="G78" s="5" t="s">
        <v>944</v>
      </c>
      <c r="H78" s="5" t="s">
        <v>944</v>
      </c>
    </row>
    <row r="79" ht="15.75" customHeight="1">
      <c r="A79" s="5" t="s">
        <v>682</v>
      </c>
      <c r="B79" s="5" t="s">
        <v>699</v>
      </c>
      <c r="C79" s="5" t="s">
        <v>700</v>
      </c>
      <c r="D79" s="5" t="s">
        <v>944</v>
      </c>
      <c r="E79" s="5" t="s">
        <v>944</v>
      </c>
      <c r="F79" s="5" t="s">
        <v>944</v>
      </c>
      <c r="G79" s="5" t="s">
        <v>944</v>
      </c>
      <c r="H79" s="5" t="s">
        <v>944</v>
      </c>
    </row>
    <row r="80" ht="15.75" customHeight="1">
      <c r="A80" s="5" t="s">
        <v>682</v>
      </c>
      <c r="B80" s="5" t="s">
        <v>707</v>
      </c>
      <c r="C80" s="5" t="s">
        <v>708</v>
      </c>
      <c r="D80" s="5" t="s">
        <v>944</v>
      </c>
      <c r="E80" s="5" t="s">
        <v>944</v>
      </c>
      <c r="F80" s="5" t="s">
        <v>944</v>
      </c>
      <c r="G80" s="5" t="s">
        <v>944</v>
      </c>
      <c r="H80" s="5" t="s">
        <v>944</v>
      </c>
    </row>
    <row r="81" ht="15.75" customHeight="1">
      <c r="A81" s="5" t="s">
        <v>682</v>
      </c>
      <c r="B81" s="5" t="s">
        <v>715</v>
      </c>
      <c r="C81" s="5" t="s">
        <v>716</v>
      </c>
      <c r="D81" s="5" t="s">
        <v>944</v>
      </c>
      <c r="E81" s="5" t="s">
        <v>944</v>
      </c>
      <c r="F81" s="5" t="s">
        <v>944</v>
      </c>
      <c r="G81" s="5" t="s">
        <v>944</v>
      </c>
      <c r="H81" s="5" t="s">
        <v>944</v>
      </c>
    </row>
    <row r="82" ht="15.75" customHeight="1">
      <c r="A82" s="5" t="s">
        <v>682</v>
      </c>
      <c r="B82" s="5" t="s">
        <v>725</v>
      </c>
      <c r="C82" s="5" t="s">
        <v>726</v>
      </c>
      <c r="D82" s="5" t="s">
        <v>944</v>
      </c>
      <c r="E82" s="5" t="s">
        <v>944</v>
      </c>
      <c r="F82" s="5" t="s">
        <v>944</v>
      </c>
      <c r="G82" s="5" t="s">
        <v>944</v>
      </c>
      <c r="H82" s="5" t="s">
        <v>944</v>
      </c>
    </row>
    <row r="83" ht="15.75" customHeight="1">
      <c r="A83" s="5" t="s">
        <v>682</v>
      </c>
      <c r="B83" s="5" t="s">
        <v>732</v>
      </c>
      <c r="C83" s="5" t="s">
        <v>733</v>
      </c>
      <c r="D83" s="5" t="s">
        <v>944</v>
      </c>
      <c r="E83" s="5" t="s">
        <v>944</v>
      </c>
      <c r="F83" s="5" t="s">
        <v>944</v>
      </c>
      <c r="G83" s="5" t="s">
        <v>944</v>
      </c>
      <c r="H83" s="5" t="s">
        <v>944</v>
      </c>
    </row>
    <row r="84" ht="15.75" customHeight="1">
      <c r="A84" s="5" t="s">
        <v>682</v>
      </c>
      <c r="B84" s="5" t="s">
        <v>739</v>
      </c>
      <c r="C84" s="5" t="s">
        <v>740</v>
      </c>
      <c r="D84" s="5" t="s">
        <v>1560</v>
      </c>
    </row>
    <row r="85" ht="15.75" customHeight="1">
      <c r="A85" s="5" t="s">
        <v>682</v>
      </c>
      <c r="B85" s="5" t="s">
        <v>749</v>
      </c>
      <c r="C85" s="5" t="s">
        <v>750</v>
      </c>
      <c r="D85" s="5" t="s">
        <v>944</v>
      </c>
      <c r="E85" s="5" t="s">
        <v>944</v>
      </c>
      <c r="F85" s="5" t="s">
        <v>944</v>
      </c>
      <c r="G85" s="5" t="s">
        <v>944</v>
      </c>
      <c r="H85" s="5" t="s">
        <v>944</v>
      </c>
    </row>
    <row r="86" ht="15.75" customHeight="1">
      <c r="A86" s="5" t="s">
        <v>682</v>
      </c>
      <c r="B86" s="5" t="s">
        <v>757</v>
      </c>
      <c r="C86" s="5" t="s">
        <v>758</v>
      </c>
      <c r="D86" s="5" t="s">
        <v>944</v>
      </c>
      <c r="E86" s="5" t="s">
        <v>944</v>
      </c>
      <c r="F86" s="5" t="s">
        <v>944</v>
      </c>
      <c r="G86" s="5" t="s">
        <v>944</v>
      </c>
      <c r="H86" s="5" t="s">
        <v>944</v>
      </c>
    </row>
    <row r="87" ht="15.75" customHeight="1">
      <c r="A87" s="5" t="s">
        <v>682</v>
      </c>
      <c r="B87" s="5" t="s">
        <v>765</v>
      </c>
      <c r="C87" s="5" t="s">
        <v>766</v>
      </c>
      <c r="D87" s="5" t="s">
        <v>944</v>
      </c>
      <c r="E87" s="5" t="s">
        <v>944</v>
      </c>
      <c r="F87" s="5" t="s">
        <v>944</v>
      </c>
      <c r="G87" s="5" t="s">
        <v>944</v>
      </c>
      <c r="H87" s="5" t="s">
        <v>944</v>
      </c>
    </row>
    <row r="88" ht="15.75" customHeight="1">
      <c r="A88" s="5" t="s">
        <v>682</v>
      </c>
      <c r="B88" s="5" t="s">
        <v>773</v>
      </c>
      <c r="C88" s="5" t="s">
        <v>774</v>
      </c>
      <c r="D88" s="5" t="s">
        <v>944</v>
      </c>
      <c r="E88" s="5" t="s">
        <v>944</v>
      </c>
      <c r="G88" s="5" t="s">
        <v>944</v>
      </c>
    </row>
    <row r="89" ht="15.75" customHeight="1">
      <c r="A89" s="5" t="s">
        <v>682</v>
      </c>
      <c r="B89" s="5" t="s">
        <v>782</v>
      </c>
      <c r="C89" s="5" t="s">
        <v>783</v>
      </c>
      <c r="D89" s="5" t="s">
        <v>944</v>
      </c>
      <c r="E89" s="5" t="s">
        <v>944</v>
      </c>
      <c r="F89" s="5" t="s">
        <v>944</v>
      </c>
      <c r="G89" s="5" t="s">
        <v>944</v>
      </c>
      <c r="H89" s="5" t="s">
        <v>944</v>
      </c>
    </row>
    <row r="90" ht="15.75" customHeight="1">
      <c r="A90" s="5" t="s">
        <v>682</v>
      </c>
      <c r="B90" s="5" t="s">
        <v>791</v>
      </c>
      <c r="C90" s="5" t="s">
        <v>792</v>
      </c>
      <c r="D90" s="5" t="s">
        <v>944</v>
      </c>
      <c r="E90" s="5" t="s">
        <v>944</v>
      </c>
      <c r="F90" s="5" t="s">
        <v>944</v>
      </c>
      <c r="G90" s="5" t="s">
        <v>944</v>
      </c>
      <c r="H90" s="5" t="s">
        <v>944</v>
      </c>
    </row>
    <row r="91" ht="15.75" customHeight="1">
      <c r="A91" s="5" t="s">
        <v>801</v>
      </c>
      <c r="B91" s="5" t="s">
        <v>802</v>
      </c>
      <c r="C91" s="5" t="s">
        <v>803</v>
      </c>
      <c r="D91" s="5" t="s">
        <v>944</v>
      </c>
    </row>
    <row r="92" ht="15.75" customHeight="1">
      <c r="A92" s="5" t="s">
        <v>801</v>
      </c>
      <c r="B92" s="5" t="s">
        <v>810</v>
      </c>
      <c r="C92" s="5" t="s">
        <v>811</v>
      </c>
      <c r="D92" s="5" t="s">
        <v>944</v>
      </c>
      <c r="E92" s="5" t="s">
        <v>944</v>
      </c>
      <c r="F92" s="5" t="s">
        <v>944</v>
      </c>
      <c r="G92" s="5" t="s">
        <v>944</v>
      </c>
      <c r="H92" s="5" t="s">
        <v>944</v>
      </c>
    </row>
    <row r="93" ht="15.75" customHeight="1">
      <c r="A93" s="5" t="s">
        <v>801</v>
      </c>
      <c r="B93" s="5" t="s">
        <v>818</v>
      </c>
      <c r="C93" s="5" t="s">
        <v>819</v>
      </c>
      <c r="D93" s="5" t="s">
        <v>944</v>
      </c>
      <c r="E93" s="5" t="s">
        <v>944</v>
      </c>
      <c r="G93" s="5" t="s">
        <v>944</v>
      </c>
    </row>
    <row r="94" ht="15.75" customHeight="1">
      <c r="A94" s="5" t="s">
        <v>801</v>
      </c>
      <c r="B94" s="5" t="s">
        <v>826</v>
      </c>
      <c r="C94" s="5" t="s">
        <v>827</v>
      </c>
      <c r="D94" s="5" t="s">
        <v>944</v>
      </c>
      <c r="E94" s="5" t="s">
        <v>944</v>
      </c>
      <c r="F94" s="5" t="s">
        <v>944</v>
      </c>
      <c r="G94" s="5" t="s">
        <v>944</v>
      </c>
      <c r="H94" s="5" t="s">
        <v>944</v>
      </c>
    </row>
    <row r="95" ht="15.75" customHeight="1">
      <c r="A95" s="5" t="s">
        <v>801</v>
      </c>
      <c r="B95" s="5" t="s">
        <v>836</v>
      </c>
      <c r="C95" s="5" t="s">
        <v>837</v>
      </c>
      <c r="D95" s="5" t="s">
        <v>944</v>
      </c>
      <c r="E95" s="5" t="s">
        <v>944</v>
      </c>
      <c r="F95" s="5" t="s">
        <v>944</v>
      </c>
      <c r="G95" s="5" t="s">
        <v>944</v>
      </c>
      <c r="H95" s="5" t="s">
        <v>944</v>
      </c>
    </row>
    <row r="96" ht="15.75" customHeight="1">
      <c r="A96" s="5" t="s">
        <v>801</v>
      </c>
      <c r="B96" s="5" t="s">
        <v>844</v>
      </c>
      <c r="C96" s="5" t="s">
        <v>845</v>
      </c>
      <c r="D96" s="5" t="s">
        <v>944</v>
      </c>
      <c r="E96" s="5" t="s">
        <v>944</v>
      </c>
      <c r="F96" s="5" t="s">
        <v>944</v>
      </c>
      <c r="G96" s="5" t="s">
        <v>944</v>
      </c>
      <c r="H96" s="5" t="s">
        <v>944</v>
      </c>
    </row>
    <row r="97" ht="15.75" customHeight="1">
      <c r="A97" s="5" t="s">
        <v>801</v>
      </c>
      <c r="B97" s="5" t="s">
        <v>853</v>
      </c>
      <c r="C97" s="5" t="s">
        <v>854</v>
      </c>
      <c r="D97" s="5" t="s">
        <v>944</v>
      </c>
      <c r="E97" s="5" t="s">
        <v>944</v>
      </c>
      <c r="F97" s="5" t="s">
        <v>944</v>
      </c>
      <c r="G97" s="5" t="s">
        <v>944</v>
      </c>
      <c r="H97" s="5" t="s">
        <v>944</v>
      </c>
    </row>
    <row r="98" ht="15.75" customHeight="1">
      <c r="A98" s="5" t="s">
        <v>801</v>
      </c>
      <c r="B98" s="5" t="s">
        <v>860</v>
      </c>
      <c r="C98" s="5" t="s">
        <v>861</v>
      </c>
      <c r="D98" s="5" t="s">
        <v>944</v>
      </c>
      <c r="E98" s="5" t="s">
        <v>944</v>
      </c>
      <c r="F98" s="5" t="s">
        <v>944</v>
      </c>
      <c r="G98" s="5" t="s">
        <v>944</v>
      </c>
      <c r="H98" s="5" t="s">
        <v>944</v>
      </c>
    </row>
    <row r="99" ht="15.75" customHeight="1">
      <c r="A99" s="5" t="s">
        <v>801</v>
      </c>
      <c r="B99" s="5" t="s">
        <v>867</v>
      </c>
      <c r="C99" s="5" t="s">
        <v>868</v>
      </c>
      <c r="D99" s="5" t="s">
        <v>944</v>
      </c>
      <c r="E99" s="5" t="s">
        <v>944</v>
      </c>
      <c r="F99" s="5" t="s">
        <v>944</v>
      </c>
      <c r="G99" s="5" t="s">
        <v>944</v>
      </c>
      <c r="H99" s="5" t="s">
        <v>944</v>
      </c>
    </row>
    <row r="100" ht="15.75" customHeight="1">
      <c r="A100" s="5" t="s">
        <v>801</v>
      </c>
      <c r="B100" s="5" t="s">
        <v>875</v>
      </c>
      <c r="C100" s="5" t="s">
        <v>876</v>
      </c>
      <c r="D100" s="5" t="s">
        <v>944</v>
      </c>
      <c r="E100" s="5" t="s">
        <v>944</v>
      </c>
      <c r="F100" s="5" t="s">
        <v>944</v>
      </c>
      <c r="G100" s="5" t="s">
        <v>944</v>
      </c>
      <c r="H100" s="5" t="s">
        <v>944</v>
      </c>
    </row>
    <row r="101" ht="15.75" customHeight="1">
      <c r="A101" s="5" t="s">
        <v>801</v>
      </c>
      <c r="B101" s="5" t="s">
        <v>883</v>
      </c>
      <c r="C101" s="5" t="s">
        <v>884</v>
      </c>
      <c r="D101" s="5" t="s">
        <v>944</v>
      </c>
      <c r="E101" s="5" t="s">
        <v>944</v>
      </c>
      <c r="F101" s="5" t="s">
        <v>944</v>
      </c>
      <c r="G101" s="5" t="s">
        <v>944</v>
      </c>
      <c r="H101" s="5" t="s">
        <v>944</v>
      </c>
    </row>
    <row r="102" ht="15.75" customHeight="1">
      <c r="A102" s="5" t="s">
        <v>801</v>
      </c>
      <c r="B102" s="5" t="s">
        <v>890</v>
      </c>
      <c r="C102" s="5" t="s">
        <v>891</v>
      </c>
      <c r="D102" s="5" t="s">
        <v>944</v>
      </c>
      <c r="E102" s="5" t="s">
        <v>944</v>
      </c>
      <c r="F102" s="5" t="s">
        <v>944</v>
      </c>
      <c r="G102" s="5" t="s">
        <v>944</v>
      </c>
      <c r="H102" s="5" t="s">
        <v>944</v>
      </c>
    </row>
    <row r="103" ht="15.75" customHeight="1">
      <c r="A103" s="5" t="s">
        <v>801</v>
      </c>
      <c r="B103" s="5" t="s">
        <v>890</v>
      </c>
      <c r="C103" s="5" t="s">
        <v>891</v>
      </c>
      <c r="D103" s="5" t="s">
        <v>944</v>
      </c>
      <c r="E103" s="5" t="s">
        <v>944</v>
      </c>
      <c r="F103" s="5" t="s">
        <v>944</v>
      </c>
      <c r="G103" s="5" t="s">
        <v>944</v>
      </c>
      <c r="H103" s="5" t="s">
        <v>944</v>
      </c>
    </row>
    <row r="104" ht="15.75" customHeight="1">
      <c r="A104" s="5" t="s">
        <v>801</v>
      </c>
      <c r="B104" s="5" t="s">
        <v>898</v>
      </c>
      <c r="C104" s="5" t="s">
        <v>899</v>
      </c>
      <c r="D104" s="5" t="s">
        <v>944</v>
      </c>
      <c r="E104" s="5" t="s">
        <v>944</v>
      </c>
      <c r="F104" s="5" t="s">
        <v>944</v>
      </c>
      <c r="G104" s="5" t="s">
        <v>944</v>
      </c>
      <c r="H104" s="5" t="s">
        <v>944</v>
      </c>
    </row>
    <row r="105" ht="15.75" customHeight="1">
      <c r="A105" s="5" t="s">
        <v>801</v>
      </c>
      <c r="B105" s="5" t="s">
        <v>906</v>
      </c>
      <c r="C105" s="5" t="s">
        <v>907</v>
      </c>
      <c r="D105" s="5" t="s">
        <v>944</v>
      </c>
      <c r="E105" s="5" t="s">
        <v>944</v>
      </c>
      <c r="F105" s="5" t="s">
        <v>944</v>
      </c>
      <c r="G105" s="5" t="s">
        <v>944</v>
      </c>
      <c r="H105" s="5" t="s">
        <v>944</v>
      </c>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5.43"/>
    <col customWidth="1" min="4" max="4" width="30.43"/>
    <col customWidth="1" min="5" max="5" width="19.86"/>
    <col customWidth="1" min="6" max="7" width="14.43"/>
    <col customWidth="1" min="8" max="8" width="27.29"/>
    <col customWidth="1" min="9" max="26" width="8.71"/>
  </cols>
  <sheetData>
    <row r="1">
      <c r="A1" s="1" t="s">
        <v>0</v>
      </c>
      <c r="B1" s="1" t="s">
        <v>1</v>
      </c>
      <c r="C1" s="1" t="s">
        <v>2</v>
      </c>
      <c r="D1" s="1" t="s">
        <v>1904</v>
      </c>
      <c r="E1" s="1" t="s">
        <v>1905</v>
      </c>
      <c r="F1" s="1" t="s">
        <v>1906</v>
      </c>
      <c r="G1" s="1" t="s">
        <v>1907</v>
      </c>
      <c r="H1" s="1" t="s">
        <v>942</v>
      </c>
    </row>
    <row r="2" hidden="1">
      <c r="A2" s="5" t="s">
        <v>26</v>
      </c>
      <c r="B2" s="5" t="s">
        <v>27</v>
      </c>
      <c r="C2" s="5" t="s">
        <v>28</v>
      </c>
      <c r="D2" s="5" t="s">
        <v>1560</v>
      </c>
    </row>
    <row r="3" hidden="1">
      <c r="A3" s="5" t="s">
        <v>26</v>
      </c>
      <c r="B3" s="5" t="s">
        <v>39</v>
      </c>
      <c r="C3" s="5" t="s">
        <v>40</v>
      </c>
      <c r="D3" s="5" t="s">
        <v>1560</v>
      </c>
    </row>
    <row r="4" hidden="1">
      <c r="A4" s="5" t="s">
        <v>26</v>
      </c>
      <c r="B4" s="5" t="s">
        <v>50</v>
      </c>
      <c r="C4" s="5" t="s">
        <v>51</v>
      </c>
      <c r="D4" s="5" t="s">
        <v>1560</v>
      </c>
    </row>
    <row r="5" hidden="1">
      <c r="A5" s="5" t="s">
        <v>26</v>
      </c>
      <c r="B5" s="5" t="s">
        <v>60</v>
      </c>
      <c r="C5" s="5" t="s">
        <v>61</v>
      </c>
      <c r="D5" s="5" t="s">
        <v>1560</v>
      </c>
    </row>
    <row r="6" hidden="1">
      <c r="A6" s="5" t="s">
        <v>26</v>
      </c>
      <c r="B6" s="5" t="s">
        <v>71</v>
      </c>
      <c r="C6" s="5" t="s">
        <v>72</v>
      </c>
      <c r="D6" s="5" t="s">
        <v>1560</v>
      </c>
    </row>
    <row r="7" hidden="1">
      <c r="A7" s="5" t="s">
        <v>26</v>
      </c>
      <c r="B7" s="5" t="s">
        <v>80</v>
      </c>
      <c r="C7" s="5" t="s">
        <v>81</v>
      </c>
      <c r="D7" s="5" t="s">
        <v>1560</v>
      </c>
    </row>
    <row r="8" hidden="1">
      <c r="A8" s="5" t="s">
        <v>26</v>
      </c>
      <c r="B8" s="5" t="s">
        <v>91</v>
      </c>
      <c r="C8" s="5" t="s">
        <v>92</v>
      </c>
      <c r="D8" s="5" t="s">
        <v>1560</v>
      </c>
    </row>
    <row r="9" hidden="1">
      <c r="A9" s="5" t="s">
        <v>26</v>
      </c>
      <c r="B9" s="5" t="s">
        <v>100</v>
      </c>
      <c r="C9" s="5" t="s">
        <v>101</v>
      </c>
      <c r="D9" s="5" t="s">
        <v>1560</v>
      </c>
    </row>
    <row r="10" hidden="1">
      <c r="A10" s="5" t="s">
        <v>26</v>
      </c>
      <c r="B10" s="5" t="s">
        <v>110</v>
      </c>
      <c r="C10" s="5" t="s">
        <v>111</v>
      </c>
      <c r="D10" s="5" t="s">
        <v>1560</v>
      </c>
    </row>
    <row r="11" hidden="1">
      <c r="A11" s="5" t="s">
        <v>121</v>
      </c>
      <c r="B11" s="5" t="s">
        <v>122</v>
      </c>
      <c r="C11" s="5" t="s">
        <v>123</v>
      </c>
      <c r="D11" s="5" t="s">
        <v>1560</v>
      </c>
    </row>
    <row r="12" hidden="1">
      <c r="A12" s="5" t="s">
        <v>121</v>
      </c>
      <c r="B12" s="5" t="s">
        <v>133</v>
      </c>
      <c r="C12" s="5" t="s">
        <v>134</v>
      </c>
      <c r="D12" s="5" t="s">
        <v>1560</v>
      </c>
    </row>
    <row r="13" hidden="1">
      <c r="A13" s="5" t="s">
        <v>121</v>
      </c>
      <c r="B13" s="5" t="s">
        <v>142</v>
      </c>
      <c r="C13" s="5" t="s">
        <v>143</v>
      </c>
      <c r="D13" s="5" t="s">
        <v>1560</v>
      </c>
    </row>
    <row r="14" hidden="1">
      <c r="A14" s="5" t="s">
        <v>121</v>
      </c>
      <c r="B14" s="5" t="s">
        <v>153</v>
      </c>
      <c r="C14" s="5" t="s">
        <v>154</v>
      </c>
      <c r="D14" s="5" t="s">
        <v>1560</v>
      </c>
    </row>
    <row r="15" hidden="1">
      <c r="A15" s="5" t="s">
        <v>121</v>
      </c>
      <c r="B15" s="5" t="s">
        <v>161</v>
      </c>
      <c r="C15" s="5" t="s">
        <v>162</v>
      </c>
      <c r="D15" s="5" t="s">
        <v>1560</v>
      </c>
    </row>
    <row r="16" hidden="1">
      <c r="A16" s="5" t="s">
        <v>121</v>
      </c>
      <c r="B16" s="5" t="s">
        <v>170</v>
      </c>
      <c r="C16" s="5" t="s">
        <v>171</v>
      </c>
      <c r="D16" s="5" t="s">
        <v>1560</v>
      </c>
    </row>
    <row r="17" hidden="1">
      <c r="A17" s="5" t="s">
        <v>121</v>
      </c>
      <c r="B17" s="5" t="s">
        <v>180</v>
      </c>
      <c r="C17" s="5" t="s">
        <v>181</v>
      </c>
      <c r="D17" s="5" t="s">
        <v>1560</v>
      </c>
    </row>
    <row r="18" hidden="1">
      <c r="A18" s="5" t="s">
        <v>121</v>
      </c>
      <c r="B18" s="5" t="s">
        <v>190</v>
      </c>
      <c r="C18" s="5" t="s">
        <v>191</v>
      </c>
      <c r="D18" s="5" t="s">
        <v>944</v>
      </c>
      <c r="E18" s="5" t="s">
        <v>1908</v>
      </c>
      <c r="F18" s="5" t="s">
        <v>1909</v>
      </c>
      <c r="G18" s="5" t="s">
        <v>1560</v>
      </c>
    </row>
    <row r="19">
      <c r="A19" s="5" t="s">
        <v>121</v>
      </c>
      <c r="B19" s="5" t="s">
        <v>201</v>
      </c>
      <c r="C19" s="5" t="s">
        <v>202</v>
      </c>
      <c r="D19" s="5" t="s">
        <v>944</v>
      </c>
      <c r="E19" s="5" t="s">
        <v>1910</v>
      </c>
      <c r="F19" s="5" t="s">
        <v>1911</v>
      </c>
      <c r="G19" s="5" t="s">
        <v>944</v>
      </c>
      <c r="H19" s="5" t="s">
        <v>1912</v>
      </c>
    </row>
    <row r="20" hidden="1">
      <c r="A20" s="5" t="s">
        <v>121</v>
      </c>
      <c r="B20" s="5" t="s">
        <v>211</v>
      </c>
      <c r="C20" s="5" t="s">
        <v>212</v>
      </c>
      <c r="D20" s="5" t="s">
        <v>1560</v>
      </c>
    </row>
    <row r="21" ht="15.75" hidden="1" customHeight="1">
      <c r="A21" s="5" t="s">
        <v>121</v>
      </c>
      <c r="B21" s="5" t="s">
        <v>219</v>
      </c>
      <c r="C21" s="5" t="s">
        <v>220</v>
      </c>
      <c r="D21" s="5" t="s">
        <v>1560</v>
      </c>
    </row>
    <row r="22" ht="15.75" hidden="1" customHeight="1">
      <c r="A22" s="5" t="s">
        <v>121</v>
      </c>
      <c r="B22" s="5" t="s">
        <v>227</v>
      </c>
      <c r="C22" s="5" t="s">
        <v>228</v>
      </c>
      <c r="D22" s="5" t="s">
        <v>1560</v>
      </c>
    </row>
    <row r="23" ht="15.75" hidden="1" customHeight="1">
      <c r="A23" s="5" t="s">
        <v>121</v>
      </c>
      <c r="B23" s="5" t="s">
        <v>236</v>
      </c>
      <c r="C23" s="5" t="s">
        <v>237</v>
      </c>
      <c r="D23" s="5" t="s">
        <v>1560</v>
      </c>
    </row>
    <row r="24" ht="15.75" hidden="1" customHeight="1">
      <c r="A24" s="5" t="s">
        <v>121</v>
      </c>
      <c r="B24" s="5" t="s">
        <v>244</v>
      </c>
      <c r="C24" s="5" t="s">
        <v>245</v>
      </c>
      <c r="D24" s="5" t="s">
        <v>1560</v>
      </c>
    </row>
    <row r="25" ht="15.75" hidden="1" customHeight="1">
      <c r="A25" s="5" t="s">
        <v>121</v>
      </c>
      <c r="B25" s="5" t="s">
        <v>253</v>
      </c>
      <c r="C25" s="5" t="s">
        <v>254</v>
      </c>
      <c r="D25" s="5" t="s">
        <v>1560</v>
      </c>
    </row>
    <row r="26" ht="15.75" hidden="1" customHeight="1">
      <c r="A26" s="5" t="s">
        <v>121</v>
      </c>
      <c r="B26" s="5" t="s">
        <v>261</v>
      </c>
      <c r="C26" s="5" t="s">
        <v>262</v>
      </c>
      <c r="D26" s="5" t="s">
        <v>1560</v>
      </c>
    </row>
    <row r="27" ht="15.75" hidden="1" customHeight="1">
      <c r="A27" s="5" t="s">
        <v>121</v>
      </c>
      <c r="B27" s="5" t="s">
        <v>270</v>
      </c>
      <c r="C27" s="5" t="s">
        <v>271</v>
      </c>
      <c r="D27" s="5" t="s">
        <v>1560</v>
      </c>
    </row>
    <row r="28" ht="15.75" hidden="1" customHeight="1">
      <c r="A28" s="5" t="s">
        <v>121</v>
      </c>
      <c r="B28" s="5" t="s">
        <v>279</v>
      </c>
      <c r="C28" s="5" t="s">
        <v>280</v>
      </c>
      <c r="D28" s="5" t="s">
        <v>1560</v>
      </c>
    </row>
    <row r="29" ht="15.75" hidden="1" customHeight="1">
      <c r="A29" s="5" t="s">
        <v>121</v>
      </c>
      <c r="B29" s="5" t="s">
        <v>288</v>
      </c>
      <c r="C29" s="5" t="s">
        <v>289</v>
      </c>
      <c r="D29" s="5" t="s">
        <v>1560</v>
      </c>
    </row>
    <row r="30" ht="15.75" hidden="1" customHeight="1">
      <c r="A30" s="5" t="s">
        <v>121</v>
      </c>
      <c r="B30" s="5" t="s">
        <v>296</v>
      </c>
      <c r="C30" s="5" t="s">
        <v>297</v>
      </c>
      <c r="D30" s="5" t="s">
        <v>1560</v>
      </c>
    </row>
    <row r="31" ht="15.75" customHeight="1">
      <c r="A31" s="5" t="s">
        <v>121</v>
      </c>
      <c r="B31" s="5" t="s">
        <v>304</v>
      </c>
      <c r="C31" s="5" t="s">
        <v>305</v>
      </c>
      <c r="D31" s="5" t="s">
        <v>944</v>
      </c>
      <c r="E31" s="5" t="s">
        <v>1913</v>
      </c>
      <c r="F31" s="5" t="s">
        <v>1914</v>
      </c>
      <c r="G31" s="5" t="s">
        <v>944</v>
      </c>
    </row>
    <row r="32" ht="15.75" hidden="1" customHeight="1">
      <c r="A32" s="5" t="s">
        <v>121</v>
      </c>
      <c r="B32" s="5" t="s">
        <v>313</v>
      </c>
      <c r="C32" s="5" t="s">
        <v>314</v>
      </c>
      <c r="D32" s="5" t="s">
        <v>1560</v>
      </c>
    </row>
    <row r="33" ht="15.75" hidden="1" customHeight="1">
      <c r="A33" s="5" t="s">
        <v>121</v>
      </c>
      <c r="B33" s="5" t="s">
        <v>321</v>
      </c>
      <c r="C33" s="5" t="s">
        <v>322</v>
      </c>
      <c r="D33" s="5" t="s">
        <v>1560</v>
      </c>
    </row>
    <row r="34" ht="15.75" customHeight="1">
      <c r="A34" s="5" t="s">
        <v>121</v>
      </c>
      <c r="B34" s="5" t="s">
        <v>330</v>
      </c>
      <c r="C34" s="5" t="s">
        <v>331</v>
      </c>
      <c r="D34" s="5" t="s">
        <v>944</v>
      </c>
      <c r="E34" s="5" t="s">
        <v>1915</v>
      </c>
      <c r="F34" s="5" t="s">
        <v>1916</v>
      </c>
      <c r="G34" s="5" t="s">
        <v>944</v>
      </c>
    </row>
    <row r="35" ht="15.75" hidden="1" customHeight="1">
      <c r="A35" s="5" t="s">
        <v>121</v>
      </c>
      <c r="B35" s="5" t="s">
        <v>338</v>
      </c>
      <c r="C35" s="5" t="s">
        <v>339</v>
      </c>
      <c r="D35" s="5" t="s">
        <v>1560</v>
      </c>
    </row>
    <row r="36" ht="15.75" hidden="1" customHeight="1">
      <c r="A36" s="5" t="s">
        <v>121</v>
      </c>
      <c r="B36" s="5" t="s">
        <v>348</v>
      </c>
      <c r="C36" s="5" t="s">
        <v>349</v>
      </c>
      <c r="D36" s="5" t="s">
        <v>1560</v>
      </c>
    </row>
    <row r="37" ht="15.75" customHeight="1">
      <c r="A37" s="5" t="s">
        <v>121</v>
      </c>
      <c r="B37" s="5" t="s">
        <v>355</v>
      </c>
      <c r="C37" s="5" t="s">
        <v>356</v>
      </c>
      <c r="D37" s="5" t="s">
        <v>944</v>
      </c>
      <c r="E37" s="5" t="s">
        <v>1917</v>
      </c>
      <c r="F37" s="5" t="s">
        <v>1918</v>
      </c>
      <c r="G37" s="5" t="s">
        <v>944</v>
      </c>
    </row>
    <row r="38" ht="15.75" customHeight="1">
      <c r="A38" s="5" t="s">
        <v>121</v>
      </c>
      <c r="B38" s="5" t="s">
        <v>365</v>
      </c>
      <c r="C38" s="5" t="s">
        <v>366</v>
      </c>
      <c r="D38" s="5" t="s">
        <v>944</v>
      </c>
      <c r="E38" s="5" t="s">
        <v>1919</v>
      </c>
      <c r="F38" s="5" t="s">
        <v>1920</v>
      </c>
      <c r="G38" s="5" t="s">
        <v>944</v>
      </c>
    </row>
    <row r="39" ht="15.75" hidden="1" customHeight="1">
      <c r="A39" s="5" t="s">
        <v>121</v>
      </c>
      <c r="B39" s="5" t="s">
        <v>375</v>
      </c>
      <c r="C39" s="5" t="s">
        <v>376</v>
      </c>
      <c r="D39" s="5" t="s">
        <v>1560</v>
      </c>
    </row>
    <row r="40" ht="15.75" hidden="1" customHeight="1">
      <c r="A40" s="5" t="s">
        <v>121</v>
      </c>
      <c r="B40" s="5" t="s">
        <v>375</v>
      </c>
      <c r="C40" s="5" t="s">
        <v>376</v>
      </c>
      <c r="D40" s="5" t="s">
        <v>1560</v>
      </c>
    </row>
    <row r="41" ht="15.75" hidden="1" customHeight="1">
      <c r="A41" s="5" t="s">
        <v>121</v>
      </c>
      <c r="B41" s="5" t="s">
        <v>387</v>
      </c>
      <c r="C41" s="5" t="s">
        <v>388</v>
      </c>
      <c r="D41" s="5" t="s">
        <v>1560</v>
      </c>
    </row>
    <row r="42" ht="15.75" hidden="1" customHeight="1">
      <c r="A42" s="5" t="s">
        <v>121</v>
      </c>
      <c r="B42" s="5" t="s">
        <v>395</v>
      </c>
      <c r="C42" s="5" t="s">
        <v>396</v>
      </c>
      <c r="D42" s="5" t="s">
        <v>1560</v>
      </c>
    </row>
    <row r="43" ht="15.75" customHeight="1">
      <c r="A43" s="5" t="s">
        <v>121</v>
      </c>
      <c r="B43" s="5" t="s">
        <v>405</v>
      </c>
      <c r="C43" s="5" t="s">
        <v>406</v>
      </c>
      <c r="D43" s="5" t="s">
        <v>944</v>
      </c>
      <c r="E43" s="5" t="s">
        <v>1921</v>
      </c>
      <c r="F43" s="5" t="s">
        <v>1922</v>
      </c>
      <c r="G43" s="5" t="s">
        <v>944</v>
      </c>
    </row>
    <row r="44" ht="15.75" hidden="1" customHeight="1">
      <c r="A44" s="5" t="s">
        <v>121</v>
      </c>
      <c r="B44" s="5" t="s">
        <v>412</v>
      </c>
      <c r="C44" s="5" t="s">
        <v>413</v>
      </c>
      <c r="D44" s="5" t="s">
        <v>1560</v>
      </c>
    </row>
    <row r="45" ht="15.75" hidden="1" customHeight="1">
      <c r="A45" s="5" t="s">
        <v>419</v>
      </c>
      <c r="B45" s="5" t="s">
        <v>420</v>
      </c>
      <c r="C45" s="5" t="s">
        <v>421</v>
      </c>
      <c r="D45" s="5" t="s">
        <v>1560</v>
      </c>
    </row>
    <row r="46" ht="15.75" hidden="1" customHeight="1">
      <c r="A46" s="5" t="s">
        <v>419</v>
      </c>
      <c r="B46" s="5" t="s">
        <v>430</v>
      </c>
      <c r="C46" s="5" t="s">
        <v>431</v>
      </c>
      <c r="D46" s="5" t="s">
        <v>1560</v>
      </c>
    </row>
    <row r="47" ht="15.75" hidden="1" customHeight="1">
      <c r="A47" s="5" t="s">
        <v>419</v>
      </c>
      <c r="B47" s="5" t="s">
        <v>438</v>
      </c>
      <c r="C47" s="5" t="s">
        <v>439</v>
      </c>
      <c r="D47" s="5" t="s">
        <v>1560</v>
      </c>
    </row>
    <row r="48" ht="15.75" hidden="1" customHeight="1">
      <c r="A48" s="5" t="s">
        <v>419</v>
      </c>
      <c r="B48" s="5" t="s">
        <v>446</v>
      </c>
      <c r="C48" s="5" t="s">
        <v>447</v>
      </c>
      <c r="D48" s="5" t="s">
        <v>1560</v>
      </c>
    </row>
    <row r="49" ht="15.75" hidden="1" customHeight="1">
      <c r="A49" s="5" t="s">
        <v>419</v>
      </c>
      <c r="B49" s="5" t="s">
        <v>453</v>
      </c>
      <c r="C49" s="5" t="s">
        <v>454</v>
      </c>
      <c r="D49" s="5" t="s">
        <v>1560</v>
      </c>
    </row>
    <row r="50" ht="15.75" hidden="1" customHeight="1">
      <c r="A50" s="5" t="s">
        <v>419</v>
      </c>
      <c r="B50" s="5" t="s">
        <v>461</v>
      </c>
      <c r="C50" s="5" t="s">
        <v>462</v>
      </c>
      <c r="D50" s="5" t="s">
        <v>1560</v>
      </c>
    </row>
    <row r="51" ht="15.75" customHeight="1">
      <c r="A51" s="5" t="s">
        <v>419</v>
      </c>
      <c r="B51" s="5" t="s">
        <v>469</v>
      </c>
      <c r="C51" s="5" t="s">
        <v>470</v>
      </c>
      <c r="D51" s="5" t="s">
        <v>944</v>
      </c>
      <c r="E51" s="5" t="s">
        <v>1923</v>
      </c>
      <c r="F51" s="5" t="s">
        <v>1924</v>
      </c>
      <c r="G51" s="5" t="s">
        <v>944</v>
      </c>
    </row>
    <row r="52" ht="15.75" hidden="1" customHeight="1">
      <c r="A52" s="5" t="s">
        <v>419</v>
      </c>
      <c r="B52" s="5" t="s">
        <v>477</v>
      </c>
      <c r="C52" s="5" t="s">
        <v>478</v>
      </c>
      <c r="D52" s="5" t="s">
        <v>1560</v>
      </c>
    </row>
    <row r="53" ht="15.75" hidden="1" customHeight="1">
      <c r="A53" s="5" t="s">
        <v>419</v>
      </c>
      <c r="B53" s="5" t="s">
        <v>477</v>
      </c>
      <c r="C53" s="5" t="s">
        <v>478</v>
      </c>
      <c r="D53" s="5" t="s">
        <v>1560</v>
      </c>
    </row>
    <row r="54" ht="15.75" hidden="1" customHeight="1">
      <c r="A54" s="5" t="s">
        <v>419</v>
      </c>
      <c r="B54" s="5" t="s">
        <v>488</v>
      </c>
      <c r="C54" s="5" t="s">
        <v>489</v>
      </c>
      <c r="D54" s="5" t="s">
        <v>1560</v>
      </c>
    </row>
    <row r="55" ht="15.75" hidden="1" customHeight="1">
      <c r="A55" s="5" t="s">
        <v>419</v>
      </c>
      <c r="B55" s="5" t="s">
        <v>498</v>
      </c>
      <c r="C55" s="5" t="s">
        <v>499</v>
      </c>
      <c r="D55" s="5" t="s">
        <v>1560</v>
      </c>
    </row>
    <row r="56" ht="15.75" hidden="1" customHeight="1">
      <c r="A56" s="5" t="s">
        <v>419</v>
      </c>
      <c r="B56" s="5" t="s">
        <v>507</v>
      </c>
      <c r="C56" s="5" t="s">
        <v>508</v>
      </c>
      <c r="D56" s="5" t="s">
        <v>1560</v>
      </c>
    </row>
    <row r="57" ht="15.75" hidden="1" customHeight="1">
      <c r="A57" s="5" t="s">
        <v>419</v>
      </c>
      <c r="B57" s="5" t="s">
        <v>517</v>
      </c>
      <c r="C57" s="5" t="s">
        <v>518</v>
      </c>
      <c r="D57" s="5" t="s">
        <v>1560</v>
      </c>
    </row>
    <row r="58" ht="15.75" hidden="1" customHeight="1">
      <c r="A58" s="5" t="s">
        <v>419</v>
      </c>
      <c r="B58" s="5" t="s">
        <v>527</v>
      </c>
      <c r="C58" s="5" t="s">
        <v>528</v>
      </c>
      <c r="D58" s="5" t="s">
        <v>1560</v>
      </c>
    </row>
    <row r="59" ht="15.75" customHeight="1">
      <c r="A59" s="5" t="s">
        <v>419</v>
      </c>
      <c r="B59" s="5" t="s">
        <v>533</v>
      </c>
      <c r="C59" s="5" t="s">
        <v>534</v>
      </c>
      <c r="D59" s="5" t="s">
        <v>944</v>
      </c>
      <c r="E59" s="5" t="s">
        <v>1925</v>
      </c>
      <c r="F59" s="5" t="s">
        <v>1926</v>
      </c>
      <c r="G59" s="5" t="s">
        <v>944</v>
      </c>
    </row>
    <row r="60" ht="15.75" hidden="1" customHeight="1">
      <c r="A60" s="5" t="s">
        <v>419</v>
      </c>
      <c r="B60" s="5" t="s">
        <v>541</v>
      </c>
      <c r="C60" s="5" t="s">
        <v>542</v>
      </c>
      <c r="D60" s="5" t="s">
        <v>1560</v>
      </c>
    </row>
    <row r="61" ht="15.75" hidden="1" customHeight="1">
      <c r="A61" s="5" t="s">
        <v>419</v>
      </c>
      <c r="B61" s="5" t="s">
        <v>550</v>
      </c>
      <c r="C61" s="5" t="s">
        <v>551</v>
      </c>
      <c r="D61" s="5" t="s">
        <v>1560</v>
      </c>
    </row>
    <row r="62" ht="15.75" hidden="1" customHeight="1">
      <c r="A62" s="5" t="s">
        <v>419</v>
      </c>
      <c r="B62" s="5" t="s">
        <v>559</v>
      </c>
      <c r="C62" s="5" t="s">
        <v>560</v>
      </c>
      <c r="D62" s="5" t="s">
        <v>1560</v>
      </c>
    </row>
    <row r="63" ht="15.75" hidden="1" customHeight="1">
      <c r="A63" s="5" t="s">
        <v>567</v>
      </c>
      <c r="B63" s="5" t="s">
        <v>568</v>
      </c>
      <c r="C63" s="5" t="s">
        <v>569</v>
      </c>
      <c r="D63" s="5" t="s">
        <v>1560</v>
      </c>
    </row>
    <row r="64" ht="15.75" hidden="1" customHeight="1">
      <c r="A64" s="5" t="s">
        <v>567</v>
      </c>
      <c r="B64" s="5" t="s">
        <v>577</v>
      </c>
      <c r="C64" s="5" t="s">
        <v>578</v>
      </c>
      <c r="D64" s="5" t="s">
        <v>1560</v>
      </c>
    </row>
    <row r="65" ht="15.75" customHeight="1">
      <c r="A65" s="5" t="s">
        <v>567</v>
      </c>
      <c r="B65" s="5" t="s">
        <v>586</v>
      </c>
      <c r="C65" s="5" t="s">
        <v>587</v>
      </c>
      <c r="D65" s="5" t="s">
        <v>944</v>
      </c>
      <c r="E65" s="5" t="s">
        <v>1927</v>
      </c>
      <c r="F65" s="5" t="s">
        <v>1928</v>
      </c>
      <c r="G65" s="5" t="s">
        <v>944</v>
      </c>
    </row>
    <row r="66" ht="15.75" hidden="1" customHeight="1">
      <c r="A66" s="5" t="s">
        <v>567</v>
      </c>
      <c r="B66" s="5" t="s">
        <v>597</v>
      </c>
      <c r="C66" s="5" t="s">
        <v>598</v>
      </c>
      <c r="D66" s="5" t="s">
        <v>1560</v>
      </c>
    </row>
    <row r="67" ht="15.75" hidden="1" customHeight="1">
      <c r="A67" s="5" t="s">
        <v>567</v>
      </c>
      <c r="B67" s="5" t="s">
        <v>606</v>
      </c>
      <c r="C67" s="5" t="s">
        <v>607</v>
      </c>
      <c r="D67" s="5" t="s">
        <v>1560</v>
      </c>
    </row>
    <row r="68" ht="15.75" hidden="1" customHeight="1">
      <c r="A68" s="5" t="s">
        <v>567</v>
      </c>
      <c r="B68" s="5" t="s">
        <v>606</v>
      </c>
      <c r="C68" s="5" t="s">
        <v>607</v>
      </c>
      <c r="D68" s="5" t="s">
        <v>1560</v>
      </c>
    </row>
    <row r="69" ht="15.75" hidden="1" customHeight="1">
      <c r="A69" s="5" t="s">
        <v>567</v>
      </c>
      <c r="B69" s="5" t="s">
        <v>614</v>
      </c>
      <c r="C69" s="5" t="s">
        <v>615</v>
      </c>
      <c r="D69" s="5" t="s">
        <v>1560</v>
      </c>
    </row>
    <row r="70" ht="15.75" customHeight="1">
      <c r="A70" s="5" t="s">
        <v>567</v>
      </c>
      <c r="B70" s="5" t="s">
        <v>624</v>
      </c>
      <c r="C70" s="5" t="s">
        <v>625</v>
      </c>
      <c r="D70" s="5" t="s">
        <v>944</v>
      </c>
      <c r="E70" s="5" t="s">
        <v>1929</v>
      </c>
      <c r="F70" s="5" t="s">
        <v>1928</v>
      </c>
      <c r="G70" s="5" t="s">
        <v>944</v>
      </c>
    </row>
    <row r="71" ht="15.75" hidden="1" customHeight="1">
      <c r="A71" s="5" t="s">
        <v>567</v>
      </c>
      <c r="B71" s="5" t="s">
        <v>634</v>
      </c>
      <c r="C71" s="5" t="s">
        <v>635</v>
      </c>
      <c r="D71" s="5" t="s">
        <v>1560</v>
      </c>
    </row>
    <row r="72" ht="15.75" customHeight="1">
      <c r="A72" s="5" t="s">
        <v>567</v>
      </c>
      <c r="B72" s="5" t="s">
        <v>643</v>
      </c>
      <c r="C72" s="5" t="s">
        <v>644</v>
      </c>
      <c r="D72" s="5" t="s">
        <v>944</v>
      </c>
      <c r="E72" s="5" t="s">
        <v>1930</v>
      </c>
      <c r="F72" s="5" t="s">
        <v>1931</v>
      </c>
      <c r="G72" s="5" t="s">
        <v>944</v>
      </c>
    </row>
    <row r="73" ht="15.75" hidden="1" customHeight="1">
      <c r="A73" s="5" t="s">
        <v>567</v>
      </c>
      <c r="B73" s="5" t="s">
        <v>651</v>
      </c>
      <c r="C73" s="5" t="s">
        <v>652</v>
      </c>
      <c r="D73" s="5" t="s">
        <v>1560</v>
      </c>
    </row>
    <row r="74" ht="15.75" customHeight="1">
      <c r="A74" s="5" t="s">
        <v>567</v>
      </c>
      <c r="B74" s="5" t="s">
        <v>659</v>
      </c>
      <c r="C74" s="5" t="s">
        <v>660</v>
      </c>
      <c r="D74" s="5" t="s">
        <v>944</v>
      </c>
      <c r="E74" s="5" t="s">
        <v>1932</v>
      </c>
      <c r="F74" s="5" t="s">
        <v>1933</v>
      </c>
      <c r="G74" s="5" t="s">
        <v>944</v>
      </c>
      <c r="H74" s="5" t="s">
        <v>1934</v>
      </c>
    </row>
    <row r="75" ht="15.75" customHeight="1">
      <c r="A75" s="5" t="s">
        <v>567</v>
      </c>
      <c r="B75" s="5" t="s">
        <v>667</v>
      </c>
      <c r="C75" s="5" t="s">
        <v>668</v>
      </c>
      <c r="D75" s="5" t="s">
        <v>944</v>
      </c>
      <c r="E75" s="5" t="s">
        <v>1935</v>
      </c>
      <c r="F75" s="5" t="s">
        <v>1936</v>
      </c>
      <c r="G75" s="5" t="s">
        <v>944</v>
      </c>
      <c r="H75" s="5" t="s">
        <v>1937</v>
      </c>
    </row>
    <row r="76" ht="15.75" hidden="1" customHeight="1">
      <c r="A76" s="5" t="s">
        <v>567</v>
      </c>
      <c r="B76" s="5" t="s">
        <v>674</v>
      </c>
      <c r="C76" s="5" t="s">
        <v>675</v>
      </c>
      <c r="D76" s="5" t="s">
        <v>1560</v>
      </c>
    </row>
    <row r="77" ht="15.75" hidden="1" customHeight="1">
      <c r="A77" s="5" t="s">
        <v>682</v>
      </c>
      <c r="B77" s="5" t="s">
        <v>683</v>
      </c>
      <c r="C77" s="5" t="s">
        <v>684</v>
      </c>
      <c r="D77" s="5" t="s">
        <v>1560</v>
      </c>
    </row>
    <row r="78" ht="15.75" hidden="1" customHeight="1">
      <c r="A78" s="5" t="s">
        <v>682</v>
      </c>
      <c r="B78" s="5" t="s">
        <v>691</v>
      </c>
      <c r="C78" s="5" t="s">
        <v>692</v>
      </c>
      <c r="D78" s="5" t="s">
        <v>1560</v>
      </c>
    </row>
    <row r="79" ht="15.75" hidden="1" customHeight="1">
      <c r="A79" s="5" t="s">
        <v>682</v>
      </c>
      <c r="B79" s="5" t="s">
        <v>699</v>
      </c>
      <c r="C79" s="5" t="s">
        <v>700</v>
      </c>
      <c r="D79" s="5" t="s">
        <v>1560</v>
      </c>
    </row>
    <row r="80" ht="15.75" hidden="1" customHeight="1">
      <c r="A80" s="5" t="s">
        <v>682</v>
      </c>
      <c r="B80" s="5" t="s">
        <v>707</v>
      </c>
      <c r="C80" s="5" t="s">
        <v>708</v>
      </c>
      <c r="D80" s="5" t="s">
        <v>1560</v>
      </c>
    </row>
    <row r="81" ht="15.75" customHeight="1">
      <c r="A81" s="5" t="s">
        <v>682</v>
      </c>
      <c r="B81" s="5" t="s">
        <v>715</v>
      </c>
      <c r="C81" s="5" t="s">
        <v>716</v>
      </c>
      <c r="D81" s="5" t="s">
        <v>944</v>
      </c>
      <c r="E81" s="5" t="s">
        <v>1938</v>
      </c>
      <c r="F81" s="5" t="s">
        <v>1939</v>
      </c>
      <c r="G81" s="5" t="s">
        <v>944</v>
      </c>
      <c r="H81" s="5" t="s">
        <v>1940</v>
      </c>
    </row>
    <row r="82" ht="15.75" hidden="1" customHeight="1">
      <c r="A82" s="5" t="s">
        <v>682</v>
      </c>
      <c r="B82" s="5" t="s">
        <v>725</v>
      </c>
      <c r="C82" s="5" t="s">
        <v>726</v>
      </c>
      <c r="D82" s="5" t="s">
        <v>1560</v>
      </c>
    </row>
    <row r="83" ht="15.75" hidden="1" customHeight="1">
      <c r="A83" s="5" t="s">
        <v>682</v>
      </c>
      <c r="B83" s="5" t="s">
        <v>732</v>
      </c>
      <c r="C83" s="5" t="s">
        <v>733</v>
      </c>
      <c r="D83" s="5" t="s">
        <v>1560</v>
      </c>
    </row>
    <row r="84" ht="15.75" hidden="1" customHeight="1">
      <c r="A84" s="5" t="s">
        <v>682</v>
      </c>
      <c r="B84" s="5" t="s">
        <v>739</v>
      </c>
      <c r="C84" s="5" t="s">
        <v>740</v>
      </c>
      <c r="D84" s="5" t="s">
        <v>1560</v>
      </c>
    </row>
    <row r="85" ht="15.75" hidden="1" customHeight="1">
      <c r="A85" s="5" t="s">
        <v>682</v>
      </c>
      <c r="B85" s="5" t="s">
        <v>749</v>
      </c>
      <c r="C85" s="5" t="s">
        <v>750</v>
      </c>
      <c r="D85" s="5" t="s">
        <v>1560</v>
      </c>
    </row>
    <row r="86" ht="15.75" customHeight="1">
      <c r="A86" s="5" t="s">
        <v>682</v>
      </c>
      <c r="B86" s="5" t="s">
        <v>757</v>
      </c>
      <c r="C86" s="5" t="s">
        <v>758</v>
      </c>
      <c r="D86" s="5" t="s">
        <v>944</v>
      </c>
      <c r="E86" s="5" t="s">
        <v>1941</v>
      </c>
      <c r="F86" s="5" t="s">
        <v>1942</v>
      </c>
      <c r="G86" s="5" t="s">
        <v>944</v>
      </c>
    </row>
    <row r="87" ht="15.75" hidden="1" customHeight="1">
      <c r="A87" s="5" t="s">
        <v>682</v>
      </c>
      <c r="B87" s="5" t="s">
        <v>765</v>
      </c>
      <c r="C87" s="5" t="s">
        <v>766</v>
      </c>
      <c r="D87" s="5" t="s">
        <v>1560</v>
      </c>
    </row>
    <row r="88" ht="15.75" hidden="1" customHeight="1">
      <c r="A88" s="5" t="s">
        <v>682</v>
      </c>
      <c r="B88" s="5" t="s">
        <v>773</v>
      </c>
      <c r="C88" s="5" t="s">
        <v>774</v>
      </c>
      <c r="D88" s="5" t="s">
        <v>1560</v>
      </c>
    </row>
    <row r="89" ht="15.75" hidden="1" customHeight="1">
      <c r="A89" s="5" t="s">
        <v>682</v>
      </c>
      <c r="B89" s="5" t="s">
        <v>782</v>
      </c>
      <c r="C89" s="5" t="s">
        <v>783</v>
      </c>
      <c r="D89" s="5" t="s">
        <v>1560</v>
      </c>
    </row>
    <row r="90" ht="15.75" hidden="1" customHeight="1">
      <c r="A90" s="5" t="s">
        <v>682</v>
      </c>
      <c r="B90" s="5" t="s">
        <v>791</v>
      </c>
      <c r="C90" s="5" t="s">
        <v>792</v>
      </c>
      <c r="D90" s="5" t="s">
        <v>1560</v>
      </c>
    </row>
    <row r="91" ht="15.75" hidden="1" customHeight="1">
      <c r="A91" s="5" t="s">
        <v>801</v>
      </c>
      <c r="B91" s="5" t="s">
        <v>802</v>
      </c>
      <c r="C91" s="5" t="s">
        <v>803</v>
      </c>
      <c r="D91" s="5" t="s">
        <v>1560</v>
      </c>
    </row>
    <row r="92" ht="15.75" hidden="1" customHeight="1">
      <c r="A92" s="5" t="s">
        <v>801</v>
      </c>
      <c r="B92" s="5" t="s">
        <v>810</v>
      </c>
      <c r="C92" s="5" t="s">
        <v>811</v>
      </c>
      <c r="D92" s="5" t="s">
        <v>1560</v>
      </c>
    </row>
    <row r="93" ht="15.75" hidden="1" customHeight="1">
      <c r="A93" s="5" t="s">
        <v>801</v>
      </c>
      <c r="B93" s="5" t="s">
        <v>818</v>
      </c>
      <c r="C93" s="5" t="s">
        <v>819</v>
      </c>
      <c r="D93" s="5" t="s">
        <v>1560</v>
      </c>
    </row>
    <row r="94" ht="15.75" hidden="1" customHeight="1">
      <c r="A94" s="5" t="s">
        <v>801</v>
      </c>
      <c r="B94" s="5" t="s">
        <v>826</v>
      </c>
      <c r="C94" s="5" t="s">
        <v>827</v>
      </c>
      <c r="D94" s="5" t="s">
        <v>1560</v>
      </c>
    </row>
    <row r="95" ht="15.75" hidden="1" customHeight="1">
      <c r="A95" s="5" t="s">
        <v>801</v>
      </c>
      <c r="B95" s="5" t="s">
        <v>836</v>
      </c>
      <c r="C95" s="5" t="s">
        <v>837</v>
      </c>
      <c r="D95" s="5" t="s">
        <v>1560</v>
      </c>
    </row>
    <row r="96" ht="15.75" customHeight="1">
      <c r="A96" s="5" t="s">
        <v>801</v>
      </c>
      <c r="B96" s="5" t="s">
        <v>844</v>
      </c>
      <c r="C96" s="5" t="s">
        <v>845</v>
      </c>
      <c r="D96" s="5" t="s">
        <v>944</v>
      </c>
      <c r="E96" s="5" t="s">
        <v>1910</v>
      </c>
      <c r="F96" s="5" t="s">
        <v>1943</v>
      </c>
      <c r="G96" s="5" t="s">
        <v>944</v>
      </c>
    </row>
    <row r="97" ht="15.75" hidden="1" customHeight="1">
      <c r="A97" s="5" t="s">
        <v>801</v>
      </c>
      <c r="B97" s="5" t="s">
        <v>853</v>
      </c>
      <c r="C97" s="5" t="s">
        <v>854</v>
      </c>
      <c r="D97" s="5" t="s">
        <v>1560</v>
      </c>
    </row>
    <row r="98" ht="15.75" hidden="1" customHeight="1">
      <c r="A98" s="5" t="s">
        <v>801</v>
      </c>
      <c r="B98" s="5" t="s">
        <v>860</v>
      </c>
      <c r="C98" s="5" t="s">
        <v>861</v>
      </c>
      <c r="D98" s="5" t="s">
        <v>1560</v>
      </c>
    </row>
    <row r="99" ht="15.75" hidden="1" customHeight="1">
      <c r="A99" s="5" t="s">
        <v>801</v>
      </c>
      <c r="B99" s="5" t="s">
        <v>867</v>
      </c>
      <c r="C99" s="5" t="s">
        <v>868</v>
      </c>
      <c r="D99" s="5" t="s">
        <v>1560</v>
      </c>
    </row>
    <row r="100" ht="15.75" hidden="1" customHeight="1">
      <c r="A100" s="5" t="s">
        <v>801</v>
      </c>
      <c r="B100" s="5" t="s">
        <v>875</v>
      </c>
      <c r="C100" s="5" t="s">
        <v>876</v>
      </c>
      <c r="D100" s="5" t="s">
        <v>1560</v>
      </c>
    </row>
    <row r="101" ht="15.75" hidden="1" customHeight="1">
      <c r="A101" s="5" t="s">
        <v>801</v>
      </c>
      <c r="B101" s="5" t="s">
        <v>883</v>
      </c>
      <c r="C101" s="5" t="s">
        <v>884</v>
      </c>
      <c r="D101" s="5" t="s">
        <v>1560</v>
      </c>
    </row>
    <row r="102" ht="15.75" hidden="1" customHeight="1">
      <c r="A102" s="5" t="s">
        <v>801</v>
      </c>
      <c r="B102" s="5" t="s">
        <v>890</v>
      </c>
      <c r="C102" s="5" t="s">
        <v>891</v>
      </c>
      <c r="D102" s="5" t="s">
        <v>1560</v>
      </c>
    </row>
    <row r="103" ht="15.75" hidden="1" customHeight="1">
      <c r="A103" s="5" t="s">
        <v>801</v>
      </c>
      <c r="B103" s="5" t="s">
        <v>890</v>
      </c>
      <c r="C103" s="5" t="s">
        <v>891</v>
      </c>
      <c r="D103" s="5" t="s">
        <v>1560</v>
      </c>
    </row>
    <row r="104" ht="15.75" customHeight="1">
      <c r="A104" s="5" t="s">
        <v>801</v>
      </c>
      <c r="B104" s="5" t="s">
        <v>898</v>
      </c>
      <c r="C104" s="5" t="s">
        <v>899</v>
      </c>
      <c r="D104" s="5" t="s">
        <v>944</v>
      </c>
      <c r="E104" s="5" t="s">
        <v>1944</v>
      </c>
      <c r="F104" s="5" t="s">
        <v>1945</v>
      </c>
      <c r="G104" s="5" t="s">
        <v>944</v>
      </c>
      <c r="H104" s="5" t="s">
        <v>1946</v>
      </c>
    </row>
    <row r="105" ht="15.75" hidden="1" customHeight="1">
      <c r="A105" s="5" t="s">
        <v>801</v>
      </c>
      <c r="B105" s="5" t="s">
        <v>906</v>
      </c>
      <c r="C105" s="5" t="s">
        <v>907</v>
      </c>
      <c r="D105" s="5" t="s">
        <v>1560</v>
      </c>
    </row>
    <row r="106" ht="15.75" hidden="1" customHeight="1"/>
    <row r="107" ht="15.75" hidden="1" customHeight="1"/>
    <row r="108" ht="15.75" hidden="1" customHeight="1"/>
    <row r="109" ht="15.75" hidden="1" customHeight="1"/>
    <row r="110" ht="15.75" hidden="1" customHeight="1"/>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sheetData>
  <autoFilter ref="$A$1:$Z$1000">
    <filterColumn colId="6">
      <filters>
        <filter val="SI"/>
      </filters>
    </filterColumn>
  </autoFilter>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1947</v>
      </c>
      <c r="E1" s="1" t="s">
        <v>1948</v>
      </c>
      <c r="F1" s="1" t="s">
        <v>1905</v>
      </c>
      <c r="G1" s="1" t="s">
        <v>1906</v>
      </c>
      <c r="H1" s="1" t="s">
        <v>1907</v>
      </c>
    </row>
    <row r="2">
      <c r="A2" s="5" t="s">
        <v>26</v>
      </c>
      <c r="B2" s="5" t="s">
        <v>27</v>
      </c>
      <c r="C2" s="5" t="s">
        <v>28</v>
      </c>
      <c r="D2" s="5" t="s">
        <v>1560</v>
      </c>
    </row>
    <row r="3">
      <c r="A3" s="5" t="s">
        <v>26</v>
      </c>
      <c r="B3" s="5" t="s">
        <v>39</v>
      </c>
      <c r="C3" s="5" t="s">
        <v>40</v>
      </c>
      <c r="D3" s="5" t="s">
        <v>1560</v>
      </c>
    </row>
    <row r="4">
      <c r="A4" s="5" t="s">
        <v>26</v>
      </c>
      <c r="B4" s="5" t="s">
        <v>50</v>
      </c>
      <c r="C4" s="5" t="s">
        <v>51</v>
      </c>
      <c r="D4" s="5" t="s">
        <v>1560</v>
      </c>
    </row>
    <row r="5">
      <c r="A5" s="5" t="s">
        <v>26</v>
      </c>
      <c r="B5" s="5" t="s">
        <v>60</v>
      </c>
      <c r="C5" s="5" t="s">
        <v>61</v>
      </c>
      <c r="D5" s="5" t="s">
        <v>1560</v>
      </c>
    </row>
    <row r="6">
      <c r="A6" s="5" t="s">
        <v>26</v>
      </c>
      <c r="B6" s="5" t="s">
        <v>71</v>
      </c>
      <c r="C6" s="5" t="s">
        <v>72</v>
      </c>
      <c r="D6" s="5" t="s">
        <v>1560</v>
      </c>
    </row>
    <row r="7">
      <c r="A7" s="5" t="s">
        <v>26</v>
      </c>
      <c r="B7" s="5" t="s">
        <v>80</v>
      </c>
      <c r="C7" s="5" t="s">
        <v>81</v>
      </c>
      <c r="D7" s="5" t="s">
        <v>1560</v>
      </c>
    </row>
    <row r="8">
      <c r="A8" s="5" t="s">
        <v>26</v>
      </c>
      <c r="B8" s="5" t="s">
        <v>91</v>
      </c>
      <c r="C8" s="5" t="s">
        <v>92</v>
      </c>
      <c r="D8" s="5" t="s">
        <v>1560</v>
      </c>
    </row>
    <row r="9">
      <c r="A9" s="5" t="s">
        <v>26</v>
      </c>
      <c r="B9" s="5" t="s">
        <v>100</v>
      </c>
      <c r="C9" s="5" t="s">
        <v>101</v>
      </c>
      <c r="D9" s="5" t="s">
        <v>1560</v>
      </c>
    </row>
    <row r="10">
      <c r="A10" s="5" t="s">
        <v>26</v>
      </c>
      <c r="B10" s="5" t="s">
        <v>110</v>
      </c>
      <c r="C10" s="5" t="s">
        <v>111</v>
      </c>
      <c r="D10" s="5" t="s">
        <v>1560</v>
      </c>
    </row>
    <row r="11">
      <c r="A11" s="5" t="s">
        <v>121</v>
      </c>
      <c r="B11" s="5" t="s">
        <v>122</v>
      </c>
      <c r="C11" s="5" t="s">
        <v>123</v>
      </c>
      <c r="D11" s="5" t="s">
        <v>1560</v>
      </c>
    </row>
    <row r="12">
      <c r="A12" s="5" t="s">
        <v>121</v>
      </c>
      <c r="B12" s="5" t="s">
        <v>133</v>
      </c>
      <c r="C12" s="5" t="s">
        <v>134</v>
      </c>
      <c r="D12" s="5" t="s">
        <v>1560</v>
      </c>
    </row>
    <row r="13">
      <c r="A13" s="5" t="s">
        <v>121</v>
      </c>
      <c r="B13" s="5" t="s">
        <v>142</v>
      </c>
      <c r="C13" s="5" t="s">
        <v>143</v>
      </c>
      <c r="D13" s="5" t="s">
        <v>1560</v>
      </c>
    </row>
    <row r="14">
      <c r="A14" s="5" t="s">
        <v>121</v>
      </c>
      <c r="B14" s="5" t="s">
        <v>153</v>
      </c>
      <c r="C14" s="5" t="s">
        <v>154</v>
      </c>
      <c r="D14" s="5" t="s">
        <v>1560</v>
      </c>
    </row>
    <row r="15">
      <c r="A15" s="5" t="s">
        <v>121</v>
      </c>
      <c r="B15" s="5" t="s">
        <v>161</v>
      </c>
      <c r="C15" s="5" t="s">
        <v>162</v>
      </c>
      <c r="D15" s="5" t="s">
        <v>1560</v>
      </c>
    </row>
    <row r="16">
      <c r="A16" s="5" t="s">
        <v>121</v>
      </c>
      <c r="B16" s="5" t="s">
        <v>170</v>
      </c>
      <c r="C16" s="5" t="s">
        <v>171</v>
      </c>
      <c r="D16" s="5" t="s">
        <v>1560</v>
      </c>
    </row>
    <row r="17">
      <c r="A17" s="5" t="s">
        <v>121</v>
      </c>
      <c r="B17" s="5" t="s">
        <v>180</v>
      </c>
      <c r="C17" s="5" t="s">
        <v>181</v>
      </c>
      <c r="D17" s="5" t="s">
        <v>1560</v>
      </c>
    </row>
    <row r="18">
      <c r="A18" s="5" t="s">
        <v>121</v>
      </c>
      <c r="B18" s="5" t="s">
        <v>190</v>
      </c>
      <c r="C18" s="5" t="s">
        <v>191</v>
      </c>
      <c r="D18" s="5" t="s">
        <v>944</v>
      </c>
      <c r="E18" s="5" t="s">
        <v>1560</v>
      </c>
    </row>
    <row r="19">
      <c r="A19" s="5" t="s">
        <v>121</v>
      </c>
      <c r="B19" s="5" t="s">
        <v>201</v>
      </c>
      <c r="C19" s="5" t="s">
        <v>202</v>
      </c>
      <c r="D19" s="5" t="s">
        <v>944</v>
      </c>
      <c r="E19" s="5" t="s">
        <v>1560</v>
      </c>
    </row>
    <row r="20">
      <c r="A20" s="5" t="s">
        <v>121</v>
      </c>
      <c r="B20" s="5" t="s">
        <v>211</v>
      </c>
      <c r="C20" s="5" t="s">
        <v>212</v>
      </c>
      <c r="D20" s="5" t="s">
        <v>1560</v>
      </c>
    </row>
    <row r="21" ht="15.75" customHeight="1">
      <c r="A21" s="5" t="s">
        <v>121</v>
      </c>
      <c r="B21" s="5" t="s">
        <v>219</v>
      </c>
      <c r="C21" s="5" t="s">
        <v>220</v>
      </c>
      <c r="D21" s="5" t="s">
        <v>1560</v>
      </c>
    </row>
    <row r="22" ht="15.75" customHeight="1">
      <c r="A22" s="5" t="s">
        <v>121</v>
      </c>
      <c r="B22" s="5" t="s">
        <v>227</v>
      </c>
      <c r="C22" s="5" t="s">
        <v>228</v>
      </c>
      <c r="D22" s="5" t="s">
        <v>1560</v>
      </c>
    </row>
    <row r="23" ht="15.75" customHeight="1">
      <c r="A23" s="5" t="s">
        <v>121</v>
      </c>
      <c r="B23" s="5" t="s">
        <v>236</v>
      </c>
      <c r="C23" s="5" t="s">
        <v>237</v>
      </c>
      <c r="D23" s="5" t="s">
        <v>1560</v>
      </c>
    </row>
    <row r="24" ht="15.75" customHeight="1">
      <c r="A24" s="5" t="s">
        <v>121</v>
      </c>
      <c r="B24" s="5" t="s">
        <v>244</v>
      </c>
      <c r="C24" s="5" t="s">
        <v>245</v>
      </c>
      <c r="D24" s="5" t="s">
        <v>1560</v>
      </c>
    </row>
    <row r="25" ht="15.75" customHeight="1">
      <c r="A25" s="5" t="s">
        <v>121</v>
      </c>
      <c r="B25" s="5" t="s">
        <v>253</v>
      </c>
      <c r="C25" s="5" t="s">
        <v>254</v>
      </c>
      <c r="D25" s="5" t="s">
        <v>1560</v>
      </c>
    </row>
    <row r="26" ht="15.75" customHeight="1">
      <c r="A26" s="5" t="s">
        <v>121</v>
      </c>
      <c r="B26" s="5" t="s">
        <v>261</v>
      </c>
      <c r="C26" s="5" t="s">
        <v>262</v>
      </c>
      <c r="D26" s="5" t="s">
        <v>1560</v>
      </c>
    </row>
    <row r="27" ht="15.75" customHeight="1">
      <c r="A27" s="5" t="s">
        <v>121</v>
      </c>
      <c r="B27" s="5" t="s">
        <v>270</v>
      </c>
      <c r="C27" s="5" t="s">
        <v>271</v>
      </c>
      <c r="D27" s="5" t="s">
        <v>1560</v>
      </c>
    </row>
    <row r="28" ht="15.75" customHeight="1">
      <c r="A28" s="5" t="s">
        <v>121</v>
      </c>
      <c r="B28" s="5" t="s">
        <v>279</v>
      </c>
      <c r="C28" s="5" t="s">
        <v>280</v>
      </c>
      <c r="D28" s="5" t="s">
        <v>1560</v>
      </c>
    </row>
    <row r="29" ht="15.75" customHeight="1">
      <c r="A29" s="5" t="s">
        <v>121</v>
      </c>
      <c r="B29" s="5" t="s">
        <v>288</v>
      </c>
      <c r="C29" s="5" t="s">
        <v>289</v>
      </c>
      <c r="D29" s="5" t="s">
        <v>1560</v>
      </c>
    </row>
    <row r="30" ht="15.75" customHeight="1">
      <c r="A30" s="5" t="s">
        <v>121</v>
      </c>
      <c r="B30" s="5" t="s">
        <v>296</v>
      </c>
      <c r="C30" s="5" t="s">
        <v>297</v>
      </c>
      <c r="D30" s="5" t="s">
        <v>1560</v>
      </c>
    </row>
    <row r="31" ht="15.75" customHeight="1">
      <c r="A31" s="5" t="s">
        <v>121</v>
      </c>
      <c r="B31" s="5" t="s">
        <v>304</v>
      </c>
      <c r="C31" s="5" t="s">
        <v>305</v>
      </c>
      <c r="D31" s="5" t="s">
        <v>944</v>
      </c>
      <c r="E31" s="5" t="s">
        <v>1560</v>
      </c>
    </row>
    <row r="32" ht="15.75" customHeight="1">
      <c r="A32" s="5" t="s">
        <v>121</v>
      </c>
      <c r="B32" s="5" t="s">
        <v>313</v>
      </c>
      <c r="C32" s="5" t="s">
        <v>314</v>
      </c>
      <c r="D32" s="5" t="s">
        <v>1560</v>
      </c>
    </row>
    <row r="33" ht="15.75" customHeight="1">
      <c r="A33" s="5" t="s">
        <v>121</v>
      </c>
      <c r="B33" s="5" t="s">
        <v>321</v>
      </c>
      <c r="C33" s="5" t="s">
        <v>322</v>
      </c>
      <c r="D33" s="5" t="s">
        <v>1560</v>
      </c>
    </row>
    <row r="34" ht="15.75" customHeight="1">
      <c r="A34" s="5" t="s">
        <v>121</v>
      </c>
      <c r="B34" s="5" t="s">
        <v>330</v>
      </c>
      <c r="C34" s="5" t="s">
        <v>331</v>
      </c>
      <c r="D34" s="5" t="s">
        <v>944</v>
      </c>
      <c r="E34" s="5" t="s">
        <v>944</v>
      </c>
      <c r="F34" s="5" t="s">
        <v>1949</v>
      </c>
      <c r="G34" s="5" t="s">
        <v>1950</v>
      </c>
      <c r="H34" s="5" t="s">
        <v>1560</v>
      </c>
    </row>
    <row r="35" ht="15.75" customHeight="1">
      <c r="A35" s="5" t="s">
        <v>121</v>
      </c>
      <c r="B35" s="5" t="s">
        <v>338</v>
      </c>
      <c r="C35" s="5" t="s">
        <v>339</v>
      </c>
      <c r="D35" s="5" t="s">
        <v>1560</v>
      </c>
    </row>
    <row r="36" ht="15.75" customHeight="1">
      <c r="A36" s="5" t="s">
        <v>121</v>
      </c>
      <c r="B36" s="5" t="s">
        <v>348</v>
      </c>
      <c r="C36" s="5" t="s">
        <v>349</v>
      </c>
      <c r="D36" s="5" t="s">
        <v>944</v>
      </c>
      <c r="E36" s="5" t="s">
        <v>1560</v>
      </c>
    </row>
    <row r="37" ht="15.75" customHeight="1">
      <c r="A37" s="5" t="s">
        <v>121</v>
      </c>
      <c r="B37" s="5" t="s">
        <v>355</v>
      </c>
      <c r="C37" s="5" t="s">
        <v>356</v>
      </c>
      <c r="D37" s="5" t="s">
        <v>944</v>
      </c>
      <c r="E37" s="5" t="s">
        <v>1560</v>
      </c>
    </row>
    <row r="38" ht="15.75" customHeight="1">
      <c r="A38" s="5" t="s">
        <v>121</v>
      </c>
      <c r="B38" s="5" t="s">
        <v>365</v>
      </c>
      <c r="C38" s="5" t="s">
        <v>366</v>
      </c>
      <c r="D38" s="5" t="s">
        <v>944</v>
      </c>
      <c r="E38" s="5" t="s">
        <v>944</v>
      </c>
      <c r="F38" s="5" t="s">
        <v>1951</v>
      </c>
      <c r="G38" s="5" t="s">
        <v>1952</v>
      </c>
      <c r="H38" s="5" t="s">
        <v>1560</v>
      </c>
    </row>
    <row r="39" ht="15.75" customHeight="1">
      <c r="A39" s="5" t="s">
        <v>121</v>
      </c>
      <c r="B39" s="5" t="s">
        <v>375</v>
      </c>
      <c r="C39" s="5" t="s">
        <v>376</v>
      </c>
      <c r="D39" s="5" t="s">
        <v>1560</v>
      </c>
    </row>
    <row r="40" ht="15.75" customHeight="1">
      <c r="A40" s="5" t="s">
        <v>121</v>
      </c>
      <c r="B40" s="5" t="s">
        <v>375</v>
      </c>
      <c r="C40" s="5" t="s">
        <v>376</v>
      </c>
      <c r="D40" s="5" t="s">
        <v>1560</v>
      </c>
    </row>
    <row r="41" ht="15.75" customHeight="1">
      <c r="A41" s="5" t="s">
        <v>121</v>
      </c>
      <c r="B41" s="5" t="s">
        <v>387</v>
      </c>
      <c r="C41" s="5" t="s">
        <v>388</v>
      </c>
      <c r="D41" s="5" t="s">
        <v>1560</v>
      </c>
    </row>
    <row r="42" ht="15.75" customHeight="1">
      <c r="A42" s="5" t="s">
        <v>121</v>
      </c>
      <c r="B42" s="5" t="s">
        <v>395</v>
      </c>
      <c r="C42" s="5" t="s">
        <v>396</v>
      </c>
      <c r="D42" s="5" t="s">
        <v>1560</v>
      </c>
    </row>
    <row r="43" ht="15.75" customHeight="1">
      <c r="A43" s="5" t="s">
        <v>121</v>
      </c>
      <c r="B43" s="5" t="s">
        <v>405</v>
      </c>
      <c r="C43" s="5" t="s">
        <v>406</v>
      </c>
      <c r="D43" s="5" t="s">
        <v>944</v>
      </c>
      <c r="E43" s="5" t="s">
        <v>1560</v>
      </c>
    </row>
    <row r="44" ht="15.75" customHeight="1">
      <c r="A44" s="5" t="s">
        <v>121</v>
      </c>
      <c r="B44" s="5" t="s">
        <v>412</v>
      </c>
      <c r="C44" s="5" t="s">
        <v>413</v>
      </c>
      <c r="D44" s="5" t="s">
        <v>1560</v>
      </c>
    </row>
    <row r="45" ht="15.75" customHeight="1">
      <c r="A45" s="5" t="s">
        <v>419</v>
      </c>
      <c r="B45" s="5" t="s">
        <v>420</v>
      </c>
      <c r="C45" s="5" t="s">
        <v>421</v>
      </c>
      <c r="D45" s="5" t="s">
        <v>1560</v>
      </c>
    </row>
    <row r="46" ht="15.75" customHeight="1">
      <c r="A46" s="5" t="s">
        <v>419</v>
      </c>
      <c r="B46" s="5" t="s">
        <v>430</v>
      </c>
      <c r="C46" s="5" t="s">
        <v>431</v>
      </c>
      <c r="D46" s="5" t="s">
        <v>1560</v>
      </c>
    </row>
    <row r="47" ht="15.75" customHeight="1">
      <c r="A47" s="5" t="s">
        <v>419</v>
      </c>
      <c r="B47" s="5" t="s">
        <v>438</v>
      </c>
      <c r="C47" s="5" t="s">
        <v>439</v>
      </c>
      <c r="D47" s="5" t="s">
        <v>1560</v>
      </c>
    </row>
    <row r="48" ht="15.75" customHeight="1">
      <c r="A48" s="5" t="s">
        <v>419</v>
      </c>
      <c r="B48" s="5" t="s">
        <v>446</v>
      </c>
      <c r="C48" s="5" t="s">
        <v>447</v>
      </c>
      <c r="D48" s="5" t="s">
        <v>1560</v>
      </c>
    </row>
    <row r="49" ht="15.75" customHeight="1">
      <c r="A49" s="5" t="s">
        <v>419</v>
      </c>
      <c r="B49" s="5" t="s">
        <v>453</v>
      </c>
      <c r="C49" s="5" t="s">
        <v>454</v>
      </c>
      <c r="D49" s="5" t="s">
        <v>1560</v>
      </c>
    </row>
    <row r="50" ht="15.75" customHeight="1">
      <c r="A50" s="5" t="s">
        <v>419</v>
      </c>
      <c r="B50" s="5" t="s">
        <v>461</v>
      </c>
      <c r="C50" s="5" t="s">
        <v>462</v>
      </c>
      <c r="D50" s="5" t="s">
        <v>1560</v>
      </c>
    </row>
    <row r="51" ht="15.75" customHeight="1">
      <c r="A51" s="5" t="s">
        <v>419</v>
      </c>
      <c r="B51" s="5" t="s">
        <v>469</v>
      </c>
      <c r="C51" s="5" t="s">
        <v>470</v>
      </c>
      <c r="D51" s="5" t="s">
        <v>944</v>
      </c>
      <c r="E51" s="5" t="s">
        <v>1560</v>
      </c>
    </row>
    <row r="52" ht="15.75" customHeight="1">
      <c r="A52" s="5" t="s">
        <v>419</v>
      </c>
      <c r="B52" s="5" t="s">
        <v>477</v>
      </c>
      <c r="C52" s="5" t="s">
        <v>478</v>
      </c>
      <c r="D52" s="5" t="s">
        <v>1560</v>
      </c>
    </row>
    <row r="53" ht="15.75" customHeight="1">
      <c r="A53" s="5" t="s">
        <v>419</v>
      </c>
      <c r="B53" s="5" t="s">
        <v>477</v>
      </c>
      <c r="C53" s="5" t="s">
        <v>478</v>
      </c>
      <c r="D53" s="5" t="s">
        <v>1560</v>
      </c>
    </row>
    <row r="54" ht="15.75" customHeight="1">
      <c r="A54" s="5" t="s">
        <v>419</v>
      </c>
      <c r="B54" s="5" t="s">
        <v>488</v>
      </c>
      <c r="C54" s="5" t="s">
        <v>489</v>
      </c>
      <c r="D54" s="5" t="s">
        <v>1560</v>
      </c>
    </row>
    <row r="55" ht="15.75" customHeight="1">
      <c r="A55" s="5" t="s">
        <v>419</v>
      </c>
      <c r="B55" s="5" t="s">
        <v>498</v>
      </c>
      <c r="C55" s="5" t="s">
        <v>499</v>
      </c>
      <c r="D55" s="5" t="s">
        <v>1560</v>
      </c>
    </row>
    <row r="56" ht="15.75" customHeight="1">
      <c r="A56" s="5" t="s">
        <v>419</v>
      </c>
      <c r="B56" s="5" t="s">
        <v>507</v>
      </c>
      <c r="C56" s="5" t="s">
        <v>508</v>
      </c>
      <c r="D56" s="5" t="s">
        <v>944</v>
      </c>
      <c r="E56" s="5" t="s">
        <v>944</v>
      </c>
      <c r="F56" s="5" t="s">
        <v>1953</v>
      </c>
      <c r="G56" s="5" t="s">
        <v>1954</v>
      </c>
      <c r="H56" s="5" t="s">
        <v>944</v>
      </c>
    </row>
    <row r="57" ht="15.75" customHeight="1">
      <c r="A57" s="5" t="s">
        <v>419</v>
      </c>
      <c r="B57" s="5" t="s">
        <v>517</v>
      </c>
      <c r="C57" s="5" t="s">
        <v>518</v>
      </c>
      <c r="D57" s="5" t="s">
        <v>1560</v>
      </c>
    </row>
    <row r="58" ht="15.75" customHeight="1">
      <c r="A58" s="5" t="s">
        <v>419</v>
      </c>
      <c r="B58" s="5" t="s">
        <v>527</v>
      </c>
      <c r="C58" s="5" t="s">
        <v>528</v>
      </c>
      <c r="D58" s="5" t="s">
        <v>1560</v>
      </c>
    </row>
    <row r="59" ht="15.75" customHeight="1">
      <c r="A59" s="5" t="s">
        <v>419</v>
      </c>
      <c r="B59" s="5" t="s">
        <v>533</v>
      </c>
      <c r="C59" s="5" t="s">
        <v>534</v>
      </c>
      <c r="D59" s="5" t="s">
        <v>944</v>
      </c>
      <c r="E59" s="5" t="s">
        <v>1560</v>
      </c>
    </row>
    <row r="60" ht="15.75" customHeight="1">
      <c r="A60" s="5" t="s">
        <v>419</v>
      </c>
      <c r="B60" s="5" t="s">
        <v>541</v>
      </c>
      <c r="C60" s="5" t="s">
        <v>542</v>
      </c>
      <c r="D60" s="5" t="s">
        <v>1560</v>
      </c>
    </row>
    <row r="61" ht="15.75" customHeight="1">
      <c r="A61" s="5" t="s">
        <v>419</v>
      </c>
      <c r="B61" s="5" t="s">
        <v>550</v>
      </c>
      <c r="C61" s="5" t="s">
        <v>551</v>
      </c>
      <c r="D61" s="5" t="s">
        <v>944</v>
      </c>
      <c r="E61" s="5" t="s">
        <v>944</v>
      </c>
      <c r="F61" s="5" t="s">
        <v>1955</v>
      </c>
      <c r="G61" s="5" t="s">
        <v>1956</v>
      </c>
      <c r="H61" s="5" t="s">
        <v>944</v>
      </c>
    </row>
    <row r="62" ht="15.75" customHeight="1">
      <c r="A62" s="5" t="s">
        <v>419</v>
      </c>
      <c r="B62" s="5" t="s">
        <v>559</v>
      </c>
      <c r="C62" s="5" t="s">
        <v>560</v>
      </c>
      <c r="D62" s="5" t="s">
        <v>1560</v>
      </c>
    </row>
    <row r="63" ht="15.75" customHeight="1">
      <c r="A63" s="5" t="s">
        <v>567</v>
      </c>
      <c r="B63" s="5" t="s">
        <v>568</v>
      </c>
      <c r="C63" s="5" t="s">
        <v>569</v>
      </c>
      <c r="D63" s="5" t="s">
        <v>1560</v>
      </c>
    </row>
    <row r="64" ht="15.75" customHeight="1">
      <c r="A64" s="5" t="s">
        <v>567</v>
      </c>
      <c r="B64" s="5" t="s">
        <v>577</v>
      </c>
      <c r="C64" s="5" t="s">
        <v>578</v>
      </c>
      <c r="D64" s="5" t="s">
        <v>1560</v>
      </c>
    </row>
    <row r="65" ht="15.75" customHeight="1">
      <c r="A65" s="5" t="s">
        <v>567</v>
      </c>
      <c r="B65" s="5" t="s">
        <v>586</v>
      </c>
      <c r="C65" s="5" t="s">
        <v>587</v>
      </c>
      <c r="D65" s="5" t="s">
        <v>944</v>
      </c>
      <c r="E65" s="5" t="s">
        <v>944</v>
      </c>
      <c r="F65" s="5" t="s">
        <v>1957</v>
      </c>
      <c r="G65" s="5" t="s">
        <v>1958</v>
      </c>
      <c r="H65" s="5" t="s">
        <v>944</v>
      </c>
    </row>
    <row r="66" ht="15.75" customHeight="1">
      <c r="A66" s="5" t="s">
        <v>567</v>
      </c>
      <c r="B66" s="5" t="s">
        <v>597</v>
      </c>
      <c r="C66" s="5" t="s">
        <v>598</v>
      </c>
      <c r="D66" s="5" t="s">
        <v>944</v>
      </c>
      <c r="E66" s="5" t="s">
        <v>1560</v>
      </c>
    </row>
    <row r="67" ht="15.75" customHeight="1">
      <c r="A67" s="5" t="s">
        <v>567</v>
      </c>
      <c r="B67" s="5" t="s">
        <v>606</v>
      </c>
      <c r="C67" s="5" t="s">
        <v>607</v>
      </c>
      <c r="D67" s="5" t="s">
        <v>1560</v>
      </c>
    </row>
    <row r="68" ht="15.75" customHeight="1">
      <c r="A68" s="5" t="s">
        <v>567</v>
      </c>
      <c r="B68" s="5" t="s">
        <v>606</v>
      </c>
      <c r="C68" s="5" t="s">
        <v>607</v>
      </c>
      <c r="D68" s="5" t="s">
        <v>1560</v>
      </c>
    </row>
    <row r="69" ht="15.75" customHeight="1">
      <c r="A69" s="5" t="s">
        <v>567</v>
      </c>
      <c r="B69" s="5" t="s">
        <v>614</v>
      </c>
      <c r="C69" s="5" t="s">
        <v>615</v>
      </c>
      <c r="D69" s="5" t="s">
        <v>1560</v>
      </c>
    </row>
    <row r="70" ht="15.75" customHeight="1">
      <c r="A70" s="5" t="s">
        <v>567</v>
      </c>
      <c r="B70" s="5" t="s">
        <v>624</v>
      </c>
      <c r="C70" s="5" t="s">
        <v>625</v>
      </c>
      <c r="D70" s="5" t="s">
        <v>944</v>
      </c>
      <c r="E70" s="5" t="s">
        <v>944</v>
      </c>
      <c r="F70" s="5" t="s">
        <v>1959</v>
      </c>
      <c r="G70" s="5" t="s">
        <v>1960</v>
      </c>
      <c r="H70" s="5" t="s">
        <v>944</v>
      </c>
    </row>
    <row r="71" ht="15.75" customHeight="1">
      <c r="A71" s="5" t="s">
        <v>567</v>
      </c>
      <c r="B71" s="5" t="s">
        <v>634</v>
      </c>
      <c r="C71" s="5" t="s">
        <v>635</v>
      </c>
      <c r="D71" s="5" t="s">
        <v>1560</v>
      </c>
    </row>
    <row r="72" ht="15.75" customHeight="1">
      <c r="A72" s="5" t="s">
        <v>567</v>
      </c>
      <c r="B72" s="5" t="s">
        <v>643</v>
      </c>
      <c r="C72" s="5" t="s">
        <v>644</v>
      </c>
      <c r="D72" s="5" t="s">
        <v>944</v>
      </c>
      <c r="E72" s="5" t="s">
        <v>944</v>
      </c>
      <c r="F72" s="5" t="s">
        <v>1961</v>
      </c>
      <c r="G72" s="5" t="s">
        <v>1532</v>
      </c>
      <c r="H72" s="5" t="s">
        <v>944</v>
      </c>
    </row>
    <row r="73" ht="15.75" customHeight="1">
      <c r="A73" s="5" t="s">
        <v>567</v>
      </c>
      <c r="B73" s="5" t="s">
        <v>651</v>
      </c>
      <c r="C73" s="5" t="s">
        <v>652</v>
      </c>
      <c r="D73" s="5" t="s">
        <v>1560</v>
      </c>
    </row>
    <row r="74" ht="15.75" customHeight="1">
      <c r="A74" s="5" t="s">
        <v>567</v>
      </c>
      <c r="B74" s="5" t="s">
        <v>659</v>
      </c>
      <c r="C74" s="5" t="s">
        <v>660</v>
      </c>
      <c r="D74" s="5" t="s">
        <v>944</v>
      </c>
      <c r="E74" s="5" t="s">
        <v>1560</v>
      </c>
    </row>
    <row r="75" ht="15.75" customHeight="1">
      <c r="A75" s="5" t="s">
        <v>567</v>
      </c>
      <c r="B75" s="5" t="s">
        <v>667</v>
      </c>
      <c r="C75" s="5" t="s">
        <v>668</v>
      </c>
      <c r="D75" s="5" t="s">
        <v>944</v>
      </c>
      <c r="E75" s="5" t="s">
        <v>1560</v>
      </c>
    </row>
    <row r="76" ht="15.75" customHeight="1">
      <c r="A76" s="5" t="s">
        <v>567</v>
      </c>
      <c r="B76" s="5" t="s">
        <v>674</v>
      </c>
      <c r="C76" s="5" t="s">
        <v>675</v>
      </c>
      <c r="D76" s="5" t="s">
        <v>1560</v>
      </c>
    </row>
    <row r="77" ht="15.75" customHeight="1">
      <c r="A77" s="5" t="s">
        <v>682</v>
      </c>
      <c r="B77" s="5" t="s">
        <v>683</v>
      </c>
      <c r="C77" s="5" t="s">
        <v>684</v>
      </c>
      <c r="D77" s="5" t="s">
        <v>1560</v>
      </c>
    </row>
    <row r="78" ht="15.75" customHeight="1">
      <c r="A78" s="5" t="s">
        <v>682</v>
      </c>
      <c r="B78" s="5" t="s">
        <v>691</v>
      </c>
      <c r="C78" s="5" t="s">
        <v>692</v>
      </c>
      <c r="D78" s="5" t="s">
        <v>1560</v>
      </c>
    </row>
    <row r="79" ht="15.75" customHeight="1">
      <c r="A79" s="5" t="s">
        <v>682</v>
      </c>
      <c r="B79" s="5" t="s">
        <v>699</v>
      </c>
      <c r="C79" s="5" t="s">
        <v>700</v>
      </c>
      <c r="D79" s="5" t="s">
        <v>1560</v>
      </c>
    </row>
    <row r="80" ht="15.75" customHeight="1">
      <c r="A80" s="5" t="s">
        <v>682</v>
      </c>
      <c r="B80" s="5" t="s">
        <v>707</v>
      </c>
      <c r="C80" s="5" t="s">
        <v>708</v>
      </c>
      <c r="D80" s="5" t="s">
        <v>1560</v>
      </c>
    </row>
    <row r="81" ht="15.75" customHeight="1">
      <c r="A81" s="5" t="s">
        <v>682</v>
      </c>
      <c r="B81" s="5" t="s">
        <v>715</v>
      </c>
      <c r="C81" s="5" t="s">
        <v>716</v>
      </c>
      <c r="D81" s="5" t="s">
        <v>944</v>
      </c>
      <c r="E81" s="5" t="s">
        <v>1560</v>
      </c>
    </row>
    <row r="82" ht="15.75" customHeight="1">
      <c r="A82" s="5" t="s">
        <v>682</v>
      </c>
      <c r="B82" s="5" t="s">
        <v>725</v>
      </c>
      <c r="C82" s="5" t="s">
        <v>726</v>
      </c>
      <c r="D82" s="5" t="s">
        <v>1560</v>
      </c>
    </row>
    <row r="83" ht="15.75" customHeight="1">
      <c r="A83" s="5" t="s">
        <v>682</v>
      </c>
      <c r="B83" s="5" t="s">
        <v>732</v>
      </c>
      <c r="C83" s="5" t="s">
        <v>733</v>
      </c>
      <c r="D83" s="5" t="s">
        <v>1560</v>
      </c>
    </row>
    <row r="84" ht="15.75" customHeight="1">
      <c r="A84" s="5" t="s">
        <v>682</v>
      </c>
      <c r="B84" s="5" t="s">
        <v>739</v>
      </c>
      <c r="C84" s="5" t="s">
        <v>740</v>
      </c>
      <c r="D84" s="5" t="s">
        <v>1560</v>
      </c>
    </row>
    <row r="85" ht="15.75" customHeight="1">
      <c r="A85" s="5" t="s">
        <v>682</v>
      </c>
      <c r="B85" s="5" t="s">
        <v>749</v>
      </c>
      <c r="C85" s="5" t="s">
        <v>750</v>
      </c>
      <c r="D85" s="5" t="s">
        <v>1560</v>
      </c>
    </row>
    <row r="86" ht="15.75" customHeight="1">
      <c r="A86" s="5" t="s">
        <v>682</v>
      </c>
      <c r="B86" s="5" t="s">
        <v>757</v>
      </c>
      <c r="C86" s="5" t="s">
        <v>758</v>
      </c>
      <c r="D86" s="5" t="s">
        <v>944</v>
      </c>
      <c r="E86" s="5" t="s">
        <v>1560</v>
      </c>
    </row>
    <row r="87" ht="15.75" customHeight="1">
      <c r="A87" s="5" t="s">
        <v>682</v>
      </c>
      <c r="B87" s="5" t="s">
        <v>765</v>
      </c>
      <c r="C87" s="5" t="s">
        <v>766</v>
      </c>
      <c r="D87" s="5" t="s">
        <v>1560</v>
      </c>
    </row>
    <row r="88" ht="15.75" customHeight="1">
      <c r="A88" s="5" t="s">
        <v>682</v>
      </c>
      <c r="B88" s="5" t="s">
        <v>773</v>
      </c>
      <c r="C88" s="5" t="s">
        <v>774</v>
      </c>
      <c r="D88" s="5" t="s">
        <v>1560</v>
      </c>
    </row>
    <row r="89" ht="15.75" customHeight="1">
      <c r="A89" s="5" t="s">
        <v>682</v>
      </c>
      <c r="B89" s="5" t="s">
        <v>782</v>
      </c>
      <c r="C89" s="5" t="s">
        <v>783</v>
      </c>
      <c r="D89" s="5" t="s">
        <v>1560</v>
      </c>
    </row>
    <row r="90" ht="15.75" customHeight="1">
      <c r="A90" s="5" t="s">
        <v>682</v>
      </c>
      <c r="B90" s="5" t="s">
        <v>791</v>
      </c>
      <c r="C90" s="5" t="s">
        <v>792</v>
      </c>
      <c r="D90" s="5" t="s">
        <v>1560</v>
      </c>
    </row>
    <row r="91" ht="15.75" customHeight="1">
      <c r="A91" s="5" t="s">
        <v>801</v>
      </c>
      <c r="B91" s="5" t="s">
        <v>802</v>
      </c>
      <c r="C91" s="5" t="s">
        <v>803</v>
      </c>
      <c r="D91" s="5" t="s">
        <v>1560</v>
      </c>
    </row>
    <row r="92" ht="15.75" customHeight="1">
      <c r="A92" s="5" t="s">
        <v>801</v>
      </c>
      <c r="B92" s="5" t="s">
        <v>810</v>
      </c>
      <c r="C92" s="5" t="s">
        <v>811</v>
      </c>
      <c r="D92" s="5" t="s">
        <v>1560</v>
      </c>
    </row>
    <row r="93" ht="15.75" customHeight="1">
      <c r="A93" s="5" t="s">
        <v>801</v>
      </c>
      <c r="B93" s="5" t="s">
        <v>818</v>
      </c>
      <c r="C93" s="5" t="s">
        <v>819</v>
      </c>
      <c r="D93" s="5" t="s">
        <v>1560</v>
      </c>
    </row>
    <row r="94" ht="15.75" customHeight="1">
      <c r="A94" s="5" t="s">
        <v>801</v>
      </c>
      <c r="B94" s="5" t="s">
        <v>826</v>
      </c>
      <c r="C94" s="5" t="s">
        <v>827</v>
      </c>
      <c r="D94" s="5" t="s">
        <v>1560</v>
      </c>
    </row>
    <row r="95" ht="15.75" customHeight="1">
      <c r="A95" s="5" t="s">
        <v>801</v>
      </c>
      <c r="B95" s="5" t="s">
        <v>836</v>
      </c>
      <c r="C95" s="5" t="s">
        <v>837</v>
      </c>
      <c r="D95" s="5" t="s">
        <v>1560</v>
      </c>
    </row>
    <row r="96" ht="15.75" customHeight="1">
      <c r="A96" s="5" t="s">
        <v>801</v>
      </c>
      <c r="B96" s="5" t="s">
        <v>844</v>
      </c>
      <c r="C96" s="5" t="s">
        <v>845</v>
      </c>
      <c r="D96" s="5" t="s">
        <v>944</v>
      </c>
      <c r="E96" s="5" t="s">
        <v>1560</v>
      </c>
    </row>
    <row r="97" ht="15.75" customHeight="1">
      <c r="A97" s="5" t="s">
        <v>801</v>
      </c>
      <c r="B97" s="5" t="s">
        <v>853</v>
      </c>
      <c r="C97" s="5" t="s">
        <v>854</v>
      </c>
      <c r="D97" s="5" t="s">
        <v>1560</v>
      </c>
    </row>
    <row r="98" ht="15.75" customHeight="1">
      <c r="A98" s="5" t="s">
        <v>801</v>
      </c>
      <c r="B98" s="5" t="s">
        <v>860</v>
      </c>
      <c r="C98" s="5" t="s">
        <v>861</v>
      </c>
      <c r="D98" s="5" t="s">
        <v>1560</v>
      </c>
    </row>
    <row r="99" ht="15.75" customHeight="1">
      <c r="A99" s="5" t="s">
        <v>801</v>
      </c>
      <c r="B99" s="5" t="s">
        <v>867</v>
      </c>
      <c r="C99" s="5" t="s">
        <v>868</v>
      </c>
      <c r="D99" s="5" t="s">
        <v>1560</v>
      </c>
    </row>
    <row r="100" ht="15.75" customHeight="1">
      <c r="A100" s="5" t="s">
        <v>801</v>
      </c>
      <c r="B100" s="5" t="s">
        <v>875</v>
      </c>
      <c r="C100" s="5" t="s">
        <v>876</v>
      </c>
      <c r="D100" s="5" t="s">
        <v>1560</v>
      </c>
    </row>
    <row r="101" ht="15.75" customHeight="1">
      <c r="A101" s="5" t="s">
        <v>801</v>
      </c>
      <c r="B101" s="5" t="s">
        <v>883</v>
      </c>
      <c r="C101" s="5" t="s">
        <v>884</v>
      </c>
      <c r="D101" s="5" t="s">
        <v>1560</v>
      </c>
    </row>
    <row r="102" ht="15.75" customHeight="1">
      <c r="A102" s="5" t="s">
        <v>801</v>
      </c>
      <c r="B102" s="5" t="s">
        <v>890</v>
      </c>
      <c r="C102" s="5" t="s">
        <v>891</v>
      </c>
      <c r="D102" s="5" t="s">
        <v>944</v>
      </c>
      <c r="E102" s="5" t="s">
        <v>1560</v>
      </c>
    </row>
    <row r="103" ht="15.75" customHeight="1">
      <c r="A103" s="5" t="s">
        <v>801</v>
      </c>
      <c r="B103" s="5" t="s">
        <v>890</v>
      </c>
      <c r="C103" s="5" t="s">
        <v>891</v>
      </c>
      <c r="D103" s="5" t="s">
        <v>944</v>
      </c>
      <c r="E103" s="5" t="s">
        <v>1560</v>
      </c>
    </row>
    <row r="104" ht="15.75" customHeight="1">
      <c r="A104" s="5" t="s">
        <v>801</v>
      </c>
      <c r="B104" s="5" t="s">
        <v>898</v>
      </c>
      <c r="C104" s="5" t="s">
        <v>899</v>
      </c>
      <c r="D104" s="5" t="s">
        <v>944</v>
      </c>
      <c r="E104" s="5" t="s">
        <v>1560</v>
      </c>
    </row>
    <row r="105" ht="15.75" customHeight="1">
      <c r="A105" s="5" t="s">
        <v>801</v>
      </c>
      <c r="B105" s="5" t="s">
        <v>906</v>
      </c>
      <c r="C105" s="5" t="s">
        <v>907</v>
      </c>
      <c r="D105" s="5" t="s">
        <v>1560</v>
      </c>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1962</v>
      </c>
      <c r="E1" s="1" t="s">
        <v>1963</v>
      </c>
      <c r="F1" s="1" t="s">
        <v>1964</v>
      </c>
      <c r="G1" s="1" t="s">
        <v>1906</v>
      </c>
      <c r="H1" s="1" t="s">
        <v>1907</v>
      </c>
      <c r="I1" s="1" t="s">
        <v>1965</v>
      </c>
      <c r="J1" s="1" t="s">
        <v>16</v>
      </c>
    </row>
    <row r="2">
      <c r="A2" s="5" t="s">
        <v>26</v>
      </c>
      <c r="B2" s="5" t="s">
        <v>27</v>
      </c>
      <c r="C2" s="5" t="s">
        <v>28</v>
      </c>
      <c r="D2" s="5" t="s">
        <v>944</v>
      </c>
      <c r="E2" s="5" t="s">
        <v>944</v>
      </c>
      <c r="F2" s="5" t="s">
        <v>1966</v>
      </c>
      <c r="G2" s="5" t="s">
        <v>1967</v>
      </c>
      <c r="H2" s="5" t="s">
        <v>944</v>
      </c>
      <c r="I2" s="5" t="s">
        <v>944</v>
      </c>
    </row>
    <row r="3">
      <c r="A3" s="5" t="s">
        <v>26</v>
      </c>
      <c r="B3" s="5" t="s">
        <v>27</v>
      </c>
      <c r="C3" s="5" t="s">
        <v>28</v>
      </c>
      <c r="D3" s="5" t="s">
        <v>944</v>
      </c>
      <c r="E3" s="5" t="s">
        <v>944</v>
      </c>
      <c r="F3" s="5" t="s">
        <v>1966</v>
      </c>
      <c r="G3" s="5" t="s">
        <v>1968</v>
      </c>
      <c r="H3" s="5" t="s">
        <v>944</v>
      </c>
      <c r="I3" s="5" t="s">
        <v>944</v>
      </c>
    </row>
    <row r="4">
      <c r="A4" s="5" t="s">
        <v>26</v>
      </c>
      <c r="B4" s="5" t="s">
        <v>39</v>
      </c>
      <c r="C4" s="5" t="s">
        <v>40</v>
      </c>
      <c r="D4" s="5" t="s">
        <v>944</v>
      </c>
      <c r="E4" s="5" t="s">
        <v>944</v>
      </c>
      <c r="F4" s="5" t="s">
        <v>1969</v>
      </c>
      <c r="G4" s="5" t="s">
        <v>1970</v>
      </c>
      <c r="H4" s="5" t="s">
        <v>944</v>
      </c>
      <c r="I4" s="5" t="s">
        <v>944</v>
      </c>
    </row>
    <row r="5">
      <c r="A5" s="5" t="s">
        <v>26</v>
      </c>
      <c r="B5" s="5" t="s">
        <v>39</v>
      </c>
      <c r="C5" s="5" t="s">
        <v>40</v>
      </c>
      <c r="D5" s="5" t="s">
        <v>944</v>
      </c>
      <c r="E5" s="5" t="s">
        <v>944</v>
      </c>
      <c r="F5" s="5" t="s">
        <v>1969</v>
      </c>
      <c r="G5" s="5" t="s">
        <v>1971</v>
      </c>
      <c r="H5" s="5" t="s">
        <v>944</v>
      </c>
      <c r="I5" s="5" t="s">
        <v>944</v>
      </c>
    </row>
    <row r="6">
      <c r="A6" s="5" t="s">
        <v>26</v>
      </c>
      <c r="B6" s="5" t="s">
        <v>39</v>
      </c>
      <c r="C6" s="5" t="s">
        <v>40</v>
      </c>
      <c r="D6" s="5" t="s">
        <v>944</v>
      </c>
      <c r="E6" s="5" t="s">
        <v>944</v>
      </c>
      <c r="F6" s="5" t="s">
        <v>1969</v>
      </c>
      <c r="G6" s="5" t="s">
        <v>1972</v>
      </c>
      <c r="H6" s="5" t="s">
        <v>944</v>
      </c>
      <c r="I6" s="5" t="s">
        <v>944</v>
      </c>
    </row>
    <row r="7">
      <c r="A7" s="5" t="s">
        <v>26</v>
      </c>
      <c r="B7" s="5" t="s">
        <v>39</v>
      </c>
      <c r="C7" s="5" t="s">
        <v>40</v>
      </c>
      <c r="D7" s="5" t="s">
        <v>944</v>
      </c>
      <c r="E7" s="5" t="s">
        <v>944</v>
      </c>
      <c r="F7" s="5" t="s">
        <v>1969</v>
      </c>
      <c r="G7" s="5" t="s">
        <v>1973</v>
      </c>
      <c r="H7" s="5" t="s">
        <v>944</v>
      </c>
      <c r="I7" s="5" t="s">
        <v>944</v>
      </c>
    </row>
    <row r="8">
      <c r="A8" s="5" t="s">
        <v>26</v>
      </c>
      <c r="B8" s="5" t="s">
        <v>50</v>
      </c>
      <c r="C8" s="5" t="s">
        <v>51</v>
      </c>
      <c r="D8" s="5" t="s">
        <v>944</v>
      </c>
      <c r="E8" s="5" t="s">
        <v>944</v>
      </c>
      <c r="F8" s="5" t="s">
        <v>1974</v>
      </c>
      <c r="G8" s="5" t="s">
        <v>1971</v>
      </c>
      <c r="H8" s="5" t="s">
        <v>944</v>
      </c>
      <c r="I8" s="5" t="s">
        <v>944</v>
      </c>
    </row>
    <row r="9">
      <c r="A9" s="5" t="s">
        <v>26</v>
      </c>
      <c r="B9" s="5" t="s">
        <v>50</v>
      </c>
      <c r="C9" s="5" t="s">
        <v>51</v>
      </c>
      <c r="D9" s="5" t="s">
        <v>944</v>
      </c>
      <c r="E9" s="5" t="s">
        <v>944</v>
      </c>
      <c r="F9" s="5" t="s">
        <v>1975</v>
      </c>
      <c r="G9" s="5" t="s">
        <v>1973</v>
      </c>
      <c r="H9" s="5" t="s">
        <v>944</v>
      </c>
      <c r="I9" s="5" t="s">
        <v>944</v>
      </c>
    </row>
    <row r="10">
      <c r="A10" s="5" t="s">
        <v>26</v>
      </c>
      <c r="B10" s="5" t="s">
        <v>50</v>
      </c>
      <c r="C10" s="5" t="s">
        <v>51</v>
      </c>
      <c r="D10" s="5" t="s">
        <v>944</v>
      </c>
      <c r="E10" s="5" t="s">
        <v>944</v>
      </c>
      <c r="F10" s="5" t="s">
        <v>1976</v>
      </c>
      <c r="G10" s="5" t="s">
        <v>1977</v>
      </c>
      <c r="H10" s="5" t="s">
        <v>944</v>
      </c>
      <c r="I10" s="5" t="s">
        <v>944</v>
      </c>
    </row>
    <row r="11">
      <c r="A11" s="5" t="s">
        <v>26</v>
      </c>
      <c r="B11" s="5" t="s">
        <v>50</v>
      </c>
      <c r="C11" s="5" t="s">
        <v>51</v>
      </c>
      <c r="D11" s="5" t="s">
        <v>944</v>
      </c>
      <c r="E11" s="5" t="s">
        <v>944</v>
      </c>
      <c r="F11" s="5" t="s">
        <v>1976</v>
      </c>
      <c r="G11" s="5" t="s">
        <v>1978</v>
      </c>
      <c r="H11" s="5" t="s">
        <v>944</v>
      </c>
      <c r="I11" s="5" t="s">
        <v>944</v>
      </c>
    </row>
    <row r="12">
      <c r="A12" s="5" t="s">
        <v>26</v>
      </c>
      <c r="B12" s="5" t="s">
        <v>60</v>
      </c>
      <c r="C12" s="5" t="s">
        <v>61</v>
      </c>
      <c r="D12" s="5" t="s">
        <v>944</v>
      </c>
      <c r="E12" s="5" t="s">
        <v>944</v>
      </c>
      <c r="F12" s="5" t="s">
        <v>1979</v>
      </c>
      <c r="G12" s="5" t="s">
        <v>1980</v>
      </c>
      <c r="H12" s="5" t="s">
        <v>944</v>
      </c>
      <c r="I12" s="5" t="s">
        <v>944</v>
      </c>
    </row>
    <row r="13">
      <c r="A13" s="5" t="s">
        <v>26</v>
      </c>
      <c r="B13" s="5" t="s">
        <v>60</v>
      </c>
      <c r="C13" s="5" t="s">
        <v>61</v>
      </c>
      <c r="D13" s="5" t="s">
        <v>944</v>
      </c>
      <c r="E13" s="5" t="s">
        <v>944</v>
      </c>
      <c r="F13" s="5" t="s">
        <v>1979</v>
      </c>
      <c r="G13" s="5" t="s">
        <v>1981</v>
      </c>
      <c r="H13" s="5" t="s">
        <v>944</v>
      </c>
      <c r="I13" s="5" t="s">
        <v>944</v>
      </c>
    </row>
    <row r="14">
      <c r="A14" s="5" t="s">
        <v>26</v>
      </c>
      <c r="B14" s="5" t="s">
        <v>71</v>
      </c>
      <c r="C14" s="5" t="s">
        <v>72</v>
      </c>
      <c r="D14" s="5" t="s">
        <v>944</v>
      </c>
      <c r="E14" s="5" t="s">
        <v>944</v>
      </c>
      <c r="F14" s="5" t="s">
        <v>1741</v>
      </c>
      <c r="G14" s="5" t="s">
        <v>1982</v>
      </c>
      <c r="H14" s="5" t="s">
        <v>944</v>
      </c>
      <c r="I14" s="5" t="s">
        <v>944</v>
      </c>
    </row>
    <row r="15">
      <c r="A15" s="5" t="s">
        <v>26</v>
      </c>
      <c r="B15" s="5" t="s">
        <v>71</v>
      </c>
      <c r="C15" s="5" t="s">
        <v>72</v>
      </c>
      <c r="D15" s="5" t="s">
        <v>944</v>
      </c>
      <c r="E15" s="5" t="s">
        <v>944</v>
      </c>
      <c r="F15" s="5" t="s">
        <v>1741</v>
      </c>
      <c r="G15" s="5" t="s">
        <v>1983</v>
      </c>
      <c r="H15" s="5" t="s">
        <v>944</v>
      </c>
      <c r="I15" s="5" t="s">
        <v>944</v>
      </c>
    </row>
    <row r="16">
      <c r="A16" s="5" t="s">
        <v>26</v>
      </c>
      <c r="B16" s="5" t="s">
        <v>80</v>
      </c>
      <c r="C16" s="5" t="s">
        <v>81</v>
      </c>
      <c r="D16" s="5" t="s">
        <v>944</v>
      </c>
      <c r="E16" s="5" t="s">
        <v>944</v>
      </c>
      <c r="F16" s="5" t="s">
        <v>1984</v>
      </c>
      <c r="G16" s="5" t="s">
        <v>1985</v>
      </c>
      <c r="H16" s="5" t="s">
        <v>944</v>
      </c>
      <c r="I16" s="5" t="s">
        <v>944</v>
      </c>
    </row>
    <row r="17">
      <c r="A17" s="5" t="s">
        <v>26</v>
      </c>
      <c r="B17" s="5" t="s">
        <v>91</v>
      </c>
      <c r="C17" s="5" t="s">
        <v>92</v>
      </c>
      <c r="D17" s="5" t="s">
        <v>944</v>
      </c>
      <c r="E17" s="5" t="s">
        <v>944</v>
      </c>
      <c r="F17" s="5" t="s">
        <v>1986</v>
      </c>
      <c r="G17" s="5" t="s">
        <v>1980</v>
      </c>
      <c r="H17" s="5" t="s">
        <v>944</v>
      </c>
      <c r="I17" s="5" t="s">
        <v>944</v>
      </c>
    </row>
    <row r="18">
      <c r="A18" s="5" t="s">
        <v>26</v>
      </c>
      <c r="B18" s="5" t="s">
        <v>91</v>
      </c>
      <c r="C18" s="5" t="s">
        <v>92</v>
      </c>
      <c r="D18" s="5" t="s">
        <v>944</v>
      </c>
      <c r="E18" s="5" t="s">
        <v>944</v>
      </c>
      <c r="F18" s="5" t="s">
        <v>1986</v>
      </c>
      <c r="G18" s="5" t="s">
        <v>1981</v>
      </c>
      <c r="H18" s="5" t="s">
        <v>944</v>
      </c>
      <c r="I18" s="5" t="s">
        <v>944</v>
      </c>
    </row>
    <row r="19">
      <c r="A19" s="5" t="s">
        <v>26</v>
      </c>
      <c r="B19" s="5" t="s">
        <v>100</v>
      </c>
      <c r="C19" s="5" t="s">
        <v>101</v>
      </c>
      <c r="D19" s="5" t="s">
        <v>944</v>
      </c>
      <c r="E19" s="5" t="s">
        <v>944</v>
      </c>
      <c r="F19" s="5" t="s">
        <v>1987</v>
      </c>
      <c r="G19" s="5" t="s">
        <v>1988</v>
      </c>
      <c r="H19" s="5" t="s">
        <v>944</v>
      </c>
      <c r="I19" s="5" t="s">
        <v>944</v>
      </c>
    </row>
    <row r="20">
      <c r="A20" s="5" t="s">
        <v>26</v>
      </c>
      <c r="B20" s="5" t="s">
        <v>110</v>
      </c>
      <c r="C20" s="5" t="s">
        <v>111</v>
      </c>
      <c r="D20" s="5" t="s">
        <v>944</v>
      </c>
      <c r="E20" s="5" t="s">
        <v>944</v>
      </c>
      <c r="F20" s="5" t="s">
        <v>1989</v>
      </c>
      <c r="G20" s="5" t="s">
        <v>1990</v>
      </c>
      <c r="H20" s="5" t="s">
        <v>944</v>
      </c>
      <c r="I20" s="5" t="s">
        <v>944</v>
      </c>
      <c r="J20" s="5" t="s">
        <v>1991</v>
      </c>
    </row>
    <row r="21" ht="15.75" customHeight="1">
      <c r="A21" s="5" t="s">
        <v>121</v>
      </c>
      <c r="B21" s="5" t="s">
        <v>122</v>
      </c>
      <c r="C21" s="5" t="s">
        <v>123</v>
      </c>
      <c r="D21" s="5" t="s">
        <v>944</v>
      </c>
      <c r="E21" s="5" t="s">
        <v>944</v>
      </c>
      <c r="F21" s="5" t="s">
        <v>1165</v>
      </c>
      <c r="G21" s="5" t="s">
        <v>1992</v>
      </c>
      <c r="H21" s="5" t="s">
        <v>944</v>
      </c>
      <c r="I21" s="5" t="s">
        <v>944</v>
      </c>
    </row>
    <row r="22" ht="15.75" customHeight="1">
      <c r="A22" s="5" t="s">
        <v>121</v>
      </c>
      <c r="B22" s="5" t="s">
        <v>122</v>
      </c>
      <c r="C22" s="5" t="s">
        <v>123</v>
      </c>
      <c r="D22" s="5" t="s">
        <v>944</v>
      </c>
      <c r="E22" s="5" t="s">
        <v>944</v>
      </c>
      <c r="F22" s="5" t="s">
        <v>1165</v>
      </c>
      <c r="G22" s="5" t="s">
        <v>1852</v>
      </c>
      <c r="H22" s="5" t="s">
        <v>944</v>
      </c>
      <c r="I22" s="5" t="s">
        <v>944</v>
      </c>
    </row>
    <row r="23" ht="15.75" customHeight="1">
      <c r="A23" s="5" t="s">
        <v>121</v>
      </c>
      <c r="B23" s="5" t="s">
        <v>133</v>
      </c>
      <c r="C23" s="5" t="s">
        <v>134</v>
      </c>
      <c r="D23" s="5" t="s">
        <v>944</v>
      </c>
      <c r="E23" s="5" t="s">
        <v>944</v>
      </c>
      <c r="F23" s="5" t="s">
        <v>1417</v>
      </c>
      <c r="G23" s="5" t="s">
        <v>1993</v>
      </c>
      <c r="H23" s="5" t="s">
        <v>1560</v>
      </c>
      <c r="J23" s="5" t="s">
        <v>1994</v>
      </c>
    </row>
    <row r="24" ht="15.75" customHeight="1">
      <c r="A24" s="5" t="s">
        <v>121</v>
      </c>
      <c r="B24" s="5" t="s">
        <v>142</v>
      </c>
      <c r="C24" s="5" t="s">
        <v>143</v>
      </c>
      <c r="D24" s="5" t="s">
        <v>944</v>
      </c>
      <c r="E24" s="5" t="s">
        <v>944</v>
      </c>
      <c r="F24" s="5" t="s">
        <v>1995</v>
      </c>
      <c r="G24" s="5" t="s">
        <v>1548</v>
      </c>
      <c r="H24" s="5" t="s">
        <v>944</v>
      </c>
      <c r="I24" s="5" t="s">
        <v>944</v>
      </c>
    </row>
    <row r="25" ht="15.75" customHeight="1">
      <c r="A25" s="5" t="s">
        <v>121</v>
      </c>
      <c r="B25" s="5" t="s">
        <v>142</v>
      </c>
      <c r="C25" s="5" t="s">
        <v>143</v>
      </c>
      <c r="D25" s="5" t="s">
        <v>944</v>
      </c>
      <c r="E25" s="5" t="s">
        <v>944</v>
      </c>
      <c r="F25" s="5" t="s">
        <v>1995</v>
      </c>
      <c r="G25" s="5" t="s">
        <v>1971</v>
      </c>
      <c r="H25" s="5" t="s">
        <v>944</v>
      </c>
      <c r="I25" s="5" t="s">
        <v>944</v>
      </c>
    </row>
    <row r="26" ht="15.75" customHeight="1">
      <c r="A26" s="5" t="s">
        <v>121</v>
      </c>
      <c r="B26" s="5" t="s">
        <v>153</v>
      </c>
      <c r="C26" s="5" t="s">
        <v>154</v>
      </c>
      <c r="D26" s="5" t="s">
        <v>944</v>
      </c>
      <c r="E26" s="5" t="s">
        <v>944</v>
      </c>
      <c r="F26" s="5" t="s">
        <v>1996</v>
      </c>
      <c r="G26" s="5" t="s">
        <v>1997</v>
      </c>
      <c r="H26" s="5" t="s">
        <v>944</v>
      </c>
      <c r="I26" s="5" t="s">
        <v>944</v>
      </c>
    </row>
    <row r="27" ht="15.75" customHeight="1">
      <c r="A27" s="5" t="s">
        <v>121</v>
      </c>
      <c r="B27" s="5" t="s">
        <v>153</v>
      </c>
      <c r="C27" s="5" t="s">
        <v>154</v>
      </c>
      <c r="D27" s="5" t="s">
        <v>944</v>
      </c>
      <c r="E27" s="5" t="s">
        <v>944</v>
      </c>
      <c r="F27" s="5" t="s">
        <v>1996</v>
      </c>
      <c r="G27" s="5" t="s">
        <v>1998</v>
      </c>
      <c r="H27" s="5" t="s">
        <v>944</v>
      </c>
      <c r="I27" s="5" t="s">
        <v>944</v>
      </c>
    </row>
    <row r="28" ht="15.75" customHeight="1">
      <c r="A28" s="5" t="s">
        <v>121</v>
      </c>
      <c r="B28" s="5" t="s">
        <v>161</v>
      </c>
      <c r="C28" s="5" t="s">
        <v>162</v>
      </c>
      <c r="D28" s="5" t="s">
        <v>944</v>
      </c>
      <c r="E28" s="5" t="s">
        <v>944</v>
      </c>
      <c r="F28" s="5" t="s">
        <v>1975</v>
      </c>
      <c r="G28" s="5" t="s">
        <v>1548</v>
      </c>
      <c r="H28" s="5" t="s">
        <v>944</v>
      </c>
      <c r="I28" s="5" t="s">
        <v>944</v>
      </c>
    </row>
    <row r="29" ht="15.75" customHeight="1">
      <c r="A29" s="5" t="s">
        <v>121</v>
      </c>
      <c r="B29" s="5" t="s">
        <v>161</v>
      </c>
      <c r="C29" s="5" t="s">
        <v>162</v>
      </c>
      <c r="D29" s="5" t="s">
        <v>944</v>
      </c>
      <c r="E29" s="5" t="s">
        <v>944</v>
      </c>
      <c r="F29" s="5" t="s">
        <v>1975</v>
      </c>
      <c r="G29" s="5" t="s">
        <v>1992</v>
      </c>
      <c r="H29" s="5" t="s">
        <v>944</v>
      </c>
      <c r="I29" s="5" t="s">
        <v>944</v>
      </c>
    </row>
    <row r="30" ht="15.75" customHeight="1">
      <c r="A30" s="5" t="s">
        <v>121</v>
      </c>
      <c r="B30" s="5" t="s">
        <v>170</v>
      </c>
      <c r="C30" s="5" t="s">
        <v>171</v>
      </c>
      <c r="D30" s="5" t="s">
        <v>944</v>
      </c>
      <c r="E30" s="5" t="s">
        <v>944</v>
      </c>
      <c r="F30" s="5" t="s">
        <v>1165</v>
      </c>
      <c r="G30" s="5" t="s">
        <v>1999</v>
      </c>
      <c r="H30" s="5" t="s">
        <v>944</v>
      </c>
      <c r="I30" s="5" t="s">
        <v>944</v>
      </c>
    </row>
    <row r="31" ht="15.75" customHeight="1">
      <c r="A31" s="5" t="s">
        <v>121</v>
      </c>
      <c r="B31" s="5" t="s">
        <v>170</v>
      </c>
      <c r="C31" s="5" t="s">
        <v>171</v>
      </c>
      <c r="D31" s="5" t="s">
        <v>944</v>
      </c>
      <c r="E31" s="5" t="s">
        <v>944</v>
      </c>
      <c r="F31" s="5" t="s">
        <v>1165</v>
      </c>
      <c r="G31" s="5" t="s">
        <v>1852</v>
      </c>
      <c r="H31" s="5" t="s">
        <v>944</v>
      </c>
      <c r="I31" s="5" t="s">
        <v>944</v>
      </c>
    </row>
    <row r="32" ht="15.75" customHeight="1">
      <c r="A32" s="5" t="s">
        <v>121</v>
      </c>
      <c r="B32" s="5" t="s">
        <v>180</v>
      </c>
      <c r="C32" s="5" t="s">
        <v>181</v>
      </c>
      <c r="D32" s="5" t="s">
        <v>944</v>
      </c>
      <c r="E32" s="5" t="s">
        <v>944</v>
      </c>
      <c r="F32" s="5" t="s">
        <v>2000</v>
      </c>
      <c r="G32" s="5" t="s">
        <v>2001</v>
      </c>
      <c r="H32" s="5" t="s">
        <v>1560</v>
      </c>
    </row>
    <row r="33" ht="15.75" customHeight="1">
      <c r="A33" s="5" t="s">
        <v>121</v>
      </c>
      <c r="B33" s="5" t="s">
        <v>180</v>
      </c>
      <c r="C33" s="5" t="s">
        <v>181</v>
      </c>
      <c r="D33" s="5" t="s">
        <v>944</v>
      </c>
      <c r="E33" s="5" t="s">
        <v>944</v>
      </c>
      <c r="F33" s="5" t="s">
        <v>2002</v>
      </c>
      <c r="G33" s="5" t="s">
        <v>2001</v>
      </c>
      <c r="H33" s="5" t="s">
        <v>944</v>
      </c>
      <c r="I33" s="5" t="s">
        <v>1560</v>
      </c>
    </row>
    <row r="34" ht="15.75" customHeight="1">
      <c r="A34" s="5" t="s">
        <v>121</v>
      </c>
      <c r="B34" s="5" t="s">
        <v>190</v>
      </c>
      <c r="C34" s="5" t="s">
        <v>191</v>
      </c>
      <c r="D34" s="5" t="s">
        <v>944</v>
      </c>
      <c r="E34" s="5" t="s">
        <v>944</v>
      </c>
      <c r="F34" s="5" t="s">
        <v>2003</v>
      </c>
      <c r="G34" s="5" t="s">
        <v>1852</v>
      </c>
      <c r="H34" s="5" t="s">
        <v>944</v>
      </c>
      <c r="I34" s="5" t="s">
        <v>944</v>
      </c>
    </row>
    <row r="35" ht="15.75" customHeight="1">
      <c r="A35" s="5" t="s">
        <v>121</v>
      </c>
      <c r="B35" s="5" t="s">
        <v>190</v>
      </c>
      <c r="C35" s="5" t="s">
        <v>191</v>
      </c>
      <c r="D35" s="5" t="s">
        <v>944</v>
      </c>
      <c r="E35" s="5" t="s">
        <v>944</v>
      </c>
      <c r="F35" s="5" t="s">
        <v>2003</v>
      </c>
      <c r="G35" s="5" t="s">
        <v>2004</v>
      </c>
      <c r="H35" s="5" t="s">
        <v>944</v>
      </c>
      <c r="I35" s="5" t="s">
        <v>944</v>
      </c>
    </row>
    <row r="36" ht="15.75" customHeight="1">
      <c r="A36" s="5" t="s">
        <v>121</v>
      </c>
      <c r="B36" s="5" t="s">
        <v>201</v>
      </c>
      <c r="C36" s="5" t="s">
        <v>202</v>
      </c>
      <c r="D36" s="5" t="s">
        <v>944</v>
      </c>
      <c r="E36" s="5" t="s">
        <v>944</v>
      </c>
      <c r="F36" s="5" t="s">
        <v>2005</v>
      </c>
      <c r="G36" s="5" t="s">
        <v>1992</v>
      </c>
      <c r="H36" s="5" t="s">
        <v>944</v>
      </c>
      <c r="I36" s="5" t="s">
        <v>944</v>
      </c>
    </row>
    <row r="37" ht="15.75" customHeight="1">
      <c r="A37" s="5" t="s">
        <v>121</v>
      </c>
      <c r="B37" s="5" t="s">
        <v>201</v>
      </c>
      <c r="C37" s="5" t="s">
        <v>202</v>
      </c>
      <c r="D37" s="5" t="s">
        <v>944</v>
      </c>
      <c r="E37" s="5" t="s">
        <v>944</v>
      </c>
      <c r="F37" s="5" t="s">
        <v>2005</v>
      </c>
      <c r="G37" s="5" t="s">
        <v>1852</v>
      </c>
      <c r="H37" s="5" t="s">
        <v>944</v>
      </c>
      <c r="I37" s="5" t="s">
        <v>944</v>
      </c>
    </row>
    <row r="38" ht="15.75" customHeight="1">
      <c r="A38" s="5" t="s">
        <v>121</v>
      </c>
      <c r="B38" s="5" t="s">
        <v>211</v>
      </c>
      <c r="C38" s="5" t="s">
        <v>212</v>
      </c>
      <c r="D38" s="5" t="s">
        <v>944</v>
      </c>
      <c r="E38" s="5" t="s">
        <v>944</v>
      </c>
      <c r="F38" s="5" t="s">
        <v>1165</v>
      </c>
      <c r="G38" s="5" t="s">
        <v>1852</v>
      </c>
      <c r="H38" s="5" t="s">
        <v>944</v>
      </c>
      <c r="I38" s="5" t="s">
        <v>944</v>
      </c>
    </row>
    <row r="39" ht="15.75" customHeight="1">
      <c r="A39" s="5" t="s">
        <v>121</v>
      </c>
      <c r="B39" s="5" t="s">
        <v>211</v>
      </c>
      <c r="C39" s="5" t="s">
        <v>212</v>
      </c>
      <c r="D39" s="5" t="s">
        <v>944</v>
      </c>
      <c r="E39" s="5" t="s">
        <v>944</v>
      </c>
      <c r="F39" s="5" t="s">
        <v>1165</v>
      </c>
      <c r="G39" s="5" t="s">
        <v>1971</v>
      </c>
      <c r="H39" s="5" t="s">
        <v>944</v>
      </c>
      <c r="I39" s="5" t="s">
        <v>944</v>
      </c>
    </row>
    <row r="40" ht="15.75" customHeight="1">
      <c r="A40" s="5" t="s">
        <v>121</v>
      </c>
      <c r="B40" s="5" t="s">
        <v>219</v>
      </c>
      <c r="C40" s="5" t="s">
        <v>220</v>
      </c>
      <c r="D40" s="5" t="s">
        <v>944</v>
      </c>
      <c r="E40" s="5" t="s">
        <v>944</v>
      </c>
      <c r="F40" s="5" t="s">
        <v>2006</v>
      </c>
      <c r="G40" s="5" t="s">
        <v>2007</v>
      </c>
      <c r="H40" s="5" t="s">
        <v>1560</v>
      </c>
    </row>
    <row r="41" ht="15.75" customHeight="1">
      <c r="A41" s="5" t="s">
        <v>121</v>
      </c>
      <c r="B41" s="5" t="s">
        <v>227</v>
      </c>
      <c r="C41" s="5" t="s">
        <v>228</v>
      </c>
      <c r="D41" s="5" t="s">
        <v>944</v>
      </c>
      <c r="E41" s="5" t="s">
        <v>944</v>
      </c>
      <c r="F41" s="5" t="s">
        <v>1974</v>
      </c>
      <c r="G41" s="5" t="s">
        <v>2008</v>
      </c>
      <c r="H41" s="5" t="s">
        <v>944</v>
      </c>
      <c r="I41" s="5" t="s">
        <v>944</v>
      </c>
    </row>
    <row r="42" ht="15.75" customHeight="1">
      <c r="A42" s="5" t="s">
        <v>121</v>
      </c>
      <c r="B42" s="5" t="s">
        <v>227</v>
      </c>
      <c r="C42" s="5" t="s">
        <v>228</v>
      </c>
      <c r="D42" s="5" t="s">
        <v>944</v>
      </c>
      <c r="E42" s="5" t="s">
        <v>944</v>
      </c>
      <c r="F42" s="5" t="s">
        <v>1974</v>
      </c>
      <c r="G42" s="5" t="s">
        <v>1971</v>
      </c>
      <c r="H42" s="5" t="s">
        <v>944</v>
      </c>
      <c r="I42" s="5" t="s">
        <v>944</v>
      </c>
    </row>
    <row r="43" ht="15.75" customHeight="1">
      <c r="A43" s="5" t="s">
        <v>121</v>
      </c>
      <c r="B43" s="5" t="s">
        <v>236</v>
      </c>
      <c r="C43" s="5" t="s">
        <v>237</v>
      </c>
      <c r="D43" s="5" t="s">
        <v>944</v>
      </c>
      <c r="E43" s="5" t="s">
        <v>944</v>
      </c>
      <c r="F43" s="5" t="s">
        <v>2009</v>
      </c>
      <c r="G43" s="5" t="s">
        <v>2010</v>
      </c>
      <c r="H43" s="5" t="s">
        <v>944</v>
      </c>
      <c r="I43" s="5" t="s">
        <v>944</v>
      </c>
    </row>
    <row r="44" ht="15.75" customHeight="1">
      <c r="A44" s="5" t="s">
        <v>121</v>
      </c>
      <c r="B44" s="5" t="s">
        <v>244</v>
      </c>
      <c r="C44" s="5" t="s">
        <v>245</v>
      </c>
      <c r="D44" s="5" t="s">
        <v>944</v>
      </c>
      <c r="E44" s="5" t="s">
        <v>944</v>
      </c>
      <c r="F44" s="5" t="s">
        <v>2011</v>
      </c>
      <c r="G44" s="5" t="s">
        <v>1971</v>
      </c>
      <c r="H44" s="5" t="s">
        <v>944</v>
      </c>
      <c r="I44" s="5" t="s">
        <v>944</v>
      </c>
    </row>
    <row r="45" ht="15.75" customHeight="1">
      <c r="A45" s="5" t="s">
        <v>121</v>
      </c>
      <c r="B45" s="5" t="s">
        <v>244</v>
      </c>
      <c r="C45" s="5" t="s">
        <v>245</v>
      </c>
      <c r="D45" s="5" t="s">
        <v>944</v>
      </c>
      <c r="E45" s="5" t="s">
        <v>944</v>
      </c>
      <c r="F45" s="5" t="s">
        <v>2011</v>
      </c>
      <c r="G45" s="5" t="s">
        <v>1852</v>
      </c>
      <c r="H45" s="5" t="s">
        <v>944</v>
      </c>
      <c r="I45" s="5" t="s">
        <v>944</v>
      </c>
    </row>
    <row r="46" ht="15.75" customHeight="1">
      <c r="A46" s="5" t="s">
        <v>121</v>
      </c>
      <c r="B46" s="5" t="s">
        <v>244</v>
      </c>
      <c r="C46" s="5" t="s">
        <v>245</v>
      </c>
      <c r="D46" s="5" t="s">
        <v>944</v>
      </c>
      <c r="E46" s="5" t="s">
        <v>944</v>
      </c>
      <c r="F46" s="5" t="s">
        <v>2011</v>
      </c>
      <c r="G46" s="5" t="s">
        <v>2012</v>
      </c>
      <c r="H46" s="5" t="s">
        <v>944</v>
      </c>
      <c r="I46" s="5" t="s">
        <v>944</v>
      </c>
    </row>
    <row r="47" ht="15.75" customHeight="1">
      <c r="A47" s="5" t="s">
        <v>121</v>
      </c>
      <c r="B47" s="5" t="s">
        <v>253</v>
      </c>
      <c r="C47" s="5" t="s">
        <v>254</v>
      </c>
      <c r="D47" s="5" t="s">
        <v>944</v>
      </c>
      <c r="E47" s="5" t="s">
        <v>944</v>
      </c>
      <c r="F47" s="5" t="s">
        <v>2013</v>
      </c>
      <c r="G47" s="5" t="s">
        <v>1971</v>
      </c>
      <c r="H47" s="5" t="s">
        <v>944</v>
      </c>
      <c r="I47" s="5" t="s">
        <v>944</v>
      </c>
    </row>
    <row r="48" ht="15.75" customHeight="1">
      <c r="A48" s="5" t="s">
        <v>121</v>
      </c>
      <c r="B48" s="5" t="s">
        <v>261</v>
      </c>
      <c r="C48" s="5" t="s">
        <v>262</v>
      </c>
      <c r="D48" s="5" t="s">
        <v>944</v>
      </c>
      <c r="E48" s="5" t="s">
        <v>944</v>
      </c>
      <c r="F48" s="5" t="s">
        <v>2003</v>
      </c>
      <c r="G48" s="5" t="s">
        <v>2014</v>
      </c>
      <c r="H48" s="5" t="s">
        <v>944</v>
      </c>
      <c r="I48" s="5" t="s">
        <v>944</v>
      </c>
    </row>
    <row r="49" ht="15.75" customHeight="1">
      <c r="A49" s="5" t="s">
        <v>121</v>
      </c>
      <c r="B49" s="5" t="s">
        <v>261</v>
      </c>
      <c r="C49" s="5" t="s">
        <v>262</v>
      </c>
      <c r="D49" s="5" t="s">
        <v>944</v>
      </c>
      <c r="E49" s="5" t="s">
        <v>944</v>
      </c>
      <c r="F49" s="5" t="s">
        <v>2003</v>
      </c>
      <c r="G49" s="5" t="s">
        <v>2015</v>
      </c>
      <c r="H49" s="5" t="s">
        <v>944</v>
      </c>
      <c r="I49" s="5" t="s">
        <v>944</v>
      </c>
    </row>
    <row r="50" ht="15.75" customHeight="1">
      <c r="A50" s="5" t="s">
        <v>121</v>
      </c>
      <c r="B50" s="5" t="s">
        <v>270</v>
      </c>
      <c r="C50" s="5" t="s">
        <v>271</v>
      </c>
      <c r="D50" s="5" t="s">
        <v>944</v>
      </c>
      <c r="E50" s="5" t="s">
        <v>944</v>
      </c>
      <c r="F50" s="5" t="s">
        <v>2016</v>
      </c>
      <c r="G50" s="5" t="s">
        <v>2017</v>
      </c>
      <c r="H50" s="5" t="s">
        <v>944</v>
      </c>
      <c r="I50" s="5" t="s">
        <v>944</v>
      </c>
    </row>
    <row r="51" ht="15.75" customHeight="1">
      <c r="A51" s="5" t="s">
        <v>121</v>
      </c>
      <c r="B51" s="5" t="s">
        <v>270</v>
      </c>
      <c r="C51" s="5" t="s">
        <v>271</v>
      </c>
      <c r="D51" s="5" t="s">
        <v>944</v>
      </c>
      <c r="E51" s="5" t="s">
        <v>944</v>
      </c>
      <c r="F51" s="5" t="s">
        <v>2018</v>
      </c>
      <c r="G51" s="5" t="s">
        <v>2019</v>
      </c>
      <c r="H51" s="5" t="s">
        <v>944</v>
      </c>
      <c r="I51" s="5" t="s">
        <v>944</v>
      </c>
    </row>
    <row r="52" ht="15.75" customHeight="1">
      <c r="A52" s="5" t="s">
        <v>121</v>
      </c>
      <c r="B52" s="5" t="s">
        <v>279</v>
      </c>
      <c r="C52" s="5" t="s">
        <v>280</v>
      </c>
      <c r="D52" s="5" t="s">
        <v>944</v>
      </c>
      <c r="E52" s="5" t="s">
        <v>944</v>
      </c>
      <c r="F52" s="5" t="s">
        <v>1165</v>
      </c>
      <c r="G52" s="5" t="s">
        <v>2020</v>
      </c>
      <c r="H52" s="5" t="s">
        <v>944</v>
      </c>
      <c r="I52" s="5" t="s">
        <v>944</v>
      </c>
    </row>
    <row r="53" ht="15.75" customHeight="1">
      <c r="A53" s="5" t="s">
        <v>121</v>
      </c>
      <c r="B53" s="5" t="s">
        <v>279</v>
      </c>
      <c r="C53" s="5" t="s">
        <v>280</v>
      </c>
      <c r="D53" s="5" t="s">
        <v>944</v>
      </c>
      <c r="E53" s="5" t="s">
        <v>944</v>
      </c>
      <c r="F53" s="5" t="s">
        <v>1165</v>
      </c>
      <c r="G53" s="5" t="s">
        <v>2021</v>
      </c>
      <c r="H53" s="5" t="s">
        <v>944</v>
      </c>
      <c r="I53" s="5" t="s">
        <v>944</v>
      </c>
    </row>
    <row r="54" ht="15.75" customHeight="1">
      <c r="A54" s="5" t="s">
        <v>121</v>
      </c>
      <c r="B54" s="5" t="s">
        <v>288</v>
      </c>
      <c r="C54" s="5" t="s">
        <v>289</v>
      </c>
      <c r="D54" s="5" t="s">
        <v>944</v>
      </c>
      <c r="E54" s="5" t="s">
        <v>944</v>
      </c>
      <c r="F54" s="5" t="s">
        <v>2022</v>
      </c>
      <c r="G54" s="5" t="s">
        <v>2023</v>
      </c>
      <c r="H54" s="5" t="s">
        <v>944</v>
      </c>
      <c r="I54" s="5" t="s">
        <v>944</v>
      </c>
    </row>
    <row r="55" ht="15.75" customHeight="1">
      <c r="A55" s="5" t="s">
        <v>121</v>
      </c>
      <c r="B55" s="5" t="s">
        <v>288</v>
      </c>
      <c r="C55" s="5" t="s">
        <v>289</v>
      </c>
      <c r="D55" s="5" t="s">
        <v>944</v>
      </c>
      <c r="E55" s="5" t="s">
        <v>944</v>
      </c>
      <c r="F55" s="5" t="s">
        <v>2022</v>
      </c>
      <c r="G55" s="5" t="s">
        <v>1451</v>
      </c>
      <c r="H55" s="5" t="s">
        <v>944</v>
      </c>
      <c r="I55" s="5" t="s">
        <v>944</v>
      </c>
    </row>
    <row r="56" ht="15.75" customHeight="1">
      <c r="A56" s="5" t="s">
        <v>121</v>
      </c>
      <c r="B56" s="5" t="s">
        <v>296</v>
      </c>
      <c r="C56" s="5" t="s">
        <v>297</v>
      </c>
      <c r="D56" s="5" t="s">
        <v>944</v>
      </c>
      <c r="E56" s="5" t="s">
        <v>944</v>
      </c>
      <c r="F56" s="5" t="s">
        <v>1165</v>
      </c>
      <c r="G56" s="5" t="s">
        <v>2024</v>
      </c>
      <c r="H56" s="5" t="s">
        <v>944</v>
      </c>
      <c r="I56" s="5" t="s">
        <v>944</v>
      </c>
    </row>
    <row r="57" ht="15.75" customHeight="1">
      <c r="A57" s="5" t="s">
        <v>121</v>
      </c>
      <c r="B57" s="5" t="s">
        <v>296</v>
      </c>
      <c r="C57" s="5" t="s">
        <v>297</v>
      </c>
      <c r="D57" s="5" t="s">
        <v>944</v>
      </c>
      <c r="E57" s="5" t="s">
        <v>944</v>
      </c>
      <c r="F57" s="5" t="s">
        <v>1165</v>
      </c>
      <c r="G57" s="5" t="s">
        <v>1852</v>
      </c>
      <c r="H57" s="5" t="s">
        <v>944</v>
      </c>
      <c r="I57" s="5" t="s">
        <v>944</v>
      </c>
    </row>
    <row r="58" ht="15.75" customHeight="1">
      <c r="A58" s="5" t="s">
        <v>121</v>
      </c>
      <c r="B58" s="5" t="s">
        <v>304</v>
      </c>
      <c r="C58" s="5" t="s">
        <v>305</v>
      </c>
      <c r="D58" s="5" t="s">
        <v>944</v>
      </c>
      <c r="E58" s="5" t="s">
        <v>944</v>
      </c>
      <c r="F58" s="5" t="s">
        <v>2018</v>
      </c>
      <c r="G58" s="5" t="s">
        <v>2025</v>
      </c>
      <c r="H58" s="5" t="s">
        <v>944</v>
      </c>
      <c r="I58" s="5" t="s">
        <v>944</v>
      </c>
    </row>
    <row r="59" ht="15.75" customHeight="1">
      <c r="A59" s="5" t="s">
        <v>121</v>
      </c>
      <c r="B59" s="5" t="s">
        <v>304</v>
      </c>
      <c r="C59" s="5" t="s">
        <v>305</v>
      </c>
      <c r="D59" s="5" t="s">
        <v>944</v>
      </c>
      <c r="E59" s="5" t="s">
        <v>944</v>
      </c>
      <c r="F59" s="5" t="s">
        <v>2026</v>
      </c>
      <c r="G59" s="5" t="s">
        <v>2027</v>
      </c>
      <c r="H59" s="5" t="s">
        <v>944</v>
      </c>
      <c r="I59" s="5" t="s">
        <v>944</v>
      </c>
    </row>
    <row r="60" ht="15.75" customHeight="1">
      <c r="A60" s="5" t="s">
        <v>121</v>
      </c>
      <c r="B60" s="5" t="s">
        <v>304</v>
      </c>
      <c r="C60" s="5" t="s">
        <v>305</v>
      </c>
      <c r="D60" s="5" t="s">
        <v>944</v>
      </c>
      <c r="E60" s="5" t="s">
        <v>944</v>
      </c>
      <c r="F60" s="5" t="s">
        <v>2026</v>
      </c>
      <c r="G60" s="5" t="s">
        <v>2028</v>
      </c>
      <c r="H60" s="5" t="s">
        <v>944</v>
      </c>
      <c r="I60" s="5" t="s">
        <v>944</v>
      </c>
    </row>
    <row r="61" ht="15.75" customHeight="1">
      <c r="A61" s="5" t="s">
        <v>121</v>
      </c>
      <c r="B61" s="5" t="s">
        <v>313</v>
      </c>
      <c r="C61" s="5" t="s">
        <v>314</v>
      </c>
      <c r="D61" s="5" t="s">
        <v>944</v>
      </c>
      <c r="E61" s="5" t="s">
        <v>944</v>
      </c>
      <c r="F61" s="5" t="s">
        <v>1165</v>
      </c>
      <c r="G61" s="5" t="s">
        <v>1852</v>
      </c>
      <c r="H61" s="5" t="s">
        <v>944</v>
      </c>
      <c r="I61" s="5" t="s">
        <v>944</v>
      </c>
    </row>
    <row r="62" ht="15.75" customHeight="1">
      <c r="A62" s="5" t="s">
        <v>121</v>
      </c>
      <c r="B62" s="5" t="s">
        <v>313</v>
      </c>
      <c r="C62" s="5" t="s">
        <v>314</v>
      </c>
      <c r="D62" s="5" t="s">
        <v>944</v>
      </c>
      <c r="E62" s="5" t="s">
        <v>944</v>
      </c>
      <c r="F62" s="5" t="s">
        <v>1165</v>
      </c>
      <c r="G62" s="5" t="s">
        <v>1971</v>
      </c>
      <c r="H62" s="5" t="s">
        <v>944</v>
      </c>
      <c r="I62" s="5" t="s">
        <v>944</v>
      </c>
    </row>
    <row r="63" ht="15.75" customHeight="1">
      <c r="A63" s="5" t="s">
        <v>121</v>
      </c>
      <c r="B63" s="5" t="s">
        <v>321</v>
      </c>
      <c r="C63" s="5" t="s">
        <v>322</v>
      </c>
      <c r="D63" s="5" t="s">
        <v>944</v>
      </c>
      <c r="E63" s="5" t="s">
        <v>944</v>
      </c>
      <c r="F63" s="5" t="s">
        <v>1165</v>
      </c>
      <c r="G63" s="5" t="s">
        <v>1852</v>
      </c>
      <c r="H63" s="5" t="s">
        <v>944</v>
      </c>
      <c r="I63" s="5" t="s">
        <v>944</v>
      </c>
    </row>
    <row r="64" ht="15.75" customHeight="1">
      <c r="A64" s="5" t="s">
        <v>121</v>
      </c>
      <c r="B64" s="5" t="s">
        <v>321</v>
      </c>
      <c r="C64" s="5" t="s">
        <v>322</v>
      </c>
      <c r="D64" s="5" t="s">
        <v>944</v>
      </c>
      <c r="E64" s="5" t="s">
        <v>944</v>
      </c>
      <c r="F64" s="5" t="s">
        <v>1165</v>
      </c>
      <c r="G64" s="5" t="s">
        <v>1971</v>
      </c>
      <c r="H64" s="5" t="s">
        <v>944</v>
      </c>
      <c r="I64" s="5" t="s">
        <v>944</v>
      </c>
    </row>
    <row r="65" ht="15.75" customHeight="1">
      <c r="A65" s="5" t="s">
        <v>121</v>
      </c>
      <c r="B65" s="5" t="s">
        <v>330</v>
      </c>
      <c r="C65" s="5" t="s">
        <v>331</v>
      </c>
      <c r="D65" s="5" t="s">
        <v>1560</v>
      </c>
    </row>
    <row r="66" ht="15.75" customHeight="1">
      <c r="A66" s="5" t="s">
        <v>121</v>
      </c>
      <c r="B66" s="5" t="s">
        <v>338</v>
      </c>
      <c r="C66" s="5" t="s">
        <v>339</v>
      </c>
      <c r="D66" s="5" t="s">
        <v>944</v>
      </c>
      <c r="E66" s="5" t="s">
        <v>944</v>
      </c>
      <c r="F66" s="5" t="s">
        <v>2029</v>
      </c>
      <c r="G66" s="5" t="s">
        <v>2030</v>
      </c>
      <c r="H66" s="5" t="s">
        <v>944</v>
      </c>
      <c r="I66" s="5" t="s">
        <v>944</v>
      </c>
    </row>
    <row r="67" ht="15.75" customHeight="1">
      <c r="A67" s="5" t="s">
        <v>121</v>
      </c>
      <c r="B67" s="5" t="s">
        <v>338</v>
      </c>
      <c r="C67" s="5" t="s">
        <v>339</v>
      </c>
      <c r="D67" s="5" t="s">
        <v>944</v>
      </c>
      <c r="E67" s="5" t="s">
        <v>944</v>
      </c>
      <c r="F67" s="5" t="s">
        <v>2029</v>
      </c>
      <c r="G67" s="5" t="s">
        <v>2031</v>
      </c>
      <c r="H67" s="5" t="s">
        <v>944</v>
      </c>
      <c r="I67" s="5" t="s">
        <v>944</v>
      </c>
    </row>
    <row r="68" ht="15.75" customHeight="1">
      <c r="A68" s="5" t="s">
        <v>121</v>
      </c>
      <c r="B68" s="5" t="s">
        <v>348</v>
      </c>
      <c r="C68" s="5" t="s">
        <v>349</v>
      </c>
      <c r="D68" s="5" t="s">
        <v>944</v>
      </c>
      <c r="E68" s="5" t="s">
        <v>944</v>
      </c>
      <c r="F68" s="5" t="s">
        <v>2005</v>
      </c>
      <c r="G68" s="5" t="s">
        <v>2021</v>
      </c>
      <c r="H68" s="5" t="s">
        <v>944</v>
      </c>
      <c r="I68" s="5" t="s">
        <v>944</v>
      </c>
    </row>
    <row r="69" ht="15.75" customHeight="1">
      <c r="A69" s="5" t="s">
        <v>121</v>
      </c>
      <c r="B69" s="5" t="s">
        <v>348</v>
      </c>
      <c r="C69" s="5" t="s">
        <v>349</v>
      </c>
      <c r="D69" s="5" t="s">
        <v>944</v>
      </c>
      <c r="E69" s="5" t="s">
        <v>944</v>
      </c>
      <c r="F69" s="5" t="s">
        <v>2032</v>
      </c>
      <c r="G69" s="5" t="s">
        <v>2033</v>
      </c>
      <c r="H69" s="5" t="s">
        <v>944</v>
      </c>
      <c r="I69" s="5" t="s">
        <v>944</v>
      </c>
    </row>
    <row r="70" ht="15.75" customHeight="1">
      <c r="A70" s="5" t="s">
        <v>121</v>
      </c>
      <c r="B70" s="5" t="s">
        <v>355</v>
      </c>
      <c r="C70" s="5" t="s">
        <v>356</v>
      </c>
      <c r="D70" s="5" t="s">
        <v>1560</v>
      </c>
    </row>
    <row r="71" ht="15.75" customHeight="1">
      <c r="A71" s="5" t="s">
        <v>121</v>
      </c>
      <c r="B71" s="5" t="s">
        <v>365</v>
      </c>
      <c r="C71" s="5" t="s">
        <v>366</v>
      </c>
      <c r="D71" s="5" t="s">
        <v>1560</v>
      </c>
    </row>
    <row r="72" ht="15.75" customHeight="1">
      <c r="A72" s="5" t="s">
        <v>121</v>
      </c>
      <c r="B72" s="5" t="s">
        <v>375</v>
      </c>
      <c r="C72" s="5" t="s">
        <v>376</v>
      </c>
      <c r="D72" s="5" t="s">
        <v>944</v>
      </c>
      <c r="E72" s="5" t="s">
        <v>944</v>
      </c>
      <c r="F72" s="5" t="s">
        <v>2011</v>
      </c>
      <c r="G72" s="5" t="s">
        <v>1971</v>
      </c>
      <c r="H72" s="5" t="s">
        <v>944</v>
      </c>
      <c r="I72" s="5" t="s">
        <v>944</v>
      </c>
      <c r="J72" s="5" t="s">
        <v>2034</v>
      </c>
    </row>
    <row r="73" ht="15.75" customHeight="1">
      <c r="A73" s="5" t="s">
        <v>121</v>
      </c>
      <c r="B73" s="5" t="s">
        <v>375</v>
      </c>
      <c r="C73" s="5" t="s">
        <v>376</v>
      </c>
      <c r="D73" s="5" t="s">
        <v>944</v>
      </c>
      <c r="E73" s="5" t="s">
        <v>944</v>
      </c>
      <c r="F73" s="5" t="s">
        <v>2011</v>
      </c>
      <c r="G73" s="5" t="s">
        <v>1852</v>
      </c>
      <c r="H73" s="5" t="s">
        <v>944</v>
      </c>
      <c r="I73" s="5" t="s">
        <v>944</v>
      </c>
      <c r="J73" s="5" t="s">
        <v>2035</v>
      </c>
    </row>
    <row r="74" ht="15.75" customHeight="1">
      <c r="A74" s="5" t="s">
        <v>121</v>
      </c>
      <c r="B74" s="5" t="s">
        <v>375</v>
      </c>
      <c r="C74" s="5" t="s">
        <v>376</v>
      </c>
      <c r="D74" s="5" t="s">
        <v>944</v>
      </c>
      <c r="E74" s="5" t="s">
        <v>944</v>
      </c>
      <c r="F74" s="5" t="s">
        <v>2011</v>
      </c>
      <c r="G74" s="5" t="s">
        <v>1852</v>
      </c>
      <c r="H74" s="5" t="s">
        <v>944</v>
      </c>
      <c r="I74" s="5" t="s">
        <v>944</v>
      </c>
      <c r="J74" s="5" t="s">
        <v>2035</v>
      </c>
    </row>
    <row r="75" ht="15.75" customHeight="1">
      <c r="A75" s="5" t="s">
        <v>121</v>
      </c>
      <c r="B75" s="5" t="s">
        <v>375</v>
      </c>
      <c r="C75" s="5" t="s">
        <v>376</v>
      </c>
      <c r="D75" s="5" t="s">
        <v>944</v>
      </c>
      <c r="E75" s="5" t="s">
        <v>944</v>
      </c>
      <c r="F75" s="5" t="s">
        <v>2011</v>
      </c>
      <c r="G75" s="5" t="s">
        <v>1971</v>
      </c>
      <c r="H75" s="5" t="s">
        <v>944</v>
      </c>
      <c r="I75" s="5" t="s">
        <v>944</v>
      </c>
      <c r="J75" s="5" t="s">
        <v>2034</v>
      </c>
    </row>
    <row r="76" ht="15.75" customHeight="1">
      <c r="A76" s="5" t="s">
        <v>121</v>
      </c>
      <c r="B76" s="5" t="s">
        <v>387</v>
      </c>
      <c r="C76" s="5" t="s">
        <v>388</v>
      </c>
      <c r="D76" s="5" t="s">
        <v>944</v>
      </c>
      <c r="E76" s="5" t="s">
        <v>944</v>
      </c>
      <c r="F76" s="5" t="s">
        <v>1165</v>
      </c>
      <c r="G76" s="5" t="s">
        <v>1971</v>
      </c>
      <c r="H76" s="5" t="s">
        <v>944</v>
      </c>
      <c r="I76" s="5" t="s">
        <v>944</v>
      </c>
    </row>
    <row r="77" ht="15.75" customHeight="1">
      <c r="A77" s="5" t="s">
        <v>121</v>
      </c>
      <c r="B77" s="5" t="s">
        <v>387</v>
      </c>
      <c r="C77" s="5" t="s">
        <v>388</v>
      </c>
      <c r="D77" s="5" t="s">
        <v>944</v>
      </c>
      <c r="E77" s="5" t="s">
        <v>944</v>
      </c>
      <c r="F77" s="5" t="s">
        <v>1165</v>
      </c>
      <c r="G77" s="5" t="s">
        <v>1852</v>
      </c>
      <c r="H77" s="5" t="s">
        <v>944</v>
      </c>
      <c r="I77" s="5" t="s">
        <v>944</v>
      </c>
    </row>
    <row r="78" ht="15.75" customHeight="1">
      <c r="A78" s="5" t="s">
        <v>121</v>
      </c>
      <c r="B78" s="5" t="s">
        <v>395</v>
      </c>
      <c r="C78" s="5" t="s">
        <v>396</v>
      </c>
      <c r="D78" s="5" t="s">
        <v>944</v>
      </c>
      <c r="E78" s="5" t="s">
        <v>944</v>
      </c>
      <c r="F78" s="5" t="s">
        <v>2036</v>
      </c>
      <c r="G78" s="5" t="s">
        <v>2037</v>
      </c>
      <c r="H78" s="5" t="s">
        <v>944</v>
      </c>
      <c r="I78" s="5" t="s">
        <v>944</v>
      </c>
    </row>
    <row r="79" ht="15.75" customHeight="1">
      <c r="A79" s="5" t="s">
        <v>121</v>
      </c>
      <c r="B79" s="5" t="s">
        <v>395</v>
      </c>
      <c r="C79" s="5" t="s">
        <v>396</v>
      </c>
      <c r="D79" s="5" t="s">
        <v>944</v>
      </c>
      <c r="E79" s="5" t="s">
        <v>944</v>
      </c>
      <c r="F79" s="5" t="s">
        <v>2036</v>
      </c>
      <c r="G79" s="5" t="s">
        <v>2038</v>
      </c>
      <c r="H79" s="5" t="s">
        <v>944</v>
      </c>
      <c r="I79" s="5" t="s">
        <v>944</v>
      </c>
    </row>
    <row r="80" ht="15.75" customHeight="1">
      <c r="A80" s="5" t="s">
        <v>121</v>
      </c>
      <c r="B80" s="5" t="s">
        <v>405</v>
      </c>
      <c r="C80" s="5" t="s">
        <v>406</v>
      </c>
      <c r="D80" s="5" t="s">
        <v>944</v>
      </c>
      <c r="E80" s="5" t="s">
        <v>944</v>
      </c>
      <c r="F80" s="5" t="s">
        <v>2029</v>
      </c>
      <c r="G80" s="5" t="s">
        <v>1967</v>
      </c>
      <c r="H80" s="5" t="s">
        <v>944</v>
      </c>
      <c r="I80" s="5" t="s">
        <v>944</v>
      </c>
    </row>
    <row r="81" ht="15.75" customHeight="1">
      <c r="A81" s="5" t="s">
        <v>121</v>
      </c>
      <c r="B81" s="5" t="s">
        <v>405</v>
      </c>
      <c r="C81" s="5" t="s">
        <v>406</v>
      </c>
      <c r="D81" s="5" t="s">
        <v>944</v>
      </c>
      <c r="E81" s="5" t="s">
        <v>944</v>
      </c>
      <c r="F81" s="5" t="s">
        <v>2039</v>
      </c>
      <c r="G81" s="5" t="s">
        <v>1968</v>
      </c>
      <c r="H81" s="5" t="s">
        <v>944</v>
      </c>
      <c r="I81" s="5" t="s">
        <v>944</v>
      </c>
    </row>
    <row r="82" ht="15.75" customHeight="1">
      <c r="A82" s="5" t="s">
        <v>121</v>
      </c>
      <c r="B82" s="5" t="s">
        <v>412</v>
      </c>
      <c r="C82" s="5" t="s">
        <v>413</v>
      </c>
      <c r="D82" s="5" t="s">
        <v>944</v>
      </c>
      <c r="E82" s="5" t="s">
        <v>944</v>
      </c>
      <c r="F82" s="5" t="s">
        <v>2040</v>
      </c>
      <c r="G82" s="5" t="s">
        <v>2041</v>
      </c>
      <c r="H82" s="5" t="s">
        <v>944</v>
      </c>
      <c r="I82" s="5" t="s">
        <v>944</v>
      </c>
    </row>
    <row r="83" ht="15.75" customHeight="1">
      <c r="A83" s="5" t="s">
        <v>121</v>
      </c>
      <c r="B83" s="5" t="s">
        <v>412</v>
      </c>
      <c r="C83" s="5" t="s">
        <v>413</v>
      </c>
      <c r="D83" s="5" t="s">
        <v>944</v>
      </c>
      <c r="E83" s="5" t="s">
        <v>944</v>
      </c>
      <c r="F83" s="5" t="s">
        <v>2040</v>
      </c>
      <c r="G83" s="5" t="s">
        <v>2042</v>
      </c>
      <c r="H83" s="5" t="s">
        <v>944</v>
      </c>
      <c r="I83" s="5" t="s">
        <v>944</v>
      </c>
    </row>
    <row r="84" ht="15.75" customHeight="1">
      <c r="A84" s="5" t="s">
        <v>419</v>
      </c>
      <c r="B84" s="5" t="s">
        <v>420</v>
      </c>
      <c r="C84" s="5" t="s">
        <v>421</v>
      </c>
      <c r="D84" s="5" t="s">
        <v>944</v>
      </c>
      <c r="E84" s="5" t="s">
        <v>944</v>
      </c>
      <c r="F84" s="5" t="s">
        <v>1987</v>
      </c>
      <c r="G84" s="5" t="s">
        <v>2043</v>
      </c>
      <c r="H84" s="5" t="s">
        <v>944</v>
      </c>
      <c r="I84" s="5" t="s">
        <v>944</v>
      </c>
    </row>
    <row r="85" ht="15.75" customHeight="1">
      <c r="A85" s="5" t="s">
        <v>419</v>
      </c>
      <c r="B85" s="5" t="s">
        <v>420</v>
      </c>
      <c r="C85" s="5" t="s">
        <v>421</v>
      </c>
      <c r="D85" s="5" t="s">
        <v>944</v>
      </c>
      <c r="E85" s="5" t="s">
        <v>944</v>
      </c>
      <c r="F85" s="5" t="s">
        <v>1995</v>
      </c>
      <c r="G85" s="5" t="s">
        <v>2044</v>
      </c>
      <c r="H85" s="5" t="s">
        <v>944</v>
      </c>
      <c r="I85" s="5" t="s">
        <v>944</v>
      </c>
    </row>
    <row r="86" ht="15.75" customHeight="1">
      <c r="A86" s="5" t="s">
        <v>419</v>
      </c>
      <c r="B86" s="5" t="s">
        <v>420</v>
      </c>
      <c r="C86" s="5" t="s">
        <v>421</v>
      </c>
      <c r="D86" s="5" t="s">
        <v>944</v>
      </c>
      <c r="E86" s="5" t="s">
        <v>944</v>
      </c>
      <c r="F86" s="5" t="s">
        <v>1987</v>
      </c>
      <c r="G86" s="5" t="s">
        <v>2045</v>
      </c>
      <c r="H86" s="5" t="s">
        <v>944</v>
      </c>
      <c r="I86" s="5" t="s">
        <v>944</v>
      </c>
    </row>
    <row r="87" ht="15.75" customHeight="1">
      <c r="A87" s="5" t="s">
        <v>419</v>
      </c>
      <c r="B87" s="5" t="s">
        <v>430</v>
      </c>
      <c r="C87" s="5" t="s">
        <v>431</v>
      </c>
      <c r="D87" s="5" t="s">
        <v>944</v>
      </c>
      <c r="E87" s="5" t="s">
        <v>944</v>
      </c>
      <c r="F87" s="5" t="s">
        <v>1975</v>
      </c>
      <c r="G87" s="5" t="s">
        <v>2046</v>
      </c>
      <c r="H87" s="5" t="s">
        <v>944</v>
      </c>
      <c r="I87" s="5" t="s">
        <v>944</v>
      </c>
    </row>
    <row r="88" ht="15.75" customHeight="1">
      <c r="A88" s="5" t="s">
        <v>419</v>
      </c>
      <c r="B88" s="5" t="s">
        <v>430</v>
      </c>
      <c r="C88" s="5" t="s">
        <v>431</v>
      </c>
      <c r="D88" s="5" t="s">
        <v>944</v>
      </c>
      <c r="E88" s="5" t="s">
        <v>944</v>
      </c>
      <c r="F88" s="5" t="s">
        <v>1975</v>
      </c>
      <c r="G88" s="5" t="s">
        <v>2047</v>
      </c>
      <c r="H88" s="5" t="s">
        <v>944</v>
      </c>
      <c r="I88" s="5" t="s">
        <v>944</v>
      </c>
    </row>
    <row r="89" ht="15.75" customHeight="1">
      <c r="A89" s="5" t="s">
        <v>419</v>
      </c>
      <c r="B89" s="5" t="s">
        <v>438</v>
      </c>
      <c r="C89" s="5" t="s">
        <v>439</v>
      </c>
      <c r="D89" s="5" t="s">
        <v>944</v>
      </c>
      <c r="E89" s="5" t="s">
        <v>944</v>
      </c>
      <c r="F89" s="5" t="s">
        <v>1974</v>
      </c>
      <c r="G89" s="5" t="s">
        <v>1971</v>
      </c>
      <c r="H89" s="5" t="s">
        <v>944</v>
      </c>
      <c r="I89" s="5" t="s">
        <v>944</v>
      </c>
    </row>
    <row r="90" ht="15.75" customHeight="1">
      <c r="A90" s="5" t="s">
        <v>419</v>
      </c>
      <c r="B90" s="5" t="s">
        <v>438</v>
      </c>
      <c r="C90" s="5" t="s">
        <v>439</v>
      </c>
      <c r="D90" s="5" t="s">
        <v>944</v>
      </c>
      <c r="E90" s="5" t="s">
        <v>944</v>
      </c>
      <c r="F90" s="5" t="s">
        <v>1974</v>
      </c>
      <c r="G90" s="5" t="s">
        <v>1852</v>
      </c>
      <c r="H90" s="5" t="s">
        <v>944</v>
      </c>
      <c r="I90" s="5" t="s">
        <v>944</v>
      </c>
    </row>
    <row r="91" ht="15.75" customHeight="1">
      <c r="A91" s="5" t="s">
        <v>419</v>
      </c>
      <c r="B91" s="5" t="s">
        <v>446</v>
      </c>
      <c r="C91" s="5" t="s">
        <v>447</v>
      </c>
      <c r="D91" s="5" t="s">
        <v>944</v>
      </c>
      <c r="E91" s="5" t="s">
        <v>944</v>
      </c>
      <c r="F91" s="5" t="s">
        <v>2048</v>
      </c>
      <c r="G91" s="5" t="s">
        <v>1971</v>
      </c>
      <c r="H91" s="5" t="s">
        <v>944</v>
      </c>
      <c r="I91" s="5" t="s">
        <v>944</v>
      </c>
    </row>
    <row r="92" ht="15.75" customHeight="1">
      <c r="A92" s="5" t="s">
        <v>419</v>
      </c>
      <c r="B92" s="5" t="s">
        <v>446</v>
      </c>
      <c r="C92" s="5" t="s">
        <v>447</v>
      </c>
      <c r="D92" s="5" t="s">
        <v>944</v>
      </c>
      <c r="E92" s="5" t="s">
        <v>944</v>
      </c>
      <c r="F92" s="5" t="s">
        <v>2049</v>
      </c>
      <c r="G92" s="5" t="s">
        <v>1852</v>
      </c>
      <c r="H92" s="5" t="s">
        <v>944</v>
      </c>
      <c r="I92" s="5" t="s">
        <v>944</v>
      </c>
    </row>
    <row r="93" ht="15.75" customHeight="1">
      <c r="A93" s="5" t="s">
        <v>419</v>
      </c>
      <c r="B93" s="5" t="s">
        <v>453</v>
      </c>
      <c r="C93" s="5" t="s">
        <v>454</v>
      </c>
      <c r="D93" s="5" t="s">
        <v>944</v>
      </c>
      <c r="E93" s="5" t="s">
        <v>944</v>
      </c>
      <c r="F93" s="5" t="s">
        <v>2050</v>
      </c>
      <c r="G93" s="5" t="s">
        <v>1972</v>
      </c>
      <c r="H93" s="5" t="s">
        <v>944</v>
      </c>
      <c r="I93" s="5" t="s">
        <v>944</v>
      </c>
    </row>
    <row r="94" ht="15.75" customHeight="1">
      <c r="A94" s="5" t="s">
        <v>419</v>
      </c>
      <c r="B94" s="5" t="s">
        <v>453</v>
      </c>
      <c r="C94" s="5" t="s">
        <v>454</v>
      </c>
      <c r="D94" s="5" t="s">
        <v>944</v>
      </c>
      <c r="E94" s="5" t="s">
        <v>944</v>
      </c>
      <c r="F94" s="5" t="s">
        <v>2050</v>
      </c>
      <c r="G94" s="5" t="s">
        <v>2051</v>
      </c>
      <c r="H94" s="5" t="s">
        <v>944</v>
      </c>
      <c r="I94" s="5" t="s">
        <v>944</v>
      </c>
    </row>
    <row r="95" ht="15.75" customHeight="1">
      <c r="A95" s="5" t="s">
        <v>419</v>
      </c>
      <c r="B95" s="5" t="s">
        <v>461</v>
      </c>
      <c r="C95" s="5" t="s">
        <v>462</v>
      </c>
      <c r="D95" s="5" t="s">
        <v>944</v>
      </c>
      <c r="E95" s="5" t="s">
        <v>944</v>
      </c>
      <c r="F95" s="5" t="s">
        <v>2040</v>
      </c>
      <c r="G95" s="5" t="s">
        <v>1852</v>
      </c>
      <c r="H95" s="5" t="s">
        <v>944</v>
      </c>
      <c r="I95" s="5" t="s">
        <v>944</v>
      </c>
    </row>
    <row r="96" ht="15.75" customHeight="1">
      <c r="A96" s="5" t="s">
        <v>419</v>
      </c>
      <c r="B96" s="5" t="s">
        <v>461</v>
      </c>
      <c r="C96" s="5" t="s">
        <v>462</v>
      </c>
      <c r="D96" s="5" t="s">
        <v>944</v>
      </c>
      <c r="E96" s="5" t="s">
        <v>944</v>
      </c>
      <c r="F96" s="5" t="s">
        <v>2040</v>
      </c>
      <c r="G96" s="5" t="s">
        <v>1971</v>
      </c>
      <c r="H96" s="5" t="s">
        <v>944</v>
      </c>
      <c r="I96" s="5" t="s">
        <v>944</v>
      </c>
    </row>
    <row r="97" ht="15.75" customHeight="1">
      <c r="A97" s="5" t="s">
        <v>419</v>
      </c>
      <c r="B97" s="5" t="s">
        <v>469</v>
      </c>
      <c r="C97" s="5" t="s">
        <v>470</v>
      </c>
      <c r="D97" s="5" t="s">
        <v>944</v>
      </c>
      <c r="E97" s="5" t="s">
        <v>944</v>
      </c>
      <c r="F97" s="5" t="s">
        <v>2052</v>
      </c>
      <c r="G97" s="5" t="s">
        <v>2053</v>
      </c>
      <c r="H97" s="5" t="s">
        <v>944</v>
      </c>
      <c r="I97" s="5" t="s">
        <v>944</v>
      </c>
    </row>
    <row r="98" ht="15.75" customHeight="1">
      <c r="A98" s="5" t="s">
        <v>419</v>
      </c>
      <c r="B98" s="5" t="s">
        <v>469</v>
      </c>
      <c r="C98" s="5" t="s">
        <v>470</v>
      </c>
      <c r="D98" s="5" t="s">
        <v>944</v>
      </c>
      <c r="E98" s="5" t="s">
        <v>944</v>
      </c>
      <c r="F98" s="5" t="s">
        <v>2052</v>
      </c>
      <c r="G98" s="5" t="s">
        <v>2054</v>
      </c>
      <c r="H98" s="5" t="s">
        <v>944</v>
      </c>
      <c r="I98" s="5" t="s">
        <v>944</v>
      </c>
    </row>
    <row r="99" ht="15.75" customHeight="1">
      <c r="A99" s="5" t="s">
        <v>419</v>
      </c>
      <c r="B99" s="5" t="s">
        <v>477</v>
      </c>
      <c r="C99" s="5" t="s">
        <v>478</v>
      </c>
      <c r="D99" s="5" t="s">
        <v>944</v>
      </c>
      <c r="E99" s="5" t="s">
        <v>944</v>
      </c>
      <c r="F99" s="5" t="s">
        <v>2005</v>
      </c>
      <c r="G99" s="5" t="s">
        <v>1852</v>
      </c>
      <c r="H99" s="5" t="s">
        <v>944</v>
      </c>
      <c r="I99" s="5" t="s">
        <v>944</v>
      </c>
    </row>
    <row r="100" ht="15.75" customHeight="1">
      <c r="A100" s="5" t="s">
        <v>419</v>
      </c>
      <c r="B100" s="5" t="s">
        <v>477</v>
      </c>
      <c r="C100" s="5" t="s">
        <v>478</v>
      </c>
      <c r="D100" s="5" t="s">
        <v>944</v>
      </c>
      <c r="E100" s="5" t="s">
        <v>944</v>
      </c>
      <c r="F100" s="5" t="s">
        <v>2040</v>
      </c>
      <c r="G100" s="5" t="s">
        <v>1971</v>
      </c>
      <c r="H100" s="5" t="s">
        <v>944</v>
      </c>
      <c r="I100" s="5" t="s">
        <v>944</v>
      </c>
    </row>
    <row r="101" ht="15.75" customHeight="1">
      <c r="A101" s="5" t="s">
        <v>419</v>
      </c>
      <c r="B101" s="5" t="s">
        <v>477</v>
      </c>
      <c r="C101" s="5" t="s">
        <v>478</v>
      </c>
      <c r="D101" s="5" t="s">
        <v>944</v>
      </c>
      <c r="E101" s="5" t="s">
        <v>944</v>
      </c>
      <c r="F101" s="5" t="s">
        <v>2005</v>
      </c>
      <c r="G101" s="5" t="s">
        <v>1852</v>
      </c>
      <c r="H101" s="5" t="s">
        <v>944</v>
      </c>
      <c r="I101" s="5" t="s">
        <v>944</v>
      </c>
    </row>
    <row r="102" ht="15.75" customHeight="1">
      <c r="A102" s="5" t="s">
        <v>419</v>
      </c>
      <c r="B102" s="5" t="s">
        <v>477</v>
      </c>
      <c r="C102" s="5" t="s">
        <v>478</v>
      </c>
      <c r="D102" s="5" t="s">
        <v>944</v>
      </c>
      <c r="E102" s="5" t="s">
        <v>944</v>
      </c>
      <c r="F102" s="5" t="s">
        <v>2040</v>
      </c>
      <c r="G102" s="5" t="s">
        <v>1971</v>
      </c>
      <c r="H102" s="5" t="s">
        <v>944</v>
      </c>
      <c r="I102" s="5" t="s">
        <v>944</v>
      </c>
    </row>
    <row r="103" ht="15.75" customHeight="1">
      <c r="A103" s="5" t="s">
        <v>419</v>
      </c>
      <c r="B103" s="5" t="s">
        <v>488</v>
      </c>
      <c r="C103" s="5" t="s">
        <v>489</v>
      </c>
      <c r="D103" s="5" t="s">
        <v>944</v>
      </c>
      <c r="E103" s="5" t="s">
        <v>944</v>
      </c>
      <c r="F103" s="5" t="s">
        <v>2032</v>
      </c>
      <c r="G103" s="5" t="s">
        <v>2055</v>
      </c>
      <c r="H103" s="5" t="s">
        <v>944</v>
      </c>
      <c r="I103" s="5" t="s">
        <v>944</v>
      </c>
    </row>
    <row r="104" ht="15.75" customHeight="1">
      <c r="A104" s="5" t="s">
        <v>419</v>
      </c>
      <c r="B104" s="5" t="s">
        <v>488</v>
      </c>
      <c r="C104" s="5" t="s">
        <v>489</v>
      </c>
      <c r="D104" s="5" t="s">
        <v>944</v>
      </c>
      <c r="E104" s="5" t="s">
        <v>944</v>
      </c>
      <c r="F104" s="5" t="s">
        <v>2005</v>
      </c>
      <c r="G104" s="5" t="s">
        <v>2056</v>
      </c>
      <c r="H104" s="5" t="s">
        <v>944</v>
      </c>
      <c r="I104" s="5" t="s">
        <v>944</v>
      </c>
    </row>
    <row r="105" ht="15.75" customHeight="1">
      <c r="A105" s="5" t="s">
        <v>419</v>
      </c>
      <c r="B105" s="5" t="s">
        <v>488</v>
      </c>
      <c r="C105" s="5" t="s">
        <v>489</v>
      </c>
      <c r="D105" s="5" t="s">
        <v>944</v>
      </c>
      <c r="E105" s="5" t="s">
        <v>944</v>
      </c>
      <c r="F105" s="5" t="s">
        <v>1966</v>
      </c>
      <c r="G105" s="5" t="s">
        <v>2057</v>
      </c>
      <c r="H105" s="5" t="s">
        <v>944</v>
      </c>
      <c r="I105" s="5" t="s">
        <v>944</v>
      </c>
    </row>
    <row r="106" ht="15.75" customHeight="1">
      <c r="A106" s="5" t="s">
        <v>419</v>
      </c>
      <c r="B106" s="5" t="s">
        <v>488</v>
      </c>
      <c r="C106" s="5" t="s">
        <v>489</v>
      </c>
      <c r="D106" s="5" t="s">
        <v>944</v>
      </c>
      <c r="E106" s="5" t="s">
        <v>944</v>
      </c>
      <c r="F106" s="5" t="s">
        <v>1966</v>
      </c>
      <c r="G106" s="5" t="s">
        <v>2051</v>
      </c>
      <c r="H106" s="5" t="s">
        <v>944</v>
      </c>
      <c r="I106" s="5" t="s">
        <v>944</v>
      </c>
    </row>
    <row r="107" ht="15.75" customHeight="1">
      <c r="A107" s="5" t="s">
        <v>419</v>
      </c>
      <c r="B107" s="5" t="s">
        <v>498</v>
      </c>
      <c r="C107" s="5" t="s">
        <v>499</v>
      </c>
      <c r="D107" s="5" t="s">
        <v>944</v>
      </c>
      <c r="E107" s="5" t="s">
        <v>944</v>
      </c>
      <c r="F107" s="5" t="s">
        <v>2058</v>
      </c>
      <c r="G107" s="5" t="s">
        <v>2059</v>
      </c>
      <c r="H107" s="5" t="s">
        <v>944</v>
      </c>
      <c r="I107" s="5" t="s">
        <v>944</v>
      </c>
    </row>
    <row r="108" ht="15.75" customHeight="1">
      <c r="A108" s="5" t="s">
        <v>419</v>
      </c>
      <c r="B108" s="5" t="s">
        <v>498</v>
      </c>
      <c r="C108" s="5" t="s">
        <v>499</v>
      </c>
      <c r="D108" s="5" t="s">
        <v>944</v>
      </c>
      <c r="E108" s="5" t="s">
        <v>944</v>
      </c>
      <c r="F108" s="5" t="s">
        <v>2058</v>
      </c>
      <c r="G108" s="5" t="s">
        <v>2060</v>
      </c>
      <c r="H108" s="5" t="s">
        <v>944</v>
      </c>
      <c r="I108" s="5" t="s">
        <v>944</v>
      </c>
    </row>
    <row r="109" ht="15.75" customHeight="1">
      <c r="A109" s="5" t="s">
        <v>419</v>
      </c>
      <c r="B109" s="5" t="s">
        <v>507</v>
      </c>
      <c r="C109" s="5" t="s">
        <v>508</v>
      </c>
      <c r="D109" s="5" t="s">
        <v>944</v>
      </c>
      <c r="E109" s="5" t="s">
        <v>944</v>
      </c>
      <c r="F109" s="5" t="s">
        <v>2049</v>
      </c>
      <c r="G109" s="5" t="s">
        <v>2061</v>
      </c>
      <c r="H109" s="5" t="s">
        <v>944</v>
      </c>
      <c r="I109" s="5" t="s">
        <v>944</v>
      </c>
    </row>
    <row r="110" ht="15.75" customHeight="1">
      <c r="A110" s="5" t="s">
        <v>419</v>
      </c>
      <c r="B110" s="5" t="s">
        <v>507</v>
      </c>
      <c r="C110" s="5" t="s">
        <v>508</v>
      </c>
      <c r="D110" s="5" t="s">
        <v>944</v>
      </c>
      <c r="E110" s="5" t="s">
        <v>944</v>
      </c>
      <c r="F110" s="5" t="s">
        <v>2049</v>
      </c>
      <c r="G110" s="5" t="s">
        <v>2057</v>
      </c>
      <c r="H110" s="5" t="s">
        <v>944</v>
      </c>
      <c r="I110" s="5" t="s">
        <v>944</v>
      </c>
    </row>
    <row r="111" ht="15.75" customHeight="1">
      <c r="A111" s="5" t="s">
        <v>419</v>
      </c>
      <c r="B111" s="5" t="s">
        <v>517</v>
      </c>
      <c r="C111" s="5" t="s">
        <v>518</v>
      </c>
      <c r="D111" s="5" t="s">
        <v>944</v>
      </c>
      <c r="E111" s="5" t="s">
        <v>944</v>
      </c>
      <c r="F111" s="5" t="s">
        <v>2002</v>
      </c>
      <c r="G111" s="5" t="s">
        <v>2001</v>
      </c>
      <c r="H111" s="5" t="s">
        <v>1560</v>
      </c>
    </row>
    <row r="112" ht="15.75" customHeight="1">
      <c r="A112" s="5" t="s">
        <v>419</v>
      </c>
      <c r="B112" s="5" t="s">
        <v>527</v>
      </c>
      <c r="C112" s="5" t="s">
        <v>528</v>
      </c>
      <c r="D112" s="5" t="s">
        <v>944</v>
      </c>
      <c r="E112" s="5" t="s">
        <v>944</v>
      </c>
      <c r="F112" s="5" t="s">
        <v>2048</v>
      </c>
      <c r="G112" s="5" t="s">
        <v>1971</v>
      </c>
      <c r="H112" s="5" t="s">
        <v>944</v>
      </c>
      <c r="I112" s="5" t="s">
        <v>944</v>
      </c>
    </row>
    <row r="113" ht="15.75" customHeight="1">
      <c r="A113" s="5" t="s">
        <v>419</v>
      </c>
      <c r="B113" s="5" t="s">
        <v>527</v>
      </c>
      <c r="C113" s="5" t="s">
        <v>528</v>
      </c>
      <c r="D113" s="5" t="s">
        <v>944</v>
      </c>
      <c r="E113" s="5" t="s">
        <v>944</v>
      </c>
      <c r="F113" s="5" t="s">
        <v>2048</v>
      </c>
      <c r="G113" s="5" t="s">
        <v>1968</v>
      </c>
      <c r="H113" s="5" t="s">
        <v>944</v>
      </c>
      <c r="I113" s="5" t="s">
        <v>944</v>
      </c>
    </row>
    <row r="114" ht="15.75" customHeight="1">
      <c r="A114" s="5" t="s">
        <v>419</v>
      </c>
      <c r="B114" s="5" t="s">
        <v>527</v>
      </c>
      <c r="C114" s="5" t="s">
        <v>528</v>
      </c>
      <c r="D114" s="5" t="s">
        <v>944</v>
      </c>
      <c r="E114" s="5" t="s">
        <v>944</v>
      </c>
      <c r="F114" s="5" t="s">
        <v>2048</v>
      </c>
      <c r="G114" s="5" t="s">
        <v>1548</v>
      </c>
      <c r="H114" s="5" t="s">
        <v>944</v>
      </c>
      <c r="I114" s="5" t="s">
        <v>944</v>
      </c>
    </row>
    <row r="115" ht="15.75" customHeight="1">
      <c r="A115" s="5" t="s">
        <v>419</v>
      </c>
      <c r="B115" s="5" t="s">
        <v>527</v>
      </c>
      <c r="C115" s="5" t="s">
        <v>528</v>
      </c>
      <c r="D115" s="5" t="s">
        <v>944</v>
      </c>
      <c r="E115" s="5" t="s">
        <v>944</v>
      </c>
      <c r="F115" s="5" t="s">
        <v>2048</v>
      </c>
      <c r="G115" s="5" t="s">
        <v>2023</v>
      </c>
      <c r="H115" s="5" t="s">
        <v>944</v>
      </c>
      <c r="I115" s="5" t="s">
        <v>944</v>
      </c>
    </row>
    <row r="116" ht="15.75" customHeight="1">
      <c r="A116" s="5" t="s">
        <v>419</v>
      </c>
      <c r="B116" s="5" t="s">
        <v>533</v>
      </c>
      <c r="C116" s="5" t="s">
        <v>534</v>
      </c>
      <c r="D116" s="5" t="s">
        <v>1560</v>
      </c>
    </row>
    <row r="117" ht="15.75" customHeight="1">
      <c r="A117" s="5" t="s">
        <v>419</v>
      </c>
      <c r="B117" s="5" t="s">
        <v>541</v>
      </c>
      <c r="C117" s="5" t="s">
        <v>542</v>
      </c>
      <c r="D117" s="5" t="s">
        <v>1560</v>
      </c>
    </row>
    <row r="118" ht="15.75" customHeight="1">
      <c r="A118" s="5" t="s">
        <v>419</v>
      </c>
      <c r="B118" s="5" t="s">
        <v>550</v>
      </c>
      <c r="C118" s="5" t="s">
        <v>551</v>
      </c>
      <c r="D118" s="5" t="s">
        <v>944</v>
      </c>
      <c r="E118" s="5" t="s">
        <v>944</v>
      </c>
      <c r="F118" s="5" t="s">
        <v>2049</v>
      </c>
      <c r="G118" s="5" t="s">
        <v>1971</v>
      </c>
      <c r="H118" s="5" t="s">
        <v>944</v>
      </c>
      <c r="I118" s="5" t="s">
        <v>944</v>
      </c>
    </row>
    <row r="119" ht="15.75" customHeight="1">
      <c r="A119" s="5" t="s">
        <v>419</v>
      </c>
      <c r="B119" s="5" t="s">
        <v>550</v>
      </c>
      <c r="C119" s="5" t="s">
        <v>551</v>
      </c>
      <c r="D119" s="5" t="s">
        <v>944</v>
      </c>
      <c r="E119" s="5" t="s">
        <v>944</v>
      </c>
      <c r="F119" s="5" t="s">
        <v>2049</v>
      </c>
      <c r="G119" s="5" t="s">
        <v>1852</v>
      </c>
      <c r="H119" s="5" t="s">
        <v>944</v>
      </c>
      <c r="I119" s="5" t="s">
        <v>944</v>
      </c>
    </row>
    <row r="120" ht="15.75" customHeight="1">
      <c r="A120" s="5" t="s">
        <v>419</v>
      </c>
      <c r="B120" s="5" t="s">
        <v>559</v>
      </c>
      <c r="C120" s="5" t="s">
        <v>560</v>
      </c>
      <c r="D120" s="5" t="s">
        <v>944</v>
      </c>
      <c r="E120" s="5" t="s">
        <v>944</v>
      </c>
      <c r="F120" s="5" t="s">
        <v>2062</v>
      </c>
      <c r="G120" s="5" t="s">
        <v>2063</v>
      </c>
      <c r="H120" s="5" t="s">
        <v>944</v>
      </c>
      <c r="I120" s="5" t="s">
        <v>944</v>
      </c>
    </row>
    <row r="121" ht="15.75" customHeight="1">
      <c r="A121" s="5" t="s">
        <v>419</v>
      </c>
      <c r="B121" s="5" t="s">
        <v>559</v>
      </c>
      <c r="C121" s="5" t="s">
        <v>560</v>
      </c>
      <c r="D121" s="5" t="s">
        <v>944</v>
      </c>
      <c r="E121" s="5" t="s">
        <v>944</v>
      </c>
      <c r="F121" s="5" t="s">
        <v>2062</v>
      </c>
      <c r="G121" s="5" t="s">
        <v>2064</v>
      </c>
      <c r="H121" s="5" t="s">
        <v>944</v>
      </c>
      <c r="I121" s="5" t="s">
        <v>944</v>
      </c>
    </row>
    <row r="122" ht="15.75" customHeight="1">
      <c r="A122" s="5" t="s">
        <v>567</v>
      </c>
      <c r="B122" s="5" t="s">
        <v>568</v>
      </c>
      <c r="C122" s="5" t="s">
        <v>569</v>
      </c>
      <c r="D122" s="5" t="s">
        <v>944</v>
      </c>
      <c r="E122" s="5" t="s">
        <v>944</v>
      </c>
      <c r="F122" s="5" t="s">
        <v>2065</v>
      </c>
      <c r="G122" s="5" t="s">
        <v>2066</v>
      </c>
      <c r="H122" s="5" t="s">
        <v>944</v>
      </c>
      <c r="I122" s="5" t="s">
        <v>944</v>
      </c>
    </row>
    <row r="123" ht="15.75" customHeight="1">
      <c r="A123" s="5" t="s">
        <v>567</v>
      </c>
      <c r="B123" s="5" t="s">
        <v>568</v>
      </c>
      <c r="C123" s="5" t="s">
        <v>569</v>
      </c>
      <c r="D123" s="5" t="s">
        <v>944</v>
      </c>
      <c r="E123" s="5" t="s">
        <v>944</v>
      </c>
      <c r="F123" s="5" t="s">
        <v>2065</v>
      </c>
      <c r="G123" s="5" t="s">
        <v>2067</v>
      </c>
      <c r="H123" s="5" t="s">
        <v>944</v>
      </c>
      <c r="I123" s="5" t="s">
        <v>944</v>
      </c>
    </row>
    <row r="124" ht="15.75" customHeight="1">
      <c r="A124" s="5" t="s">
        <v>567</v>
      </c>
      <c r="B124" s="5" t="s">
        <v>577</v>
      </c>
      <c r="C124" s="5" t="s">
        <v>578</v>
      </c>
      <c r="D124" s="5" t="s">
        <v>944</v>
      </c>
      <c r="E124" s="5" t="s">
        <v>944</v>
      </c>
      <c r="F124" s="5" t="s">
        <v>2068</v>
      </c>
      <c r="G124" s="5" t="s">
        <v>2069</v>
      </c>
      <c r="H124" s="5" t="s">
        <v>944</v>
      </c>
      <c r="I124" s="5" t="s">
        <v>944</v>
      </c>
    </row>
    <row r="125" ht="15.75" customHeight="1">
      <c r="A125" s="5" t="s">
        <v>567</v>
      </c>
      <c r="B125" s="5" t="s">
        <v>577</v>
      </c>
      <c r="C125" s="5" t="s">
        <v>578</v>
      </c>
      <c r="D125" s="5" t="s">
        <v>944</v>
      </c>
      <c r="E125" s="5" t="s">
        <v>944</v>
      </c>
      <c r="F125" s="5" t="s">
        <v>2068</v>
      </c>
      <c r="G125" s="5" t="s">
        <v>2070</v>
      </c>
      <c r="H125" s="5" t="s">
        <v>944</v>
      </c>
      <c r="I125" s="5" t="s">
        <v>944</v>
      </c>
    </row>
    <row r="126" ht="15.75" customHeight="1">
      <c r="A126" s="5" t="s">
        <v>567</v>
      </c>
      <c r="B126" s="5" t="s">
        <v>586</v>
      </c>
      <c r="C126" s="5" t="s">
        <v>587</v>
      </c>
      <c r="D126" s="5" t="s">
        <v>1560</v>
      </c>
    </row>
    <row r="127" ht="15.75" customHeight="1">
      <c r="A127" s="5" t="s">
        <v>567</v>
      </c>
      <c r="B127" s="5" t="s">
        <v>597</v>
      </c>
      <c r="C127" s="5" t="s">
        <v>598</v>
      </c>
      <c r="D127" s="5" t="s">
        <v>944</v>
      </c>
      <c r="E127" s="5" t="s">
        <v>944</v>
      </c>
      <c r="F127" s="5" t="s">
        <v>2071</v>
      </c>
      <c r="G127" s="5" t="s">
        <v>2057</v>
      </c>
      <c r="H127" s="5" t="s">
        <v>944</v>
      </c>
      <c r="I127" s="5" t="s">
        <v>944</v>
      </c>
    </row>
    <row r="128" ht="15.75" customHeight="1">
      <c r="A128" s="5" t="s">
        <v>567</v>
      </c>
      <c r="B128" s="5" t="s">
        <v>597</v>
      </c>
      <c r="C128" s="5" t="s">
        <v>598</v>
      </c>
      <c r="D128" s="5" t="s">
        <v>944</v>
      </c>
      <c r="E128" s="5" t="s">
        <v>944</v>
      </c>
      <c r="F128" s="5" t="s">
        <v>2071</v>
      </c>
      <c r="G128" s="5" t="s">
        <v>2051</v>
      </c>
      <c r="H128" s="5" t="s">
        <v>944</v>
      </c>
      <c r="I128" s="5" t="s">
        <v>944</v>
      </c>
    </row>
    <row r="129" ht="15.75" customHeight="1">
      <c r="A129" s="5" t="s">
        <v>567</v>
      </c>
      <c r="B129" s="5" t="s">
        <v>606</v>
      </c>
      <c r="C129" s="5" t="s">
        <v>607</v>
      </c>
      <c r="D129" s="5" t="s">
        <v>944</v>
      </c>
      <c r="E129" s="5" t="s">
        <v>944</v>
      </c>
      <c r="F129" s="5" t="s">
        <v>1974</v>
      </c>
      <c r="G129" s="5" t="s">
        <v>2072</v>
      </c>
      <c r="H129" s="5" t="s">
        <v>944</v>
      </c>
      <c r="I129" s="5" t="s">
        <v>944</v>
      </c>
    </row>
    <row r="130" ht="15.75" customHeight="1">
      <c r="A130" s="5" t="s">
        <v>567</v>
      </c>
      <c r="B130" s="5" t="s">
        <v>606</v>
      </c>
      <c r="C130" s="5" t="s">
        <v>607</v>
      </c>
      <c r="D130" s="5" t="s">
        <v>944</v>
      </c>
      <c r="E130" s="5" t="s">
        <v>944</v>
      </c>
      <c r="F130" s="5" t="s">
        <v>1974</v>
      </c>
      <c r="G130" s="5" t="s">
        <v>2072</v>
      </c>
      <c r="H130" s="5" t="s">
        <v>944</v>
      </c>
      <c r="I130" s="5" t="s">
        <v>944</v>
      </c>
    </row>
    <row r="131" ht="15.75" customHeight="1">
      <c r="A131" s="5" t="s">
        <v>567</v>
      </c>
      <c r="B131" s="5" t="s">
        <v>614</v>
      </c>
      <c r="C131" s="5" t="s">
        <v>615</v>
      </c>
      <c r="D131" s="5" t="s">
        <v>944</v>
      </c>
      <c r="E131" s="5" t="s">
        <v>944</v>
      </c>
      <c r="F131" s="5" t="s">
        <v>2073</v>
      </c>
      <c r="G131" s="5" t="s">
        <v>2074</v>
      </c>
      <c r="H131" s="5" t="s">
        <v>944</v>
      </c>
      <c r="I131" s="5" t="s">
        <v>944</v>
      </c>
    </row>
    <row r="132" ht="15.75" customHeight="1">
      <c r="A132" s="5" t="s">
        <v>567</v>
      </c>
      <c r="B132" s="5" t="s">
        <v>614</v>
      </c>
      <c r="C132" s="5" t="s">
        <v>615</v>
      </c>
      <c r="D132" s="5" t="s">
        <v>944</v>
      </c>
      <c r="E132" s="5" t="s">
        <v>944</v>
      </c>
      <c r="F132" s="5" t="s">
        <v>2073</v>
      </c>
      <c r="G132" s="5" t="s">
        <v>1852</v>
      </c>
      <c r="H132" s="5" t="s">
        <v>944</v>
      </c>
      <c r="I132" s="5" t="s">
        <v>944</v>
      </c>
    </row>
    <row r="133" ht="15.75" customHeight="1">
      <c r="A133" s="5" t="s">
        <v>567</v>
      </c>
      <c r="B133" s="5" t="s">
        <v>624</v>
      </c>
      <c r="C133" s="5" t="s">
        <v>625</v>
      </c>
      <c r="D133" s="5" t="s">
        <v>1560</v>
      </c>
    </row>
    <row r="134" ht="15.75" customHeight="1">
      <c r="A134" s="5" t="s">
        <v>567</v>
      </c>
      <c r="B134" s="5" t="s">
        <v>634</v>
      </c>
      <c r="C134" s="5" t="s">
        <v>635</v>
      </c>
      <c r="D134" s="5" t="s">
        <v>944</v>
      </c>
      <c r="E134" s="5" t="s">
        <v>944</v>
      </c>
      <c r="F134" s="5" t="s">
        <v>2075</v>
      </c>
      <c r="G134" s="5" t="s">
        <v>2076</v>
      </c>
      <c r="H134" s="5" t="s">
        <v>944</v>
      </c>
      <c r="I134" s="5" t="s">
        <v>944</v>
      </c>
    </row>
    <row r="135" ht="15.75" customHeight="1">
      <c r="A135" s="5" t="s">
        <v>567</v>
      </c>
      <c r="B135" s="5" t="s">
        <v>634</v>
      </c>
      <c r="C135" s="5" t="s">
        <v>635</v>
      </c>
      <c r="D135" s="5" t="s">
        <v>944</v>
      </c>
      <c r="E135" s="5" t="s">
        <v>944</v>
      </c>
      <c r="F135" s="5" t="s">
        <v>2075</v>
      </c>
      <c r="G135" s="5" t="s">
        <v>2077</v>
      </c>
      <c r="H135" s="5" t="s">
        <v>944</v>
      </c>
      <c r="I135" s="5" t="s">
        <v>944</v>
      </c>
    </row>
    <row r="136" ht="15.75" customHeight="1">
      <c r="A136" s="5" t="s">
        <v>567</v>
      </c>
      <c r="B136" s="5" t="s">
        <v>643</v>
      </c>
      <c r="C136" s="5" t="s">
        <v>644</v>
      </c>
      <c r="D136" s="5" t="s">
        <v>944</v>
      </c>
      <c r="E136" s="5" t="s">
        <v>944</v>
      </c>
      <c r="F136" s="5" t="s">
        <v>2078</v>
      </c>
      <c r="G136" s="5" t="s">
        <v>2079</v>
      </c>
      <c r="H136" s="5" t="s">
        <v>944</v>
      </c>
      <c r="I136" s="5" t="s">
        <v>944</v>
      </c>
    </row>
    <row r="137" ht="15.75" customHeight="1">
      <c r="A137" s="5" t="s">
        <v>567</v>
      </c>
      <c r="B137" s="5" t="s">
        <v>651</v>
      </c>
      <c r="C137" s="5" t="s">
        <v>652</v>
      </c>
      <c r="D137" s="5" t="s">
        <v>944</v>
      </c>
      <c r="E137" s="5" t="s">
        <v>944</v>
      </c>
      <c r="F137" s="5" t="s">
        <v>1741</v>
      </c>
      <c r="G137" s="5" t="s">
        <v>2080</v>
      </c>
      <c r="H137" s="5" t="s">
        <v>944</v>
      </c>
      <c r="I137" s="5" t="s">
        <v>944</v>
      </c>
    </row>
    <row r="138" ht="15.75" customHeight="1">
      <c r="A138" s="5" t="s">
        <v>567</v>
      </c>
      <c r="B138" s="5" t="s">
        <v>659</v>
      </c>
      <c r="C138" s="5" t="s">
        <v>660</v>
      </c>
      <c r="D138" s="5" t="s">
        <v>1560</v>
      </c>
    </row>
    <row r="139" ht="15.75" customHeight="1">
      <c r="A139" s="5" t="s">
        <v>567</v>
      </c>
      <c r="B139" s="5" t="s">
        <v>667</v>
      </c>
      <c r="C139" s="5" t="s">
        <v>668</v>
      </c>
      <c r="D139" s="5" t="s">
        <v>1560</v>
      </c>
    </row>
    <row r="140" ht="15.75" customHeight="1">
      <c r="A140" s="5" t="s">
        <v>567</v>
      </c>
      <c r="B140" s="5" t="s">
        <v>674</v>
      </c>
      <c r="C140" s="5" t="s">
        <v>675</v>
      </c>
      <c r="D140" s="5" t="s">
        <v>944</v>
      </c>
      <c r="E140" s="5" t="s">
        <v>944</v>
      </c>
      <c r="F140" s="5" t="s">
        <v>2081</v>
      </c>
      <c r="G140" s="5" t="s">
        <v>2082</v>
      </c>
      <c r="H140" s="5" t="s">
        <v>944</v>
      </c>
      <c r="I140" s="5" t="s">
        <v>944</v>
      </c>
    </row>
    <row r="141" ht="15.75" customHeight="1">
      <c r="A141" s="5" t="s">
        <v>567</v>
      </c>
      <c r="B141" s="5" t="s">
        <v>674</v>
      </c>
      <c r="C141" s="5" t="s">
        <v>675</v>
      </c>
      <c r="D141" s="5" t="s">
        <v>944</v>
      </c>
      <c r="E141" s="5" t="s">
        <v>944</v>
      </c>
      <c r="F141" s="5" t="s">
        <v>2083</v>
      </c>
      <c r="G141" s="5" t="s">
        <v>2084</v>
      </c>
      <c r="H141" s="5" t="s">
        <v>944</v>
      </c>
      <c r="I141" s="5" t="s">
        <v>944</v>
      </c>
    </row>
    <row r="142" ht="15.75" customHeight="1">
      <c r="A142" s="5" t="s">
        <v>567</v>
      </c>
      <c r="B142" s="5" t="s">
        <v>674</v>
      </c>
      <c r="C142" s="5" t="s">
        <v>675</v>
      </c>
      <c r="D142" s="5" t="s">
        <v>944</v>
      </c>
      <c r="E142" s="5" t="s">
        <v>944</v>
      </c>
      <c r="F142" s="5" t="s">
        <v>2083</v>
      </c>
      <c r="G142" s="5" t="s">
        <v>2085</v>
      </c>
      <c r="H142" s="5" t="s">
        <v>944</v>
      </c>
      <c r="I142" s="5" t="s">
        <v>944</v>
      </c>
    </row>
    <row r="143" ht="15.75" customHeight="1">
      <c r="A143" s="5" t="s">
        <v>567</v>
      </c>
      <c r="B143" s="5" t="s">
        <v>674</v>
      </c>
      <c r="C143" s="5" t="s">
        <v>675</v>
      </c>
      <c r="D143" s="5" t="s">
        <v>944</v>
      </c>
      <c r="E143" s="5" t="s">
        <v>944</v>
      </c>
      <c r="F143" s="5" t="s">
        <v>2081</v>
      </c>
      <c r="G143" s="5" t="s">
        <v>2086</v>
      </c>
      <c r="H143" s="5" t="s">
        <v>944</v>
      </c>
      <c r="I143" s="5" t="s">
        <v>944</v>
      </c>
    </row>
    <row r="144" ht="15.75" customHeight="1">
      <c r="A144" s="5" t="s">
        <v>682</v>
      </c>
      <c r="B144" s="5" t="s">
        <v>683</v>
      </c>
      <c r="C144" s="5" t="s">
        <v>684</v>
      </c>
      <c r="D144" s="5" t="s">
        <v>944</v>
      </c>
      <c r="E144" s="5" t="s">
        <v>944</v>
      </c>
      <c r="F144" s="5" t="s">
        <v>2036</v>
      </c>
      <c r="G144" s="5" t="s">
        <v>2087</v>
      </c>
      <c r="H144" s="5" t="s">
        <v>944</v>
      </c>
      <c r="I144" s="5" t="s">
        <v>944</v>
      </c>
    </row>
    <row r="145" ht="15.75" customHeight="1">
      <c r="A145" s="5" t="s">
        <v>682</v>
      </c>
      <c r="B145" s="5" t="s">
        <v>683</v>
      </c>
      <c r="C145" s="5" t="s">
        <v>684</v>
      </c>
      <c r="D145" s="5" t="s">
        <v>944</v>
      </c>
      <c r="E145" s="5" t="s">
        <v>944</v>
      </c>
      <c r="F145" s="5" t="s">
        <v>2088</v>
      </c>
      <c r="G145" s="5" t="s">
        <v>2089</v>
      </c>
      <c r="H145" s="5" t="s">
        <v>944</v>
      </c>
      <c r="I145" s="5" t="s">
        <v>944</v>
      </c>
    </row>
    <row r="146" ht="15.75" customHeight="1">
      <c r="A146" s="5" t="s">
        <v>682</v>
      </c>
      <c r="B146" s="5" t="s">
        <v>691</v>
      </c>
      <c r="C146" s="5" t="s">
        <v>692</v>
      </c>
      <c r="D146" s="5" t="s">
        <v>944</v>
      </c>
      <c r="E146" s="5" t="s">
        <v>944</v>
      </c>
      <c r="F146" s="5" t="s">
        <v>1687</v>
      </c>
      <c r="G146" s="5" t="s">
        <v>2090</v>
      </c>
      <c r="H146" s="5" t="s">
        <v>944</v>
      </c>
      <c r="I146" s="5" t="s">
        <v>944</v>
      </c>
    </row>
    <row r="147" ht="15.75" customHeight="1">
      <c r="A147" s="5" t="s">
        <v>682</v>
      </c>
      <c r="B147" s="5" t="s">
        <v>691</v>
      </c>
      <c r="C147" s="5" t="s">
        <v>692</v>
      </c>
      <c r="D147" s="5" t="s">
        <v>944</v>
      </c>
      <c r="E147" s="5" t="s">
        <v>944</v>
      </c>
      <c r="F147" s="5" t="s">
        <v>2040</v>
      </c>
      <c r="G147" s="5" t="s">
        <v>2033</v>
      </c>
      <c r="H147" s="5" t="s">
        <v>944</v>
      </c>
      <c r="I147" s="5" t="s">
        <v>944</v>
      </c>
    </row>
    <row r="148" ht="15.75" customHeight="1">
      <c r="A148" s="5" t="s">
        <v>682</v>
      </c>
      <c r="B148" s="5" t="s">
        <v>691</v>
      </c>
      <c r="C148" s="5" t="s">
        <v>692</v>
      </c>
      <c r="D148" s="5" t="s">
        <v>944</v>
      </c>
      <c r="E148" s="5" t="s">
        <v>944</v>
      </c>
      <c r="F148" s="5" t="s">
        <v>2040</v>
      </c>
      <c r="G148" s="5" t="s">
        <v>2021</v>
      </c>
      <c r="H148" s="5" t="s">
        <v>944</v>
      </c>
      <c r="I148" s="5" t="s">
        <v>944</v>
      </c>
    </row>
    <row r="149" ht="15.75" customHeight="1">
      <c r="A149" s="5" t="s">
        <v>682</v>
      </c>
      <c r="B149" s="5" t="s">
        <v>699</v>
      </c>
      <c r="C149" s="5" t="s">
        <v>700</v>
      </c>
      <c r="D149" s="5" t="s">
        <v>944</v>
      </c>
      <c r="E149" s="5" t="s">
        <v>944</v>
      </c>
      <c r="F149" s="5" t="s">
        <v>2062</v>
      </c>
      <c r="G149" s="5" t="s">
        <v>1972</v>
      </c>
      <c r="H149" s="5" t="s">
        <v>944</v>
      </c>
      <c r="I149" s="5" t="s">
        <v>944</v>
      </c>
    </row>
    <row r="150" ht="15.75" customHeight="1">
      <c r="A150" s="5" t="s">
        <v>682</v>
      </c>
      <c r="B150" s="5" t="s">
        <v>699</v>
      </c>
      <c r="C150" s="5" t="s">
        <v>700</v>
      </c>
      <c r="D150" s="5" t="s">
        <v>944</v>
      </c>
      <c r="E150" s="5" t="s">
        <v>944</v>
      </c>
      <c r="F150" s="5" t="s">
        <v>2091</v>
      </c>
      <c r="G150" s="5" t="s">
        <v>2092</v>
      </c>
      <c r="H150" s="5" t="s">
        <v>1560</v>
      </c>
      <c r="J150" s="5" t="s">
        <v>2093</v>
      </c>
    </row>
    <row r="151" ht="15.75" customHeight="1">
      <c r="A151" s="5" t="s">
        <v>682</v>
      </c>
      <c r="B151" s="5" t="s">
        <v>699</v>
      </c>
      <c r="C151" s="5" t="s">
        <v>700</v>
      </c>
      <c r="D151" s="5" t="s">
        <v>944</v>
      </c>
      <c r="E151" s="5" t="s">
        <v>944</v>
      </c>
      <c r="F151" s="5" t="s">
        <v>2062</v>
      </c>
      <c r="G151" s="5" t="s">
        <v>2051</v>
      </c>
      <c r="H151" s="5" t="s">
        <v>944</v>
      </c>
      <c r="I151" s="5" t="s">
        <v>944</v>
      </c>
    </row>
    <row r="152" ht="15.75" customHeight="1">
      <c r="A152" s="5" t="s">
        <v>682</v>
      </c>
      <c r="B152" s="5" t="s">
        <v>707</v>
      </c>
      <c r="C152" s="5" t="s">
        <v>708</v>
      </c>
      <c r="D152" s="5" t="s">
        <v>944</v>
      </c>
      <c r="E152" s="5" t="s">
        <v>944</v>
      </c>
      <c r="F152" s="5" t="s">
        <v>2094</v>
      </c>
      <c r="G152" s="5" t="s">
        <v>1971</v>
      </c>
      <c r="H152" s="5" t="s">
        <v>944</v>
      </c>
      <c r="I152" s="5" t="s">
        <v>944</v>
      </c>
    </row>
    <row r="153" ht="15.75" customHeight="1">
      <c r="A153" s="5" t="s">
        <v>682</v>
      </c>
      <c r="B153" s="5" t="s">
        <v>707</v>
      </c>
      <c r="C153" s="5" t="s">
        <v>708</v>
      </c>
      <c r="D153" s="5" t="s">
        <v>944</v>
      </c>
      <c r="E153" s="5" t="s">
        <v>944</v>
      </c>
      <c r="F153" s="5" t="s">
        <v>2094</v>
      </c>
      <c r="G153" s="5" t="s">
        <v>1548</v>
      </c>
      <c r="H153" s="5" t="s">
        <v>944</v>
      </c>
      <c r="I153" s="5" t="s">
        <v>944</v>
      </c>
    </row>
    <row r="154" ht="15.75" customHeight="1">
      <c r="A154" s="5" t="s">
        <v>682</v>
      </c>
      <c r="B154" s="5" t="s">
        <v>715</v>
      </c>
      <c r="C154" s="5" t="s">
        <v>716</v>
      </c>
      <c r="D154" s="5" t="s">
        <v>944</v>
      </c>
      <c r="E154" s="5" t="s">
        <v>944</v>
      </c>
      <c r="F154" s="5" t="s">
        <v>2011</v>
      </c>
      <c r="G154" s="5" t="s">
        <v>2095</v>
      </c>
      <c r="H154" s="5" t="s">
        <v>1560</v>
      </c>
      <c r="J154" s="5" t="s">
        <v>2096</v>
      </c>
    </row>
    <row r="155" ht="15.75" customHeight="1">
      <c r="A155" s="5" t="s">
        <v>682</v>
      </c>
      <c r="B155" s="5" t="s">
        <v>725</v>
      </c>
      <c r="C155" s="5" t="s">
        <v>726</v>
      </c>
      <c r="D155" s="5" t="s">
        <v>944</v>
      </c>
      <c r="E155" s="5" t="s">
        <v>944</v>
      </c>
      <c r="F155" s="5" t="s">
        <v>2097</v>
      </c>
      <c r="G155" s="5" t="s">
        <v>2098</v>
      </c>
      <c r="H155" s="5" t="s">
        <v>944</v>
      </c>
      <c r="I155" s="5" t="s">
        <v>944</v>
      </c>
      <c r="J155" s="5" t="s">
        <v>2099</v>
      </c>
    </row>
    <row r="156" ht="15.75" customHeight="1">
      <c r="A156" s="5" t="s">
        <v>682</v>
      </c>
      <c r="B156" s="5" t="s">
        <v>732</v>
      </c>
      <c r="C156" s="5" t="s">
        <v>733</v>
      </c>
      <c r="D156" s="5" t="s">
        <v>944</v>
      </c>
      <c r="E156" s="5" t="s">
        <v>944</v>
      </c>
      <c r="F156" s="5" t="s">
        <v>2049</v>
      </c>
      <c r="G156" s="5" t="s">
        <v>1852</v>
      </c>
      <c r="H156" s="5" t="s">
        <v>944</v>
      </c>
      <c r="I156" s="5" t="s">
        <v>944</v>
      </c>
    </row>
    <row r="157" ht="15.75" customHeight="1">
      <c r="A157" s="5" t="s">
        <v>682</v>
      </c>
      <c r="B157" s="5" t="s">
        <v>732</v>
      </c>
      <c r="C157" s="5" t="s">
        <v>733</v>
      </c>
      <c r="D157" s="5" t="s">
        <v>944</v>
      </c>
      <c r="E157" s="5" t="s">
        <v>944</v>
      </c>
      <c r="F157" s="5" t="s">
        <v>2049</v>
      </c>
      <c r="G157" s="5" t="s">
        <v>1971</v>
      </c>
      <c r="H157" s="5" t="s">
        <v>944</v>
      </c>
      <c r="I157" s="5" t="s">
        <v>944</v>
      </c>
    </row>
    <row r="158" ht="15.75" customHeight="1">
      <c r="A158" s="5" t="s">
        <v>682</v>
      </c>
      <c r="B158" s="5" t="s">
        <v>732</v>
      </c>
      <c r="C158" s="5" t="s">
        <v>733</v>
      </c>
      <c r="D158" s="5" t="s">
        <v>944</v>
      </c>
      <c r="E158" s="5" t="s">
        <v>944</v>
      </c>
      <c r="F158" s="5" t="s">
        <v>2049</v>
      </c>
      <c r="G158" s="5" t="s">
        <v>2100</v>
      </c>
      <c r="H158" s="5" t="s">
        <v>944</v>
      </c>
      <c r="I158" s="5" t="s">
        <v>944</v>
      </c>
    </row>
    <row r="159" ht="15.75" customHeight="1">
      <c r="A159" s="5" t="s">
        <v>682</v>
      </c>
      <c r="B159" s="5" t="s">
        <v>739</v>
      </c>
      <c r="C159" s="5" t="s">
        <v>740</v>
      </c>
      <c r="D159" s="5" t="s">
        <v>944</v>
      </c>
      <c r="E159" s="5" t="s">
        <v>944</v>
      </c>
      <c r="F159" s="5" t="s">
        <v>2009</v>
      </c>
      <c r="G159" s="5" t="s">
        <v>1968</v>
      </c>
      <c r="H159" s="5" t="s">
        <v>944</v>
      </c>
      <c r="I159" s="5" t="s">
        <v>944</v>
      </c>
    </row>
    <row r="160" ht="15.75" customHeight="1">
      <c r="A160" s="5" t="s">
        <v>682</v>
      </c>
      <c r="B160" s="5" t="s">
        <v>739</v>
      </c>
      <c r="C160" s="5" t="s">
        <v>740</v>
      </c>
      <c r="D160" s="5" t="s">
        <v>944</v>
      </c>
      <c r="E160" s="5" t="s">
        <v>944</v>
      </c>
      <c r="F160" s="5" t="s">
        <v>2009</v>
      </c>
      <c r="G160" s="5" t="s">
        <v>1967</v>
      </c>
      <c r="H160" s="5" t="s">
        <v>944</v>
      </c>
      <c r="I160" s="5" t="s">
        <v>944</v>
      </c>
    </row>
    <row r="161" ht="15.75" customHeight="1">
      <c r="A161" s="5" t="s">
        <v>682</v>
      </c>
      <c r="B161" s="5" t="s">
        <v>749</v>
      </c>
      <c r="C161" s="5" t="s">
        <v>750</v>
      </c>
      <c r="D161" s="5" t="s">
        <v>944</v>
      </c>
      <c r="E161" s="5" t="s">
        <v>944</v>
      </c>
      <c r="F161" s="5" t="s">
        <v>2040</v>
      </c>
      <c r="G161" s="5" t="s">
        <v>2033</v>
      </c>
      <c r="H161" s="5" t="s">
        <v>944</v>
      </c>
      <c r="I161" s="5" t="s">
        <v>944</v>
      </c>
    </row>
    <row r="162" ht="15.75" customHeight="1">
      <c r="A162" s="5" t="s">
        <v>682</v>
      </c>
      <c r="B162" s="5" t="s">
        <v>749</v>
      </c>
      <c r="C162" s="5" t="s">
        <v>750</v>
      </c>
      <c r="D162" s="5" t="s">
        <v>944</v>
      </c>
      <c r="E162" s="5" t="s">
        <v>944</v>
      </c>
      <c r="F162" s="5" t="s">
        <v>2040</v>
      </c>
      <c r="G162" s="5" t="s">
        <v>2021</v>
      </c>
      <c r="H162" s="5" t="s">
        <v>944</v>
      </c>
      <c r="I162" s="5" t="s">
        <v>944</v>
      </c>
    </row>
    <row r="163" ht="15.75" customHeight="1">
      <c r="A163" s="5" t="s">
        <v>682</v>
      </c>
      <c r="B163" s="5" t="s">
        <v>757</v>
      </c>
      <c r="C163" s="5" t="s">
        <v>758</v>
      </c>
      <c r="D163" s="5" t="s">
        <v>944</v>
      </c>
      <c r="E163" s="5" t="s">
        <v>944</v>
      </c>
      <c r="F163" s="5" t="s">
        <v>2094</v>
      </c>
      <c r="G163" s="5" t="s">
        <v>2101</v>
      </c>
      <c r="H163" s="5" t="s">
        <v>1560</v>
      </c>
    </row>
    <row r="164" ht="15.75" customHeight="1">
      <c r="A164" s="5" t="s">
        <v>682</v>
      </c>
      <c r="B164" s="5" t="s">
        <v>765</v>
      </c>
      <c r="C164" s="5" t="s">
        <v>766</v>
      </c>
      <c r="D164" s="5" t="s">
        <v>944</v>
      </c>
      <c r="E164" s="5" t="s">
        <v>944</v>
      </c>
      <c r="F164" s="5" t="s">
        <v>1741</v>
      </c>
      <c r="G164" s="5" t="s">
        <v>2020</v>
      </c>
      <c r="H164" s="5" t="s">
        <v>944</v>
      </c>
      <c r="I164" s="5" t="s">
        <v>944</v>
      </c>
    </row>
    <row r="165" ht="15.75" customHeight="1">
      <c r="A165" s="5" t="s">
        <v>682</v>
      </c>
      <c r="B165" s="5" t="s">
        <v>765</v>
      </c>
      <c r="C165" s="5" t="s">
        <v>766</v>
      </c>
      <c r="D165" s="5" t="s">
        <v>944</v>
      </c>
      <c r="E165" s="5" t="s">
        <v>944</v>
      </c>
      <c r="F165" s="5" t="s">
        <v>1741</v>
      </c>
      <c r="G165" s="5" t="s">
        <v>2102</v>
      </c>
      <c r="H165" s="5" t="s">
        <v>944</v>
      </c>
      <c r="I165" s="5" t="s">
        <v>944</v>
      </c>
    </row>
    <row r="166" ht="15.75" customHeight="1">
      <c r="A166" s="5" t="s">
        <v>682</v>
      </c>
      <c r="B166" s="5" t="s">
        <v>773</v>
      </c>
      <c r="C166" s="5" t="s">
        <v>774</v>
      </c>
      <c r="D166" s="5" t="s">
        <v>944</v>
      </c>
      <c r="E166" s="5" t="s">
        <v>944</v>
      </c>
      <c r="F166" s="5" t="s">
        <v>2083</v>
      </c>
      <c r="G166" s="5" t="s">
        <v>1968</v>
      </c>
      <c r="H166" s="5" t="s">
        <v>944</v>
      </c>
      <c r="I166" s="5" t="s">
        <v>944</v>
      </c>
    </row>
    <row r="167" ht="15.75" customHeight="1">
      <c r="A167" s="5" t="s">
        <v>682</v>
      </c>
      <c r="B167" s="5" t="s">
        <v>773</v>
      </c>
      <c r="C167" s="5" t="s">
        <v>774</v>
      </c>
      <c r="D167" s="5" t="s">
        <v>944</v>
      </c>
      <c r="E167" s="5" t="s">
        <v>944</v>
      </c>
      <c r="F167" s="5" t="s">
        <v>2083</v>
      </c>
      <c r="G167" s="5" t="s">
        <v>1967</v>
      </c>
      <c r="H167" s="5" t="s">
        <v>944</v>
      </c>
      <c r="I167" s="5" t="s">
        <v>944</v>
      </c>
    </row>
    <row r="168" ht="15.75" customHeight="1">
      <c r="A168" s="5" t="s">
        <v>682</v>
      </c>
      <c r="B168" s="5" t="s">
        <v>782</v>
      </c>
      <c r="C168" s="5" t="s">
        <v>783</v>
      </c>
      <c r="D168" s="5" t="s">
        <v>944</v>
      </c>
      <c r="E168" s="5" t="s">
        <v>944</v>
      </c>
      <c r="F168" s="5" t="s">
        <v>2005</v>
      </c>
      <c r="G168" s="5" t="s">
        <v>1852</v>
      </c>
      <c r="H168" s="5" t="s">
        <v>944</v>
      </c>
      <c r="I168" s="5" t="s">
        <v>944</v>
      </c>
    </row>
    <row r="169" ht="15.75" customHeight="1">
      <c r="A169" s="5" t="s">
        <v>682</v>
      </c>
      <c r="B169" s="5" t="s">
        <v>782</v>
      </c>
      <c r="C169" s="5" t="s">
        <v>783</v>
      </c>
      <c r="D169" s="5" t="s">
        <v>944</v>
      </c>
      <c r="E169" s="5" t="s">
        <v>944</v>
      </c>
      <c r="F169" s="5" t="s">
        <v>2005</v>
      </c>
      <c r="G169" s="5" t="s">
        <v>2103</v>
      </c>
      <c r="H169" s="5" t="s">
        <v>944</v>
      </c>
      <c r="I169" s="5" t="s">
        <v>944</v>
      </c>
    </row>
    <row r="170" ht="15.75" customHeight="1">
      <c r="A170" s="5" t="s">
        <v>682</v>
      </c>
      <c r="B170" s="5" t="s">
        <v>782</v>
      </c>
      <c r="C170" s="5" t="s">
        <v>783</v>
      </c>
      <c r="D170" s="5" t="s">
        <v>944</v>
      </c>
      <c r="E170" s="5" t="s">
        <v>944</v>
      </c>
      <c r="F170" s="5" t="s">
        <v>2005</v>
      </c>
      <c r="G170" s="5" t="s">
        <v>1992</v>
      </c>
      <c r="H170" s="5" t="s">
        <v>944</v>
      </c>
      <c r="I170" s="5" t="s">
        <v>944</v>
      </c>
    </row>
    <row r="171" ht="15.75" customHeight="1">
      <c r="A171" s="5" t="s">
        <v>682</v>
      </c>
      <c r="B171" s="5" t="s">
        <v>791</v>
      </c>
      <c r="C171" s="5" t="s">
        <v>792</v>
      </c>
      <c r="D171" s="5" t="s">
        <v>944</v>
      </c>
      <c r="E171" s="5" t="s">
        <v>944</v>
      </c>
      <c r="F171" s="5" t="s">
        <v>2104</v>
      </c>
      <c r="G171" s="5" t="s">
        <v>2105</v>
      </c>
      <c r="H171" s="5" t="s">
        <v>944</v>
      </c>
      <c r="I171" s="5" t="s">
        <v>944</v>
      </c>
    </row>
    <row r="172" ht="15.75" customHeight="1">
      <c r="A172" s="5" t="s">
        <v>682</v>
      </c>
      <c r="B172" s="5" t="s">
        <v>791</v>
      </c>
      <c r="C172" s="5" t="s">
        <v>792</v>
      </c>
      <c r="D172" s="5" t="s">
        <v>944</v>
      </c>
      <c r="E172" s="5" t="s">
        <v>944</v>
      </c>
      <c r="F172" s="5" t="s">
        <v>2104</v>
      </c>
      <c r="G172" s="5" t="s">
        <v>2106</v>
      </c>
      <c r="H172" s="5" t="s">
        <v>944</v>
      </c>
      <c r="I172" s="5" t="s">
        <v>944</v>
      </c>
    </row>
    <row r="173" ht="15.75" customHeight="1">
      <c r="A173" s="5" t="s">
        <v>801</v>
      </c>
      <c r="B173" s="5" t="s">
        <v>802</v>
      </c>
      <c r="C173" s="5" t="s">
        <v>803</v>
      </c>
      <c r="D173" s="5" t="s">
        <v>944</v>
      </c>
      <c r="E173" s="5" t="s">
        <v>944</v>
      </c>
      <c r="F173" s="5" t="s">
        <v>2107</v>
      </c>
      <c r="G173" s="5" t="s">
        <v>1971</v>
      </c>
      <c r="H173" s="5" t="s">
        <v>944</v>
      </c>
      <c r="I173" s="5" t="s">
        <v>944</v>
      </c>
    </row>
    <row r="174" ht="15.75" customHeight="1">
      <c r="A174" s="5" t="s">
        <v>801</v>
      </c>
      <c r="B174" s="5" t="s">
        <v>810</v>
      </c>
      <c r="C174" s="5" t="s">
        <v>811</v>
      </c>
      <c r="D174" s="5" t="s">
        <v>944</v>
      </c>
      <c r="E174" s="5" t="s">
        <v>944</v>
      </c>
      <c r="F174" s="5" t="s">
        <v>1974</v>
      </c>
      <c r="G174" s="5" t="s">
        <v>1852</v>
      </c>
      <c r="H174" s="5" t="s">
        <v>944</v>
      </c>
      <c r="I174" s="5" t="s">
        <v>944</v>
      </c>
    </row>
    <row r="175" ht="15.75" customHeight="1">
      <c r="A175" s="5" t="s">
        <v>801</v>
      </c>
      <c r="B175" s="5" t="s">
        <v>810</v>
      </c>
      <c r="C175" s="5" t="s">
        <v>811</v>
      </c>
      <c r="D175" s="5" t="s">
        <v>944</v>
      </c>
      <c r="E175" s="5" t="s">
        <v>944</v>
      </c>
      <c r="F175" s="5" t="s">
        <v>1974</v>
      </c>
      <c r="G175" s="5" t="s">
        <v>1971</v>
      </c>
      <c r="H175" s="5" t="s">
        <v>944</v>
      </c>
      <c r="I175" s="5" t="s">
        <v>944</v>
      </c>
    </row>
    <row r="176" ht="15.75" customHeight="1">
      <c r="A176" s="5" t="s">
        <v>801</v>
      </c>
      <c r="B176" s="5" t="s">
        <v>810</v>
      </c>
      <c r="C176" s="5" t="s">
        <v>811</v>
      </c>
      <c r="D176" s="5" t="s">
        <v>944</v>
      </c>
      <c r="E176" s="5" t="s">
        <v>944</v>
      </c>
      <c r="F176" s="5" t="s">
        <v>1976</v>
      </c>
      <c r="G176" s="5" t="s">
        <v>1977</v>
      </c>
      <c r="H176" s="5" t="s">
        <v>944</v>
      </c>
      <c r="I176" s="5" t="s">
        <v>944</v>
      </c>
    </row>
    <row r="177" ht="15.75" customHeight="1">
      <c r="A177" s="5" t="s">
        <v>801</v>
      </c>
      <c r="B177" s="5" t="s">
        <v>810</v>
      </c>
      <c r="C177" s="5" t="s">
        <v>811</v>
      </c>
      <c r="D177" s="5" t="s">
        <v>944</v>
      </c>
      <c r="E177" s="5" t="s">
        <v>944</v>
      </c>
      <c r="F177" s="5" t="s">
        <v>1976</v>
      </c>
      <c r="G177" s="5" t="s">
        <v>1978</v>
      </c>
      <c r="H177" s="5" t="s">
        <v>944</v>
      </c>
      <c r="I177" s="5" t="s">
        <v>944</v>
      </c>
    </row>
    <row r="178" ht="15.75" customHeight="1">
      <c r="A178" s="5" t="s">
        <v>801</v>
      </c>
      <c r="B178" s="5" t="s">
        <v>818</v>
      </c>
      <c r="C178" s="5" t="s">
        <v>819</v>
      </c>
      <c r="D178" s="5" t="s">
        <v>944</v>
      </c>
      <c r="E178" s="5" t="s">
        <v>944</v>
      </c>
      <c r="F178" s="5" t="s">
        <v>2108</v>
      </c>
      <c r="G178" s="5" t="s">
        <v>1965</v>
      </c>
      <c r="H178" s="5" t="s">
        <v>944</v>
      </c>
      <c r="I178" s="5" t="s">
        <v>944</v>
      </c>
    </row>
    <row r="179" ht="15.75" customHeight="1">
      <c r="A179" s="5" t="s">
        <v>801</v>
      </c>
      <c r="B179" s="5" t="s">
        <v>826</v>
      </c>
      <c r="C179" s="5" t="s">
        <v>827</v>
      </c>
      <c r="D179" s="5" t="s">
        <v>944</v>
      </c>
      <c r="E179" s="5" t="s">
        <v>944</v>
      </c>
      <c r="F179" s="5" t="s">
        <v>2011</v>
      </c>
      <c r="G179" s="5" t="s">
        <v>2109</v>
      </c>
      <c r="H179" s="5" t="s">
        <v>944</v>
      </c>
      <c r="I179" s="5" t="s">
        <v>944</v>
      </c>
    </row>
    <row r="180" ht="15.75" customHeight="1">
      <c r="A180" s="5" t="s">
        <v>801</v>
      </c>
      <c r="B180" s="5" t="s">
        <v>826</v>
      </c>
      <c r="C180" s="5" t="s">
        <v>827</v>
      </c>
      <c r="D180" s="5" t="s">
        <v>944</v>
      </c>
      <c r="E180" s="5" t="s">
        <v>944</v>
      </c>
      <c r="F180" s="5" t="s">
        <v>2065</v>
      </c>
      <c r="G180" s="5" t="s">
        <v>2110</v>
      </c>
      <c r="H180" s="5" t="s">
        <v>944</v>
      </c>
      <c r="I180" s="5" t="s">
        <v>944</v>
      </c>
    </row>
    <row r="181" ht="15.75" customHeight="1">
      <c r="A181" s="5" t="s">
        <v>801</v>
      </c>
      <c r="B181" s="5" t="s">
        <v>836</v>
      </c>
      <c r="C181" s="5" t="s">
        <v>837</v>
      </c>
      <c r="D181" s="5" t="s">
        <v>1560</v>
      </c>
    </row>
    <row r="182" ht="15.75" customHeight="1">
      <c r="A182" s="5" t="s">
        <v>801</v>
      </c>
      <c r="B182" s="5" t="s">
        <v>844</v>
      </c>
      <c r="C182" s="5" t="s">
        <v>845</v>
      </c>
      <c r="D182" s="5" t="s">
        <v>1560</v>
      </c>
    </row>
    <row r="183" ht="15.75" customHeight="1">
      <c r="A183" s="5" t="s">
        <v>801</v>
      </c>
      <c r="B183" s="5" t="s">
        <v>853</v>
      </c>
      <c r="C183" s="5" t="s">
        <v>854</v>
      </c>
      <c r="D183" s="5" t="s">
        <v>944</v>
      </c>
      <c r="E183" s="5" t="s">
        <v>944</v>
      </c>
      <c r="F183" s="5" t="s">
        <v>2062</v>
      </c>
      <c r="G183" s="5" t="s">
        <v>2111</v>
      </c>
      <c r="H183" s="5" t="s">
        <v>944</v>
      </c>
      <c r="I183" s="5" t="s">
        <v>944</v>
      </c>
    </row>
    <row r="184" ht="15.75" customHeight="1">
      <c r="A184" s="5" t="s">
        <v>801</v>
      </c>
      <c r="B184" s="5" t="s">
        <v>853</v>
      </c>
      <c r="C184" s="5" t="s">
        <v>854</v>
      </c>
      <c r="D184" s="5" t="s">
        <v>944</v>
      </c>
      <c r="E184" s="5" t="s">
        <v>944</v>
      </c>
      <c r="F184" s="5" t="s">
        <v>1995</v>
      </c>
      <c r="G184" s="5" t="s">
        <v>1852</v>
      </c>
      <c r="H184" s="5" t="s">
        <v>944</v>
      </c>
      <c r="I184" s="5" t="s">
        <v>944</v>
      </c>
    </row>
    <row r="185" ht="15.75" customHeight="1">
      <c r="A185" s="5" t="s">
        <v>801</v>
      </c>
      <c r="B185" s="5" t="s">
        <v>853</v>
      </c>
      <c r="C185" s="5" t="s">
        <v>854</v>
      </c>
      <c r="D185" s="5" t="s">
        <v>944</v>
      </c>
      <c r="E185" s="5" t="s">
        <v>944</v>
      </c>
      <c r="F185" s="5" t="s">
        <v>1995</v>
      </c>
      <c r="G185" s="5" t="s">
        <v>1971</v>
      </c>
      <c r="H185" s="5" t="s">
        <v>944</v>
      </c>
      <c r="I185" s="5" t="s">
        <v>944</v>
      </c>
    </row>
    <row r="186" ht="15.75" customHeight="1">
      <c r="A186" s="5" t="s">
        <v>801</v>
      </c>
      <c r="B186" s="5" t="s">
        <v>853</v>
      </c>
      <c r="C186" s="5" t="s">
        <v>854</v>
      </c>
      <c r="D186" s="5" t="s">
        <v>944</v>
      </c>
      <c r="E186" s="5" t="s">
        <v>944</v>
      </c>
      <c r="F186" s="5" t="s">
        <v>2062</v>
      </c>
      <c r="G186" s="5" t="s">
        <v>2112</v>
      </c>
      <c r="H186" s="5" t="s">
        <v>944</v>
      </c>
      <c r="I186" s="5" t="s">
        <v>944</v>
      </c>
    </row>
    <row r="187" ht="15.75" customHeight="1">
      <c r="A187" s="5" t="s">
        <v>801</v>
      </c>
      <c r="B187" s="5" t="s">
        <v>860</v>
      </c>
      <c r="C187" s="5" t="s">
        <v>861</v>
      </c>
      <c r="D187" s="5" t="s">
        <v>944</v>
      </c>
      <c r="E187" s="5" t="s">
        <v>944</v>
      </c>
      <c r="F187" s="5" t="s">
        <v>1165</v>
      </c>
      <c r="G187" s="5" t="s">
        <v>1971</v>
      </c>
      <c r="H187" s="5" t="s">
        <v>944</v>
      </c>
      <c r="I187" s="5" t="s">
        <v>944</v>
      </c>
    </row>
    <row r="188" ht="15.75" customHeight="1">
      <c r="A188" s="5" t="s">
        <v>801</v>
      </c>
      <c r="B188" s="5" t="s">
        <v>860</v>
      </c>
      <c r="C188" s="5" t="s">
        <v>861</v>
      </c>
      <c r="D188" s="5" t="s">
        <v>944</v>
      </c>
      <c r="E188" s="5" t="s">
        <v>944</v>
      </c>
      <c r="F188" s="5" t="s">
        <v>1165</v>
      </c>
      <c r="G188" s="5" t="s">
        <v>1548</v>
      </c>
      <c r="H188" s="5" t="s">
        <v>944</v>
      </c>
      <c r="I188" s="5" t="s">
        <v>944</v>
      </c>
    </row>
    <row r="189" ht="15.75" customHeight="1">
      <c r="A189" s="5" t="s">
        <v>801</v>
      </c>
      <c r="B189" s="5" t="s">
        <v>867</v>
      </c>
      <c r="C189" s="5" t="s">
        <v>868</v>
      </c>
      <c r="D189" s="5" t="s">
        <v>944</v>
      </c>
      <c r="E189" s="5" t="s">
        <v>944</v>
      </c>
      <c r="F189" s="5" t="s">
        <v>2011</v>
      </c>
      <c r="G189" s="5" t="s">
        <v>1852</v>
      </c>
      <c r="H189" s="5" t="s">
        <v>944</v>
      </c>
      <c r="I189" s="5" t="s">
        <v>944</v>
      </c>
    </row>
    <row r="190" ht="15.75" customHeight="1">
      <c r="A190" s="5" t="s">
        <v>801</v>
      </c>
      <c r="B190" s="5" t="s">
        <v>867</v>
      </c>
      <c r="C190" s="5" t="s">
        <v>868</v>
      </c>
      <c r="D190" s="5" t="s">
        <v>944</v>
      </c>
      <c r="E190" s="5" t="s">
        <v>944</v>
      </c>
      <c r="F190" s="5" t="s">
        <v>2011</v>
      </c>
      <c r="G190" s="5" t="s">
        <v>1992</v>
      </c>
      <c r="H190" s="5" t="s">
        <v>944</v>
      </c>
      <c r="I190" s="5" t="s">
        <v>944</v>
      </c>
    </row>
    <row r="191" ht="15.75" customHeight="1">
      <c r="A191" s="5" t="s">
        <v>801</v>
      </c>
      <c r="B191" s="5" t="s">
        <v>875</v>
      </c>
      <c r="C191" s="5" t="s">
        <v>876</v>
      </c>
      <c r="D191" s="5" t="s">
        <v>944</v>
      </c>
      <c r="E191" s="5" t="s">
        <v>944</v>
      </c>
      <c r="F191" s="5" t="s">
        <v>2104</v>
      </c>
      <c r="G191" s="5" t="s">
        <v>2105</v>
      </c>
      <c r="H191" s="5" t="s">
        <v>944</v>
      </c>
      <c r="I191" s="5" t="s">
        <v>944</v>
      </c>
    </row>
    <row r="192" ht="15.75" customHeight="1">
      <c r="A192" s="5" t="s">
        <v>801</v>
      </c>
      <c r="B192" s="5" t="s">
        <v>875</v>
      </c>
      <c r="C192" s="5" t="s">
        <v>876</v>
      </c>
      <c r="D192" s="5" t="s">
        <v>944</v>
      </c>
      <c r="E192" s="5" t="s">
        <v>944</v>
      </c>
      <c r="F192" s="5" t="s">
        <v>2104</v>
      </c>
      <c r="G192" s="5" t="s">
        <v>2106</v>
      </c>
      <c r="H192" s="5" t="s">
        <v>944</v>
      </c>
      <c r="I192" s="5" t="s">
        <v>944</v>
      </c>
    </row>
    <row r="193" ht="15.75" customHeight="1">
      <c r="A193" s="5" t="s">
        <v>801</v>
      </c>
      <c r="B193" s="5" t="s">
        <v>883</v>
      </c>
      <c r="C193" s="5" t="s">
        <v>884</v>
      </c>
      <c r="D193" s="5" t="s">
        <v>944</v>
      </c>
      <c r="E193" s="5" t="s">
        <v>944</v>
      </c>
      <c r="F193" s="5" t="s">
        <v>1165</v>
      </c>
      <c r="G193" s="5" t="s">
        <v>1971</v>
      </c>
      <c r="H193" s="5" t="s">
        <v>944</v>
      </c>
      <c r="I193" s="5" t="s">
        <v>944</v>
      </c>
    </row>
    <row r="194" ht="15.75" customHeight="1">
      <c r="A194" s="5" t="s">
        <v>801</v>
      </c>
      <c r="B194" s="5" t="s">
        <v>883</v>
      </c>
      <c r="C194" s="5" t="s">
        <v>884</v>
      </c>
      <c r="D194" s="5" t="s">
        <v>944</v>
      </c>
      <c r="E194" s="5" t="s">
        <v>944</v>
      </c>
      <c r="F194" s="5" t="s">
        <v>1165</v>
      </c>
      <c r="G194" s="5" t="s">
        <v>1852</v>
      </c>
      <c r="H194" s="5" t="s">
        <v>944</v>
      </c>
      <c r="I194" s="5" t="s">
        <v>944</v>
      </c>
    </row>
    <row r="195" ht="15.75" customHeight="1">
      <c r="A195" s="5" t="s">
        <v>801</v>
      </c>
      <c r="B195" s="5" t="s">
        <v>890</v>
      </c>
      <c r="C195" s="5" t="s">
        <v>891</v>
      </c>
      <c r="D195" s="5" t="s">
        <v>944</v>
      </c>
      <c r="E195" s="5" t="s">
        <v>944</v>
      </c>
      <c r="F195" s="5" t="s">
        <v>2113</v>
      </c>
      <c r="G195" s="5" t="s">
        <v>2114</v>
      </c>
      <c r="H195" s="5" t="s">
        <v>944</v>
      </c>
      <c r="I195" s="5" t="s">
        <v>944</v>
      </c>
      <c r="J195" s="5" t="s">
        <v>2115</v>
      </c>
    </row>
    <row r="196" ht="15.75" customHeight="1">
      <c r="A196" s="5" t="s">
        <v>801</v>
      </c>
      <c r="B196" s="5" t="s">
        <v>890</v>
      </c>
      <c r="C196" s="5" t="s">
        <v>891</v>
      </c>
      <c r="D196" s="5" t="s">
        <v>944</v>
      </c>
      <c r="E196" s="5" t="s">
        <v>944</v>
      </c>
      <c r="F196" s="5" t="s">
        <v>2113</v>
      </c>
      <c r="G196" s="5" t="s">
        <v>2114</v>
      </c>
      <c r="H196" s="5" t="s">
        <v>944</v>
      </c>
      <c r="I196" s="5" t="s">
        <v>944</v>
      </c>
      <c r="J196" s="5" t="s">
        <v>2115</v>
      </c>
    </row>
    <row r="197" ht="15.75" customHeight="1">
      <c r="A197" s="5" t="s">
        <v>801</v>
      </c>
      <c r="B197" s="5" t="s">
        <v>898</v>
      </c>
      <c r="C197" s="5" t="s">
        <v>899</v>
      </c>
      <c r="D197" s="5" t="s">
        <v>944</v>
      </c>
      <c r="E197" s="5" t="s">
        <v>944</v>
      </c>
      <c r="F197" s="5" t="s">
        <v>2091</v>
      </c>
      <c r="G197" s="5" t="s">
        <v>1950</v>
      </c>
      <c r="H197" s="5" t="s">
        <v>1560</v>
      </c>
      <c r="J197" s="5" t="s">
        <v>2116</v>
      </c>
    </row>
    <row r="198" ht="15.75" customHeight="1">
      <c r="A198" s="5" t="s">
        <v>801</v>
      </c>
      <c r="B198" s="5" t="s">
        <v>906</v>
      </c>
      <c r="C198" s="5" t="s">
        <v>907</v>
      </c>
      <c r="D198" s="5" t="s">
        <v>944</v>
      </c>
      <c r="E198" s="5" t="s">
        <v>944</v>
      </c>
      <c r="F198" s="5" t="s">
        <v>1984</v>
      </c>
      <c r="G198" s="5" t="s">
        <v>2117</v>
      </c>
      <c r="H198" s="5" t="s">
        <v>944</v>
      </c>
      <c r="I198" s="5" t="s">
        <v>944</v>
      </c>
    </row>
    <row r="199" ht="15.75" customHeight="1">
      <c r="A199" s="5" t="s">
        <v>801</v>
      </c>
      <c r="B199" s="5" t="s">
        <v>906</v>
      </c>
      <c r="C199" s="5" t="s">
        <v>907</v>
      </c>
      <c r="D199" s="5" t="s">
        <v>944</v>
      </c>
      <c r="E199" s="5" t="s">
        <v>944</v>
      </c>
      <c r="F199" s="5" t="s">
        <v>1984</v>
      </c>
      <c r="G199" s="5" t="s">
        <v>2118</v>
      </c>
      <c r="H199" s="5" t="s">
        <v>944</v>
      </c>
      <c r="I199" s="5" t="s">
        <v>944</v>
      </c>
    </row>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1000"/>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10.0"/>
    <col customWidth="1" min="6" max="6" width="12.86"/>
    <col customWidth="1" min="7" max="7" width="13.71"/>
    <col customWidth="1" min="8" max="26" width="8.71"/>
  </cols>
  <sheetData>
    <row r="1">
      <c r="A1" s="1" t="s">
        <v>0</v>
      </c>
      <c r="B1" s="1" t="s">
        <v>1</v>
      </c>
      <c r="C1" s="1" t="s">
        <v>2</v>
      </c>
      <c r="D1" s="1" t="s">
        <v>2119</v>
      </c>
      <c r="E1" s="1" t="s">
        <v>2120</v>
      </c>
      <c r="F1" s="1" t="s">
        <v>1905</v>
      </c>
      <c r="G1" s="1" t="s">
        <v>2121</v>
      </c>
      <c r="H1" s="1" t="s">
        <v>1907</v>
      </c>
      <c r="I1" s="1" t="s">
        <v>1965</v>
      </c>
      <c r="J1" s="1" t="s">
        <v>2122</v>
      </c>
      <c r="K1" s="1" t="s">
        <v>2123</v>
      </c>
      <c r="L1" s="1" t="s">
        <v>2124</v>
      </c>
      <c r="M1" s="1" t="s">
        <v>16</v>
      </c>
    </row>
    <row r="2" hidden="1">
      <c r="A2" s="5" t="s">
        <v>26</v>
      </c>
      <c r="B2" s="5" t="s">
        <v>27</v>
      </c>
      <c r="C2" s="5" t="s">
        <v>28</v>
      </c>
      <c r="D2" s="5" t="s">
        <v>944</v>
      </c>
      <c r="E2" s="5" t="s">
        <v>944</v>
      </c>
      <c r="F2" s="5" t="s">
        <v>2125</v>
      </c>
      <c r="G2" s="5" t="s">
        <v>2126</v>
      </c>
      <c r="H2" s="5" t="s">
        <v>944</v>
      </c>
      <c r="I2" s="5" t="s">
        <v>944</v>
      </c>
      <c r="J2" s="5" t="s">
        <v>1560</v>
      </c>
      <c r="K2" s="5" t="s">
        <v>1560</v>
      </c>
      <c r="M2" s="5" t="s">
        <v>2127</v>
      </c>
    </row>
    <row r="3" hidden="1">
      <c r="A3" s="5" t="s">
        <v>26</v>
      </c>
      <c r="B3" s="5" t="s">
        <v>27</v>
      </c>
      <c r="C3" s="5" t="s">
        <v>28</v>
      </c>
      <c r="D3" s="5" t="s">
        <v>944</v>
      </c>
      <c r="E3" s="5" t="s">
        <v>944</v>
      </c>
      <c r="F3" s="5" t="s">
        <v>1966</v>
      </c>
      <c r="G3" s="5" t="s">
        <v>2128</v>
      </c>
      <c r="H3" s="5" t="s">
        <v>944</v>
      </c>
      <c r="I3" s="5" t="s">
        <v>944</v>
      </c>
      <c r="J3" s="5" t="s">
        <v>944</v>
      </c>
      <c r="L3" s="5" t="s">
        <v>1111</v>
      </c>
    </row>
    <row r="4">
      <c r="A4" s="5" t="s">
        <v>26</v>
      </c>
      <c r="B4" s="5" t="s">
        <v>27</v>
      </c>
      <c r="C4" s="5" t="s">
        <v>28</v>
      </c>
      <c r="D4" s="5" t="s">
        <v>944</v>
      </c>
      <c r="E4" s="5" t="s">
        <v>944</v>
      </c>
      <c r="F4" s="5" t="s">
        <v>1966</v>
      </c>
      <c r="G4" s="5" t="s">
        <v>2129</v>
      </c>
      <c r="H4" s="5" t="s">
        <v>944</v>
      </c>
      <c r="I4" s="5" t="s">
        <v>944</v>
      </c>
      <c r="K4" s="5" t="s">
        <v>944</v>
      </c>
      <c r="L4" s="5" t="s">
        <v>1145</v>
      </c>
    </row>
    <row r="5" hidden="1">
      <c r="A5" s="5" t="s">
        <v>26</v>
      </c>
      <c r="B5" s="5" t="s">
        <v>39</v>
      </c>
      <c r="C5" s="5" t="s">
        <v>40</v>
      </c>
      <c r="D5" s="5" t="s">
        <v>1560</v>
      </c>
    </row>
    <row r="6" hidden="1">
      <c r="A6" s="5" t="s">
        <v>26</v>
      </c>
      <c r="B6" s="5" t="s">
        <v>50</v>
      </c>
      <c r="C6" s="5" t="s">
        <v>51</v>
      </c>
      <c r="D6" s="5" t="s">
        <v>944</v>
      </c>
      <c r="E6" s="5" t="s">
        <v>944</v>
      </c>
      <c r="F6" s="5" t="s">
        <v>2036</v>
      </c>
      <c r="G6" s="5" t="s">
        <v>2130</v>
      </c>
      <c r="H6" s="5" t="s">
        <v>944</v>
      </c>
      <c r="I6" s="5" t="s">
        <v>944</v>
      </c>
      <c r="J6" s="5" t="s">
        <v>944</v>
      </c>
      <c r="L6" s="5" t="s">
        <v>950</v>
      </c>
    </row>
    <row r="7" hidden="1">
      <c r="A7" s="5" t="s">
        <v>26</v>
      </c>
      <c r="B7" s="5" t="s">
        <v>60</v>
      </c>
      <c r="C7" s="5" t="s">
        <v>61</v>
      </c>
      <c r="D7" s="5" t="s">
        <v>944</v>
      </c>
      <c r="E7" s="5" t="s">
        <v>944</v>
      </c>
      <c r="F7" s="5" t="s">
        <v>1979</v>
      </c>
      <c r="G7" s="5" t="s">
        <v>2131</v>
      </c>
      <c r="H7" s="5" t="s">
        <v>944</v>
      </c>
      <c r="I7" s="5" t="s">
        <v>944</v>
      </c>
      <c r="J7" s="5" t="s">
        <v>944</v>
      </c>
      <c r="L7" s="5" t="s">
        <v>968</v>
      </c>
    </row>
    <row r="8" hidden="1">
      <c r="A8" s="5" t="s">
        <v>26</v>
      </c>
      <c r="B8" s="5" t="s">
        <v>60</v>
      </c>
      <c r="C8" s="5" t="s">
        <v>61</v>
      </c>
      <c r="D8" s="5" t="s">
        <v>944</v>
      </c>
      <c r="E8" s="5" t="s">
        <v>944</v>
      </c>
      <c r="F8" s="5" t="s">
        <v>2132</v>
      </c>
      <c r="G8" s="5" t="s">
        <v>2133</v>
      </c>
      <c r="H8" s="5" t="s">
        <v>1560</v>
      </c>
      <c r="M8" s="5" t="s">
        <v>2134</v>
      </c>
    </row>
    <row r="9" hidden="1">
      <c r="A9" s="5" t="s">
        <v>26</v>
      </c>
      <c r="B9" s="5" t="s">
        <v>71</v>
      </c>
      <c r="C9" s="5" t="s">
        <v>72</v>
      </c>
      <c r="D9" s="5" t="s">
        <v>944</v>
      </c>
      <c r="E9" s="5" t="s">
        <v>944</v>
      </c>
      <c r="F9" s="5" t="s">
        <v>2036</v>
      </c>
      <c r="G9" s="5" t="s">
        <v>2135</v>
      </c>
      <c r="H9" s="5" t="s">
        <v>1560</v>
      </c>
    </row>
    <row r="10" hidden="1">
      <c r="A10" s="5" t="s">
        <v>26</v>
      </c>
      <c r="B10" s="5" t="s">
        <v>80</v>
      </c>
      <c r="C10" s="5" t="s">
        <v>81</v>
      </c>
      <c r="D10" s="5" t="s">
        <v>1560</v>
      </c>
    </row>
    <row r="11" hidden="1">
      <c r="A11" s="5" t="s">
        <v>26</v>
      </c>
      <c r="B11" s="5" t="s">
        <v>91</v>
      </c>
      <c r="C11" s="5" t="s">
        <v>92</v>
      </c>
      <c r="D11" s="5" t="s">
        <v>944</v>
      </c>
      <c r="E11" s="5" t="s">
        <v>944</v>
      </c>
      <c r="F11" s="5" t="s">
        <v>2136</v>
      </c>
      <c r="G11" s="5" t="s">
        <v>2137</v>
      </c>
      <c r="H11" s="5" t="s">
        <v>944</v>
      </c>
      <c r="I11" s="5" t="s">
        <v>1560</v>
      </c>
      <c r="M11" s="5" t="s">
        <v>2138</v>
      </c>
    </row>
    <row r="12" hidden="1">
      <c r="A12" s="5" t="s">
        <v>26</v>
      </c>
      <c r="B12" s="5" t="s">
        <v>100</v>
      </c>
      <c r="C12" s="5" t="s">
        <v>101</v>
      </c>
      <c r="D12" s="5" t="s">
        <v>944</v>
      </c>
      <c r="E12" s="5" t="s">
        <v>944</v>
      </c>
      <c r="F12" s="5" t="s">
        <v>2139</v>
      </c>
      <c r="G12" s="5" t="s">
        <v>2140</v>
      </c>
      <c r="H12" s="5" t="s">
        <v>1560</v>
      </c>
      <c r="M12" s="5" t="s">
        <v>2141</v>
      </c>
    </row>
    <row r="13" hidden="1">
      <c r="A13" s="5" t="s">
        <v>26</v>
      </c>
      <c r="B13" s="5" t="s">
        <v>110</v>
      </c>
      <c r="C13" s="5" t="s">
        <v>111</v>
      </c>
      <c r="D13" s="5" t="s">
        <v>1560</v>
      </c>
    </row>
    <row r="14" hidden="1">
      <c r="A14" s="5" t="s">
        <v>121</v>
      </c>
      <c r="B14" s="5" t="s">
        <v>122</v>
      </c>
      <c r="C14" s="5" t="s">
        <v>123</v>
      </c>
      <c r="D14" s="5" t="s">
        <v>944</v>
      </c>
      <c r="E14" s="5" t="s">
        <v>944</v>
      </c>
      <c r="F14" s="5" t="s">
        <v>1165</v>
      </c>
      <c r="G14" s="5" t="s">
        <v>2142</v>
      </c>
      <c r="H14" s="5" t="s">
        <v>944</v>
      </c>
      <c r="I14" s="5" t="s">
        <v>944</v>
      </c>
      <c r="J14" s="5" t="s">
        <v>944</v>
      </c>
      <c r="L14" s="5" t="s">
        <v>957</v>
      </c>
    </row>
    <row r="15" hidden="1">
      <c r="A15" s="5" t="s">
        <v>121</v>
      </c>
      <c r="B15" s="5" t="s">
        <v>133</v>
      </c>
      <c r="C15" s="5" t="s">
        <v>134</v>
      </c>
      <c r="D15" s="5" t="s">
        <v>1560</v>
      </c>
    </row>
    <row r="16" hidden="1">
      <c r="A16" s="5" t="s">
        <v>121</v>
      </c>
      <c r="B16" s="5" t="s">
        <v>142</v>
      </c>
      <c r="C16" s="5" t="s">
        <v>143</v>
      </c>
      <c r="D16" s="5" t="s">
        <v>944</v>
      </c>
      <c r="E16" s="5" t="s">
        <v>944</v>
      </c>
      <c r="F16" s="5" t="s">
        <v>2143</v>
      </c>
      <c r="G16" s="5" t="s">
        <v>2140</v>
      </c>
      <c r="H16" s="5" t="s">
        <v>1560</v>
      </c>
    </row>
    <row r="17" hidden="1">
      <c r="A17" s="5" t="s">
        <v>121</v>
      </c>
      <c r="B17" s="5" t="s">
        <v>153</v>
      </c>
      <c r="C17" s="5" t="s">
        <v>154</v>
      </c>
      <c r="D17" s="5" t="s">
        <v>944</v>
      </c>
      <c r="E17" s="5" t="s">
        <v>944</v>
      </c>
      <c r="F17" s="5" t="s">
        <v>2144</v>
      </c>
      <c r="G17" s="5" t="s">
        <v>2145</v>
      </c>
      <c r="H17" s="5" t="s">
        <v>944</v>
      </c>
      <c r="I17" s="5" t="s">
        <v>944</v>
      </c>
      <c r="J17" s="5" t="s">
        <v>944</v>
      </c>
      <c r="L17" s="5" t="s">
        <v>957</v>
      </c>
    </row>
    <row r="18" hidden="1">
      <c r="A18" s="5" t="s">
        <v>121</v>
      </c>
      <c r="B18" s="5" t="s">
        <v>161</v>
      </c>
      <c r="C18" s="5" t="s">
        <v>162</v>
      </c>
      <c r="D18" s="5" t="s">
        <v>944</v>
      </c>
      <c r="E18" s="5" t="s">
        <v>944</v>
      </c>
      <c r="F18" s="5" t="s">
        <v>1741</v>
      </c>
      <c r="G18" s="5" t="s">
        <v>2146</v>
      </c>
      <c r="H18" s="5" t="s">
        <v>944</v>
      </c>
      <c r="I18" s="5" t="s">
        <v>944</v>
      </c>
      <c r="J18" s="5" t="s">
        <v>1560</v>
      </c>
      <c r="K18" s="5" t="s">
        <v>1560</v>
      </c>
    </row>
    <row r="19" hidden="1">
      <c r="A19" s="5" t="s">
        <v>121</v>
      </c>
      <c r="B19" s="5" t="s">
        <v>161</v>
      </c>
      <c r="C19" s="5" t="s">
        <v>162</v>
      </c>
      <c r="D19" s="5" t="s">
        <v>944</v>
      </c>
      <c r="E19" s="5" t="s">
        <v>944</v>
      </c>
      <c r="F19" s="5" t="s">
        <v>2147</v>
      </c>
      <c r="G19" s="5" t="s">
        <v>2148</v>
      </c>
      <c r="H19" s="5" t="s">
        <v>944</v>
      </c>
      <c r="I19" s="5" t="s">
        <v>944</v>
      </c>
      <c r="J19" s="5" t="s">
        <v>1560</v>
      </c>
      <c r="K19" s="5" t="s">
        <v>1560</v>
      </c>
    </row>
    <row r="20" hidden="1">
      <c r="A20" s="5" t="s">
        <v>121</v>
      </c>
      <c r="B20" s="5" t="s">
        <v>170</v>
      </c>
      <c r="C20" s="5" t="s">
        <v>171</v>
      </c>
      <c r="D20" s="5" t="s">
        <v>944</v>
      </c>
      <c r="E20" s="5" t="s">
        <v>944</v>
      </c>
      <c r="F20" s="5" t="s">
        <v>2149</v>
      </c>
      <c r="G20" s="5" t="s">
        <v>2150</v>
      </c>
      <c r="H20" s="5" t="s">
        <v>944</v>
      </c>
      <c r="I20" s="5" t="s">
        <v>944</v>
      </c>
      <c r="J20" s="5" t="s">
        <v>944</v>
      </c>
      <c r="L20" s="5" t="s">
        <v>949</v>
      </c>
    </row>
    <row r="21" ht="15.75" hidden="1" customHeight="1">
      <c r="A21" s="5" t="s">
        <v>121</v>
      </c>
      <c r="B21" s="5" t="s">
        <v>180</v>
      </c>
      <c r="C21" s="5" t="s">
        <v>181</v>
      </c>
      <c r="D21" s="5" t="s">
        <v>1560</v>
      </c>
    </row>
    <row r="22" ht="15.75" hidden="1" customHeight="1">
      <c r="A22" s="5" t="s">
        <v>121</v>
      </c>
      <c r="B22" s="5" t="s">
        <v>190</v>
      </c>
      <c r="C22" s="5" t="s">
        <v>191</v>
      </c>
      <c r="D22" s="5" t="s">
        <v>1560</v>
      </c>
    </row>
    <row r="23" ht="15.75" hidden="1" customHeight="1">
      <c r="A23" s="5" t="s">
        <v>121</v>
      </c>
      <c r="B23" s="5" t="s">
        <v>201</v>
      </c>
      <c r="C23" s="5" t="s">
        <v>202</v>
      </c>
      <c r="D23" s="5" t="s">
        <v>1560</v>
      </c>
    </row>
    <row r="24" ht="15.75" hidden="1" customHeight="1">
      <c r="A24" s="5" t="s">
        <v>121</v>
      </c>
      <c r="B24" s="5" t="s">
        <v>211</v>
      </c>
      <c r="C24" s="5" t="s">
        <v>212</v>
      </c>
      <c r="D24" s="5" t="s">
        <v>944</v>
      </c>
      <c r="E24" s="5" t="s">
        <v>944</v>
      </c>
      <c r="F24" s="5" t="s">
        <v>2151</v>
      </c>
      <c r="G24" s="5" t="s">
        <v>2152</v>
      </c>
      <c r="H24" s="5" t="s">
        <v>944</v>
      </c>
      <c r="I24" s="5" t="s">
        <v>944</v>
      </c>
      <c r="J24" s="5" t="s">
        <v>1560</v>
      </c>
      <c r="K24" s="5" t="s">
        <v>1560</v>
      </c>
      <c r="M24" s="5" t="s">
        <v>2153</v>
      </c>
    </row>
    <row r="25" ht="15.75" hidden="1" customHeight="1">
      <c r="A25" s="5" t="s">
        <v>121</v>
      </c>
      <c r="B25" s="5" t="s">
        <v>219</v>
      </c>
      <c r="C25" s="5" t="s">
        <v>220</v>
      </c>
      <c r="D25" s="5" t="s">
        <v>1560</v>
      </c>
    </row>
    <row r="26" ht="15.75" hidden="1" customHeight="1">
      <c r="A26" s="5" t="s">
        <v>121</v>
      </c>
      <c r="B26" s="5" t="s">
        <v>227</v>
      </c>
      <c r="C26" s="5" t="s">
        <v>228</v>
      </c>
      <c r="D26" s="5" t="s">
        <v>944</v>
      </c>
      <c r="E26" s="5" t="s">
        <v>944</v>
      </c>
      <c r="F26" s="5" t="s">
        <v>1165</v>
      </c>
      <c r="G26" s="5" t="s">
        <v>2154</v>
      </c>
      <c r="H26" s="5" t="s">
        <v>944</v>
      </c>
      <c r="I26" s="5" t="s">
        <v>944</v>
      </c>
      <c r="J26" s="5" t="s">
        <v>944</v>
      </c>
      <c r="L26" s="5" t="s">
        <v>950</v>
      </c>
    </row>
    <row r="27" ht="15.75" hidden="1" customHeight="1">
      <c r="A27" s="5" t="s">
        <v>121</v>
      </c>
      <c r="B27" s="5" t="s">
        <v>236</v>
      </c>
      <c r="C27" s="5" t="s">
        <v>237</v>
      </c>
      <c r="D27" s="5" t="s">
        <v>1560</v>
      </c>
    </row>
    <row r="28" ht="15.75" hidden="1" customHeight="1">
      <c r="A28" s="5" t="s">
        <v>121</v>
      </c>
      <c r="B28" s="5" t="s">
        <v>244</v>
      </c>
      <c r="C28" s="5" t="s">
        <v>245</v>
      </c>
      <c r="D28" s="5" t="s">
        <v>1560</v>
      </c>
    </row>
    <row r="29" ht="15.75" hidden="1" customHeight="1">
      <c r="A29" s="5" t="s">
        <v>121</v>
      </c>
      <c r="B29" s="5" t="s">
        <v>253</v>
      </c>
      <c r="C29" s="5" t="s">
        <v>254</v>
      </c>
      <c r="D29" s="5" t="s">
        <v>1560</v>
      </c>
    </row>
    <row r="30" ht="15.75" hidden="1" customHeight="1">
      <c r="A30" s="5" t="s">
        <v>121</v>
      </c>
      <c r="B30" s="5" t="s">
        <v>261</v>
      </c>
      <c r="C30" s="5" t="s">
        <v>262</v>
      </c>
      <c r="D30" s="5" t="s">
        <v>1560</v>
      </c>
    </row>
    <row r="31" ht="15.75" hidden="1" customHeight="1">
      <c r="A31" s="5" t="s">
        <v>121</v>
      </c>
      <c r="B31" s="5" t="s">
        <v>270</v>
      </c>
      <c r="C31" s="5" t="s">
        <v>271</v>
      </c>
      <c r="D31" s="5" t="s">
        <v>944</v>
      </c>
      <c r="E31" s="5" t="s">
        <v>944</v>
      </c>
      <c r="F31" s="5" t="s">
        <v>2155</v>
      </c>
      <c r="G31" s="5" t="s">
        <v>2156</v>
      </c>
      <c r="H31" s="5" t="s">
        <v>944</v>
      </c>
      <c r="I31" s="5" t="s">
        <v>944</v>
      </c>
      <c r="J31" s="5" t="s">
        <v>944</v>
      </c>
      <c r="L31" s="5" t="s">
        <v>956</v>
      </c>
    </row>
    <row r="32" ht="15.75" hidden="1" customHeight="1">
      <c r="A32" s="5" t="s">
        <v>121</v>
      </c>
      <c r="B32" s="5" t="s">
        <v>279</v>
      </c>
      <c r="C32" s="5" t="s">
        <v>280</v>
      </c>
      <c r="D32" s="5" t="s">
        <v>944</v>
      </c>
      <c r="E32" s="5" t="s">
        <v>944</v>
      </c>
      <c r="F32" s="5" t="s">
        <v>2157</v>
      </c>
      <c r="G32" s="5" t="s">
        <v>2158</v>
      </c>
      <c r="H32" s="5" t="s">
        <v>944</v>
      </c>
      <c r="I32" s="5" t="s">
        <v>944</v>
      </c>
      <c r="J32" s="5" t="s">
        <v>944</v>
      </c>
      <c r="L32" s="5" t="s">
        <v>1111</v>
      </c>
      <c r="M32" s="5" t="s">
        <v>2159</v>
      </c>
    </row>
    <row r="33" ht="15.75" hidden="1" customHeight="1">
      <c r="A33" s="5" t="s">
        <v>121</v>
      </c>
      <c r="B33" s="5" t="s">
        <v>288</v>
      </c>
      <c r="C33" s="5" t="s">
        <v>289</v>
      </c>
      <c r="D33" s="5" t="s">
        <v>1560</v>
      </c>
      <c r="E33" s="5" t="s">
        <v>944</v>
      </c>
    </row>
    <row r="34" ht="15.75" hidden="1" customHeight="1">
      <c r="A34" s="5" t="s">
        <v>121</v>
      </c>
      <c r="B34" s="5" t="s">
        <v>296</v>
      </c>
      <c r="C34" s="5" t="s">
        <v>297</v>
      </c>
      <c r="D34" s="5" t="s">
        <v>1560</v>
      </c>
    </row>
    <row r="35" ht="15.75" hidden="1" customHeight="1">
      <c r="A35" s="5" t="s">
        <v>121</v>
      </c>
      <c r="B35" s="5" t="s">
        <v>304</v>
      </c>
      <c r="C35" s="5" t="s">
        <v>305</v>
      </c>
      <c r="D35" s="5" t="s">
        <v>944</v>
      </c>
      <c r="E35" s="5" t="s">
        <v>944</v>
      </c>
      <c r="F35" s="5" t="s">
        <v>2160</v>
      </c>
      <c r="G35" s="5" t="s">
        <v>2161</v>
      </c>
      <c r="H35" s="5" t="s">
        <v>944</v>
      </c>
      <c r="I35" s="5" t="s">
        <v>944</v>
      </c>
      <c r="J35" s="5" t="s">
        <v>944</v>
      </c>
      <c r="L35" s="5" t="s">
        <v>957</v>
      </c>
    </row>
    <row r="36" ht="15.75" hidden="1" customHeight="1">
      <c r="A36" s="5" t="s">
        <v>121</v>
      </c>
      <c r="B36" s="5" t="s">
        <v>313</v>
      </c>
      <c r="C36" s="5" t="s">
        <v>314</v>
      </c>
      <c r="D36" s="5" t="s">
        <v>1560</v>
      </c>
    </row>
    <row r="37" ht="15.75" hidden="1" customHeight="1">
      <c r="A37" s="5" t="s">
        <v>121</v>
      </c>
      <c r="B37" s="5" t="s">
        <v>321</v>
      </c>
      <c r="C37" s="5" t="s">
        <v>322</v>
      </c>
      <c r="D37" s="5" t="s">
        <v>944</v>
      </c>
      <c r="E37" s="5" t="s">
        <v>944</v>
      </c>
      <c r="F37" s="5" t="s">
        <v>1823</v>
      </c>
      <c r="G37" s="5" t="s">
        <v>2162</v>
      </c>
      <c r="H37" s="5" t="s">
        <v>944</v>
      </c>
      <c r="I37" s="5" t="s">
        <v>944</v>
      </c>
      <c r="J37" s="5" t="s">
        <v>1560</v>
      </c>
      <c r="K37" s="5" t="s">
        <v>1560</v>
      </c>
      <c r="M37" s="5" t="s">
        <v>2163</v>
      </c>
    </row>
    <row r="38" ht="15.75" hidden="1" customHeight="1">
      <c r="A38" s="5" t="s">
        <v>121</v>
      </c>
      <c r="B38" s="5" t="s">
        <v>330</v>
      </c>
      <c r="C38" s="5" t="s">
        <v>331</v>
      </c>
      <c r="D38" s="5" t="s">
        <v>1560</v>
      </c>
    </row>
    <row r="39" ht="15.75" hidden="1" customHeight="1">
      <c r="A39" s="5" t="s">
        <v>121</v>
      </c>
      <c r="B39" s="5" t="s">
        <v>338</v>
      </c>
      <c r="C39" s="5" t="s">
        <v>339</v>
      </c>
      <c r="D39" s="5" t="s">
        <v>944</v>
      </c>
      <c r="E39" s="5" t="s">
        <v>944</v>
      </c>
      <c r="F39" s="5" t="s">
        <v>2029</v>
      </c>
      <c r="G39" s="5" t="s">
        <v>2164</v>
      </c>
      <c r="H39" s="5" t="s">
        <v>944</v>
      </c>
      <c r="I39" s="5" t="s">
        <v>944</v>
      </c>
      <c r="J39" s="5" t="s">
        <v>944</v>
      </c>
      <c r="L39" s="5" t="s">
        <v>950</v>
      </c>
    </row>
    <row r="40" ht="15.75" hidden="1" customHeight="1">
      <c r="A40" s="5" t="s">
        <v>121</v>
      </c>
      <c r="B40" s="5" t="s">
        <v>348</v>
      </c>
      <c r="C40" s="5" t="s">
        <v>349</v>
      </c>
      <c r="D40" s="5" t="s">
        <v>944</v>
      </c>
      <c r="E40" s="5" t="s">
        <v>944</v>
      </c>
      <c r="F40" s="5" t="s">
        <v>2165</v>
      </c>
      <c r="G40" s="5" t="s">
        <v>2166</v>
      </c>
      <c r="H40" s="5" t="s">
        <v>944</v>
      </c>
      <c r="I40" s="5" t="s">
        <v>944</v>
      </c>
      <c r="J40" s="5" t="s">
        <v>944</v>
      </c>
      <c r="L40" s="5" t="s">
        <v>1094</v>
      </c>
    </row>
    <row r="41" ht="15.75" customHeight="1">
      <c r="A41" s="5" t="s">
        <v>121</v>
      </c>
      <c r="B41" s="5" t="s">
        <v>348</v>
      </c>
      <c r="C41" s="5" t="s">
        <v>349</v>
      </c>
      <c r="D41" s="5" t="s">
        <v>944</v>
      </c>
      <c r="E41" s="5" t="s">
        <v>944</v>
      </c>
      <c r="F41" s="5" t="s">
        <v>2032</v>
      </c>
      <c r="G41" s="5" t="s">
        <v>2167</v>
      </c>
      <c r="H41" s="5" t="s">
        <v>944</v>
      </c>
      <c r="I41" s="5" t="s">
        <v>944</v>
      </c>
      <c r="K41" s="5" t="s">
        <v>944</v>
      </c>
      <c r="L41" s="5" t="s">
        <v>974</v>
      </c>
    </row>
    <row r="42" ht="15.75" hidden="1" customHeight="1">
      <c r="A42" s="5" t="s">
        <v>121</v>
      </c>
      <c r="B42" s="5" t="s">
        <v>355</v>
      </c>
      <c r="C42" s="5" t="s">
        <v>356</v>
      </c>
      <c r="D42" s="5" t="s">
        <v>1560</v>
      </c>
    </row>
    <row r="43" ht="15.75" hidden="1" customHeight="1">
      <c r="A43" s="5" t="s">
        <v>121</v>
      </c>
      <c r="B43" s="5" t="s">
        <v>365</v>
      </c>
      <c r="C43" s="5" t="s">
        <v>366</v>
      </c>
      <c r="D43" s="5" t="s">
        <v>1560</v>
      </c>
    </row>
    <row r="44" ht="15.75" hidden="1" customHeight="1">
      <c r="A44" s="5" t="s">
        <v>121</v>
      </c>
      <c r="B44" s="5" t="s">
        <v>375</v>
      </c>
      <c r="C44" s="5" t="s">
        <v>376</v>
      </c>
      <c r="D44" s="5" t="s">
        <v>944</v>
      </c>
      <c r="E44" s="5" t="s">
        <v>944</v>
      </c>
      <c r="F44" s="5" t="s">
        <v>2168</v>
      </c>
      <c r="G44" s="5" t="s">
        <v>2169</v>
      </c>
      <c r="H44" s="5" t="s">
        <v>944</v>
      </c>
      <c r="I44" s="5" t="s">
        <v>944</v>
      </c>
      <c r="J44" s="5" t="s">
        <v>944</v>
      </c>
      <c r="L44" s="5" t="s">
        <v>1036</v>
      </c>
      <c r="M44" s="5" t="s">
        <v>2170</v>
      </c>
    </row>
    <row r="45" ht="15.75" hidden="1" customHeight="1">
      <c r="A45" s="5" t="s">
        <v>121</v>
      </c>
      <c r="B45" s="5" t="s">
        <v>375</v>
      </c>
      <c r="C45" s="5" t="s">
        <v>376</v>
      </c>
      <c r="D45" s="5" t="s">
        <v>944</v>
      </c>
      <c r="E45" s="5" t="s">
        <v>944</v>
      </c>
      <c r="F45" s="5" t="s">
        <v>2168</v>
      </c>
      <c r="G45" s="5" t="s">
        <v>2169</v>
      </c>
      <c r="H45" s="5" t="s">
        <v>944</v>
      </c>
      <c r="I45" s="5" t="s">
        <v>944</v>
      </c>
      <c r="J45" s="5" t="s">
        <v>944</v>
      </c>
      <c r="L45" s="5" t="s">
        <v>1036</v>
      </c>
      <c r="M45" s="5" t="s">
        <v>2170</v>
      </c>
    </row>
    <row r="46" ht="15.75" hidden="1" customHeight="1">
      <c r="A46" s="5" t="s">
        <v>121</v>
      </c>
      <c r="B46" s="5" t="s">
        <v>387</v>
      </c>
      <c r="C46" s="5" t="s">
        <v>388</v>
      </c>
      <c r="D46" s="5" t="s">
        <v>944</v>
      </c>
      <c r="E46" s="5" t="s">
        <v>944</v>
      </c>
      <c r="F46" s="5" t="s">
        <v>2165</v>
      </c>
      <c r="G46" s="5" t="s">
        <v>2171</v>
      </c>
      <c r="H46" s="5" t="s">
        <v>944</v>
      </c>
      <c r="I46" s="5" t="s">
        <v>944</v>
      </c>
      <c r="J46" s="5" t="s">
        <v>944</v>
      </c>
      <c r="L46" s="5" t="s">
        <v>1056</v>
      </c>
    </row>
    <row r="47" ht="15.75" hidden="1" customHeight="1">
      <c r="A47" s="5" t="s">
        <v>121</v>
      </c>
      <c r="B47" s="5" t="s">
        <v>395</v>
      </c>
      <c r="C47" s="5" t="s">
        <v>396</v>
      </c>
      <c r="D47" s="5" t="s">
        <v>1560</v>
      </c>
    </row>
    <row r="48" ht="15.75" hidden="1" customHeight="1">
      <c r="A48" s="5" t="s">
        <v>121</v>
      </c>
      <c r="B48" s="5" t="s">
        <v>405</v>
      </c>
      <c r="C48" s="5" t="s">
        <v>406</v>
      </c>
      <c r="D48" s="5" t="s">
        <v>944</v>
      </c>
      <c r="E48" s="5" t="s">
        <v>944</v>
      </c>
      <c r="F48" s="5" t="s">
        <v>2172</v>
      </c>
      <c r="G48" s="5" t="s">
        <v>2173</v>
      </c>
      <c r="H48" s="5" t="s">
        <v>944</v>
      </c>
      <c r="I48" s="5" t="s">
        <v>944</v>
      </c>
      <c r="J48" s="5" t="s">
        <v>944</v>
      </c>
      <c r="L48" s="5" t="s">
        <v>1111</v>
      </c>
    </row>
    <row r="49" ht="15.75" hidden="1" customHeight="1">
      <c r="A49" s="5" t="s">
        <v>121</v>
      </c>
      <c r="B49" s="5" t="s">
        <v>412</v>
      </c>
      <c r="C49" s="5" t="s">
        <v>413</v>
      </c>
      <c r="D49" s="5" t="s">
        <v>944</v>
      </c>
      <c r="E49" s="5" t="s">
        <v>944</v>
      </c>
      <c r="F49" s="5" t="s">
        <v>2174</v>
      </c>
      <c r="G49" s="5" t="s">
        <v>2175</v>
      </c>
      <c r="H49" s="5" t="s">
        <v>944</v>
      </c>
      <c r="I49" s="5" t="s">
        <v>944</v>
      </c>
      <c r="J49" s="5" t="s">
        <v>944</v>
      </c>
      <c r="L49" s="5" t="s">
        <v>1006</v>
      </c>
    </row>
    <row r="50" ht="15.75" customHeight="1">
      <c r="A50" s="5" t="s">
        <v>121</v>
      </c>
      <c r="B50" s="5" t="s">
        <v>412</v>
      </c>
      <c r="C50" s="5" t="s">
        <v>413</v>
      </c>
      <c r="D50" s="5" t="s">
        <v>944</v>
      </c>
      <c r="E50" s="5" t="s">
        <v>944</v>
      </c>
      <c r="F50" s="5" t="s">
        <v>2068</v>
      </c>
      <c r="G50" s="5" t="s">
        <v>2176</v>
      </c>
      <c r="H50" s="5" t="s">
        <v>944</v>
      </c>
      <c r="I50" s="5" t="s">
        <v>944</v>
      </c>
      <c r="K50" s="5" t="s">
        <v>944</v>
      </c>
      <c r="L50" s="5" t="s">
        <v>957</v>
      </c>
    </row>
    <row r="51" ht="15.75" hidden="1" customHeight="1">
      <c r="A51" s="5" t="s">
        <v>419</v>
      </c>
      <c r="B51" s="5" t="s">
        <v>420</v>
      </c>
      <c r="C51" s="5" t="s">
        <v>421</v>
      </c>
      <c r="D51" s="5" t="s">
        <v>1560</v>
      </c>
    </row>
    <row r="52" ht="15.75" hidden="1" customHeight="1">
      <c r="A52" s="5" t="s">
        <v>419</v>
      </c>
      <c r="B52" s="5" t="s">
        <v>430</v>
      </c>
      <c r="C52" s="5" t="s">
        <v>431</v>
      </c>
      <c r="D52" s="5" t="s">
        <v>1560</v>
      </c>
    </row>
    <row r="53" ht="15.75" hidden="1" customHeight="1">
      <c r="A53" s="5" t="s">
        <v>419</v>
      </c>
      <c r="B53" s="5" t="s">
        <v>438</v>
      </c>
      <c r="C53" s="5" t="s">
        <v>439</v>
      </c>
      <c r="D53" s="5" t="s">
        <v>944</v>
      </c>
      <c r="E53" s="5" t="s">
        <v>944</v>
      </c>
      <c r="F53" s="5" t="s">
        <v>2177</v>
      </c>
      <c r="G53" s="5" t="s">
        <v>2152</v>
      </c>
      <c r="H53" s="5" t="s">
        <v>944</v>
      </c>
      <c r="I53" s="5" t="s">
        <v>944</v>
      </c>
      <c r="J53" s="5" t="s">
        <v>944</v>
      </c>
      <c r="L53" s="5" t="s">
        <v>1235</v>
      </c>
      <c r="M53" s="5" t="s">
        <v>2178</v>
      </c>
    </row>
    <row r="54" ht="15.75" hidden="1" customHeight="1">
      <c r="A54" s="5" t="s">
        <v>419</v>
      </c>
      <c r="B54" s="5" t="s">
        <v>446</v>
      </c>
      <c r="C54" s="5" t="s">
        <v>447</v>
      </c>
      <c r="D54" s="5" t="s">
        <v>944</v>
      </c>
      <c r="E54" s="5" t="s">
        <v>944</v>
      </c>
      <c r="F54" s="5" t="s">
        <v>2179</v>
      </c>
      <c r="G54" s="5" t="s">
        <v>2180</v>
      </c>
      <c r="H54" s="5" t="s">
        <v>944</v>
      </c>
      <c r="I54" s="5" t="s">
        <v>944</v>
      </c>
      <c r="J54" s="5" t="s">
        <v>1560</v>
      </c>
      <c r="K54" s="5" t="s">
        <v>1560</v>
      </c>
    </row>
    <row r="55" ht="15.75" hidden="1" customHeight="1">
      <c r="A55" s="5" t="s">
        <v>419</v>
      </c>
      <c r="B55" s="5" t="s">
        <v>453</v>
      </c>
      <c r="C55" s="5" t="s">
        <v>454</v>
      </c>
      <c r="D55" s="5" t="s">
        <v>1560</v>
      </c>
    </row>
    <row r="56" ht="15.75" hidden="1" customHeight="1">
      <c r="A56" s="5" t="s">
        <v>419</v>
      </c>
      <c r="B56" s="5" t="s">
        <v>461</v>
      </c>
      <c r="C56" s="5" t="s">
        <v>462</v>
      </c>
      <c r="D56" s="5" t="s">
        <v>1560</v>
      </c>
    </row>
    <row r="57" ht="15.75" hidden="1" customHeight="1">
      <c r="A57" s="5" t="s">
        <v>419</v>
      </c>
      <c r="B57" s="5" t="s">
        <v>469</v>
      </c>
      <c r="C57" s="5" t="s">
        <v>470</v>
      </c>
      <c r="D57" s="5" t="s">
        <v>1560</v>
      </c>
    </row>
    <row r="58" ht="15.75" hidden="1" customHeight="1">
      <c r="A58" s="5" t="s">
        <v>419</v>
      </c>
      <c r="B58" s="5" t="s">
        <v>477</v>
      </c>
      <c r="C58" s="5" t="s">
        <v>478</v>
      </c>
      <c r="D58" s="5" t="s">
        <v>944</v>
      </c>
      <c r="E58" s="5" t="s">
        <v>944</v>
      </c>
      <c r="F58" s="5" t="s">
        <v>2032</v>
      </c>
      <c r="G58" s="5" t="s">
        <v>2181</v>
      </c>
      <c r="H58" s="5" t="s">
        <v>944</v>
      </c>
      <c r="I58" s="5" t="s">
        <v>944</v>
      </c>
      <c r="J58" s="5" t="s">
        <v>944</v>
      </c>
      <c r="L58" s="5" t="s">
        <v>974</v>
      </c>
    </row>
    <row r="59" ht="15.75" hidden="1" customHeight="1">
      <c r="A59" s="5" t="s">
        <v>419</v>
      </c>
      <c r="B59" s="5" t="s">
        <v>477</v>
      </c>
      <c r="C59" s="5" t="s">
        <v>478</v>
      </c>
      <c r="D59" s="5" t="s">
        <v>944</v>
      </c>
      <c r="E59" s="5" t="s">
        <v>944</v>
      </c>
      <c r="F59" s="5" t="s">
        <v>2032</v>
      </c>
      <c r="G59" s="5" t="s">
        <v>2181</v>
      </c>
      <c r="H59" s="5" t="s">
        <v>944</v>
      </c>
      <c r="I59" s="5" t="s">
        <v>944</v>
      </c>
      <c r="J59" s="5" t="s">
        <v>944</v>
      </c>
      <c r="L59" s="5" t="s">
        <v>974</v>
      </c>
    </row>
    <row r="60" ht="15.75" hidden="1" customHeight="1">
      <c r="A60" s="5" t="s">
        <v>419</v>
      </c>
      <c r="B60" s="5" t="s">
        <v>488</v>
      </c>
      <c r="C60" s="5" t="s">
        <v>489</v>
      </c>
      <c r="D60" s="5" t="s">
        <v>1560</v>
      </c>
    </row>
    <row r="61" ht="15.75" hidden="1" customHeight="1">
      <c r="A61" s="5" t="s">
        <v>419</v>
      </c>
      <c r="B61" s="5" t="s">
        <v>498</v>
      </c>
      <c r="C61" s="5" t="s">
        <v>499</v>
      </c>
      <c r="D61" s="5" t="s">
        <v>1560</v>
      </c>
    </row>
    <row r="62" ht="15.75" hidden="1" customHeight="1">
      <c r="A62" s="5" t="s">
        <v>419</v>
      </c>
      <c r="B62" s="5" t="s">
        <v>507</v>
      </c>
      <c r="C62" s="5" t="s">
        <v>508</v>
      </c>
      <c r="D62" s="5" t="s">
        <v>1560</v>
      </c>
    </row>
    <row r="63" ht="15.75" hidden="1" customHeight="1">
      <c r="A63" s="5" t="s">
        <v>419</v>
      </c>
      <c r="B63" s="5" t="s">
        <v>517</v>
      </c>
      <c r="C63" s="5" t="s">
        <v>518</v>
      </c>
      <c r="D63" s="5" t="s">
        <v>1560</v>
      </c>
    </row>
    <row r="64" ht="15.75" hidden="1" customHeight="1">
      <c r="A64" s="5" t="s">
        <v>419</v>
      </c>
      <c r="B64" s="5" t="s">
        <v>527</v>
      </c>
      <c r="C64" s="5" t="s">
        <v>528</v>
      </c>
      <c r="D64" s="5" t="s">
        <v>944</v>
      </c>
      <c r="E64" s="5" t="s">
        <v>944</v>
      </c>
      <c r="F64" s="5" t="s">
        <v>2182</v>
      </c>
      <c r="G64" s="5" t="s">
        <v>2183</v>
      </c>
      <c r="H64" s="5" t="s">
        <v>944</v>
      </c>
      <c r="I64" s="5" t="s">
        <v>944</v>
      </c>
      <c r="J64" s="5" t="s">
        <v>944</v>
      </c>
      <c r="L64" s="5" t="s">
        <v>1036</v>
      </c>
    </row>
    <row r="65" ht="15.75" hidden="1" customHeight="1">
      <c r="A65" s="5" t="s">
        <v>419</v>
      </c>
      <c r="B65" s="5" t="s">
        <v>533</v>
      </c>
      <c r="C65" s="5" t="s">
        <v>534</v>
      </c>
      <c r="D65" s="5" t="s">
        <v>1560</v>
      </c>
    </row>
    <row r="66" ht="15.75" hidden="1" customHeight="1">
      <c r="A66" s="5" t="s">
        <v>419</v>
      </c>
      <c r="B66" s="5" t="s">
        <v>541</v>
      </c>
      <c r="C66" s="5" t="s">
        <v>542</v>
      </c>
      <c r="D66" s="5" t="s">
        <v>1560</v>
      </c>
    </row>
    <row r="67" ht="15.75" hidden="1" customHeight="1">
      <c r="A67" s="5" t="s">
        <v>419</v>
      </c>
      <c r="B67" s="5" t="s">
        <v>550</v>
      </c>
      <c r="C67" s="5" t="s">
        <v>551</v>
      </c>
      <c r="D67" s="5" t="s">
        <v>944</v>
      </c>
      <c r="E67" s="5" t="s">
        <v>944</v>
      </c>
      <c r="F67" s="5" t="s">
        <v>2184</v>
      </c>
      <c r="G67" s="5" t="s">
        <v>2140</v>
      </c>
      <c r="H67" s="5" t="s">
        <v>944</v>
      </c>
      <c r="I67" s="5" t="s">
        <v>944</v>
      </c>
      <c r="J67" s="5" t="s">
        <v>1560</v>
      </c>
      <c r="K67" s="5" t="s">
        <v>1560</v>
      </c>
    </row>
    <row r="68" ht="15.75" hidden="1" customHeight="1">
      <c r="A68" s="5" t="s">
        <v>419</v>
      </c>
      <c r="B68" s="5" t="s">
        <v>559</v>
      </c>
      <c r="C68" s="5" t="s">
        <v>560</v>
      </c>
      <c r="D68" s="5" t="s">
        <v>944</v>
      </c>
      <c r="E68" s="5" t="s">
        <v>944</v>
      </c>
      <c r="F68" s="5" t="s">
        <v>2185</v>
      </c>
      <c r="G68" s="5" t="s">
        <v>2162</v>
      </c>
      <c r="H68" s="5" t="s">
        <v>944</v>
      </c>
      <c r="I68" s="5" t="s">
        <v>944</v>
      </c>
      <c r="J68" s="5" t="s">
        <v>1560</v>
      </c>
      <c r="K68" s="5" t="s">
        <v>1560</v>
      </c>
      <c r="M68" s="5" t="s">
        <v>2186</v>
      </c>
    </row>
    <row r="69" ht="15.75" hidden="1" customHeight="1">
      <c r="A69" s="5" t="s">
        <v>567</v>
      </c>
      <c r="B69" s="5" t="s">
        <v>568</v>
      </c>
      <c r="C69" s="5" t="s">
        <v>569</v>
      </c>
      <c r="D69" s="5" t="s">
        <v>1560</v>
      </c>
    </row>
    <row r="70" ht="15.75" hidden="1" customHeight="1">
      <c r="A70" s="5" t="s">
        <v>567</v>
      </c>
      <c r="B70" s="5" t="s">
        <v>577</v>
      </c>
      <c r="C70" s="5" t="s">
        <v>578</v>
      </c>
      <c r="D70" s="5" t="s">
        <v>1560</v>
      </c>
    </row>
    <row r="71" ht="15.75" hidden="1" customHeight="1">
      <c r="A71" s="5" t="s">
        <v>567</v>
      </c>
      <c r="B71" s="5" t="s">
        <v>586</v>
      </c>
      <c r="C71" s="5" t="s">
        <v>587</v>
      </c>
      <c r="D71" s="5" t="s">
        <v>1560</v>
      </c>
    </row>
    <row r="72" ht="15.75" hidden="1" customHeight="1">
      <c r="A72" s="5" t="s">
        <v>567</v>
      </c>
      <c r="B72" s="5" t="s">
        <v>597</v>
      </c>
      <c r="C72" s="5" t="s">
        <v>598</v>
      </c>
      <c r="D72" s="5" t="s">
        <v>944</v>
      </c>
      <c r="E72" s="5" t="s">
        <v>944</v>
      </c>
      <c r="F72" s="5" t="s">
        <v>2071</v>
      </c>
      <c r="G72" s="5" t="s">
        <v>2187</v>
      </c>
      <c r="H72" s="5" t="s">
        <v>944</v>
      </c>
      <c r="I72" s="5" t="s">
        <v>944</v>
      </c>
      <c r="J72" s="5" t="s">
        <v>944</v>
      </c>
      <c r="L72" s="5" t="s">
        <v>950</v>
      </c>
    </row>
    <row r="73" ht="15.75" hidden="1" customHeight="1">
      <c r="A73" s="5" t="s">
        <v>567</v>
      </c>
      <c r="B73" s="5" t="s">
        <v>606</v>
      </c>
      <c r="C73" s="5" t="s">
        <v>607</v>
      </c>
      <c r="D73" s="5" t="s">
        <v>944</v>
      </c>
      <c r="E73" s="5" t="s">
        <v>944</v>
      </c>
      <c r="F73" s="5" t="s">
        <v>2188</v>
      </c>
      <c r="G73" s="5" t="s">
        <v>2189</v>
      </c>
      <c r="H73" s="5" t="s">
        <v>944</v>
      </c>
      <c r="I73" s="5" t="s">
        <v>944</v>
      </c>
      <c r="J73" s="5" t="s">
        <v>1560</v>
      </c>
      <c r="K73" s="5" t="s">
        <v>1560</v>
      </c>
    </row>
    <row r="74" ht="15.75" hidden="1" customHeight="1">
      <c r="A74" s="5" t="s">
        <v>567</v>
      </c>
      <c r="B74" s="5" t="s">
        <v>606</v>
      </c>
      <c r="C74" s="5" t="s">
        <v>607</v>
      </c>
      <c r="D74" s="5" t="s">
        <v>944</v>
      </c>
      <c r="E74" s="5" t="s">
        <v>944</v>
      </c>
      <c r="F74" s="5" t="s">
        <v>2188</v>
      </c>
      <c r="G74" s="5" t="s">
        <v>2189</v>
      </c>
      <c r="H74" s="5" t="s">
        <v>944</v>
      </c>
      <c r="I74" s="5" t="s">
        <v>944</v>
      </c>
      <c r="J74" s="5" t="s">
        <v>1560</v>
      </c>
      <c r="K74" s="5" t="s">
        <v>1560</v>
      </c>
    </row>
    <row r="75" ht="15.75" hidden="1" customHeight="1">
      <c r="A75" s="5" t="s">
        <v>567</v>
      </c>
      <c r="B75" s="5" t="s">
        <v>614</v>
      </c>
      <c r="C75" s="5" t="s">
        <v>615</v>
      </c>
      <c r="D75" s="5" t="s">
        <v>944</v>
      </c>
      <c r="E75" s="5" t="s">
        <v>944</v>
      </c>
      <c r="F75" s="5" t="s">
        <v>2190</v>
      </c>
      <c r="G75" s="5" t="s">
        <v>2191</v>
      </c>
      <c r="H75" s="5" t="s">
        <v>1560</v>
      </c>
    </row>
    <row r="76" ht="15.75" hidden="1" customHeight="1">
      <c r="A76" s="5" t="s">
        <v>567</v>
      </c>
      <c r="B76" s="5" t="s">
        <v>624</v>
      </c>
      <c r="C76" s="5" t="s">
        <v>625</v>
      </c>
      <c r="D76" s="5" t="s">
        <v>1560</v>
      </c>
    </row>
    <row r="77" ht="15.75" hidden="1" customHeight="1">
      <c r="A77" s="5" t="s">
        <v>567</v>
      </c>
      <c r="B77" s="5" t="s">
        <v>634</v>
      </c>
      <c r="C77" s="5" t="s">
        <v>635</v>
      </c>
      <c r="D77" s="5" t="s">
        <v>1560</v>
      </c>
    </row>
    <row r="78" ht="15.75" hidden="1" customHeight="1">
      <c r="A78" s="5" t="s">
        <v>567</v>
      </c>
      <c r="B78" s="5" t="s">
        <v>643</v>
      </c>
      <c r="C78" s="5" t="s">
        <v>644</v>
      </c>
      <c r="D78" s="5" t="s">
        <v>1560</v>
      </c>
    </row>
    <row r="79" ht="15.75" hidden="1" customHeight="1">
      <c r="A79" s="5" t="s">
        <v>567</v>
      </c>
      <c r="B79" s="5" t="s">
        <v>651</v>
      </c>
      <c r="C79" s="5" t="s">
        <v>652</v>
      </c>
      <c r="D79" s="5" t="s">
        <v>1560</v>
      </c>
    </row>
    <row r="80" ht="15.75" hidden="1" customHeight="1">
      <c r="A80" s="5" t="s">
        <v>567</v>
      </c>
      <c r="B80" s="5" t="s">
        <v>659</v>
      </c>
      <c r="C80" s="5" t="s">
        <v>660</v>
      </c>
      <c r="D80" s="5" t="s">
        <v>1560</v>
      </c>
    </row>
    <row r="81" ht="15.75" hidden="1" customHeight="1">
      <c r="A81" s="5" t="s">
        <v>567</v>
      </c>
      <c r="B81" s="5" t="s">
        <v>667</v>
      </c>
      <c r="C81" s="5" t="s">
        <v>668</v>
      </c>
      <c r="D81" s="5" t="s">
        <v>1560</v>
      </c>
    </row>
    <row r="82" ht="15.75" hidden="1" customHeight="1">
      <c r="A82" s="5" t="s">
        <v>567</v>
      </c>
      <c r="B82" s="5" t="s">
        <v>674</v>
      </c>
      <c r="C82" s="5" t="s">
        <v>675</v>
      </c>
      <c r="D82" s="5" t="s">
        <v>944</v>
      </c>
      <c r="E82" s="5" t="s">
        <v>944</v>
      </c>
      <c r="F82" s="5" t="s">
        <v>2192</v>
      </c>
      <c r="G82" s="5" t="s">
        <v>2193</v>
      </c>
      <c r="H82" s="5" t="s">
        <v>944</v>
      </c>
      <c r="I82" s="5" t="s">
        <v>944</v>
      </c>
      <c r="J82" s="5" t="s">
        <v>944</v>
      </c>
      <c r="L82" s="5" t="s">
        <v>956</v>
      </c>
    </row>
    <row r="83" ht="15.75" hidden="1" customHeight="1">
      <c r="A83" s="5" t="s">
        <v>682</v>
      </c>
      <c r="B83" s="5" t="s">
        <v>683</v>
      </c>
      <c r="C83" s="5" t="s">
        <v>684</v>
      </c>
      <c r="D83" s="5" t="s">
        <v>944</v>
      </c>
      <c r="E83" s="5" t="s">
        <v>944</v>
      </c>
      <c r="F83" s="5" t="s">
        <v>2194</v>
      </c>
      <c r="G83" s="5" t="s">
        <v>2195</v>
      </c>
      <c r="H83" s="5" t="s">
        <v>944</v>
      </c>
      <c r="I83" s="5" t="s">
        <v>944</v>
      </c>
      <c r="J83" s="5" t="s">
        <v>1560</v>
      </c>
      <c r="K83" s="5" t="s">
        <v>1560</v>
      </c>
    </row>
    <row r="84" ht="15.75" hidden="1" customHeight="1">
      <c r="A84" s="5" t="s">
        <v>682</v>
      </c>
      <c r="B84" s="5" t="s">
        <v>691</v>
      </c>
      <c r="C84" s="5" t="s">
        <v>692</v>
      </c>
      <c r="D84" s="5" t="s">
        <v>944</v>
      </c>
      <c r="E84" s="5" t="s">
        <v>944</v>
      </c>
      <c r="F84" s="5" t="s">
        <v>2049</v>
      </c>
      <c r="G84" s="5" t="s">
        <v>2196</v>
      </c>
      <c r="H84" s="5" t="s">
        <v>944</v>
      </c>
      <c r="I84" s="5" t="s">
        <v>944</v>
      </c>
      <c r="J84" s="5" t="s">
        <v>1560</v>
      </c>
      <c r="K84" s="5" t="s">
        <v>1560</v>
      </c>
      <c r="M84" s="5" t="s">
        <v>2197</v>
      </c>
    </row>
    <row r="85" ht="15.75" hidden="1" customHeight="1">
      <c r="A85" s="5" t="s">
        <v>682</v>
      </c>
      <c r="B85" s="5" t="s">
        <v>691</v>
      </c>
      <c r="C85" s="5" t="s">
        <v>692</v>
      </c>
      <c r="D85" s="5" t="s">
        <v>944</v>
      </c>
      <c r="E85" s="5" t="s">
        <v>944</v>
      </c>
      <c r="F85" s="5" t="s">
        <v>2032</v>
      </c>
      <c r="G85" s="5" t="s">
        <v>2198</v>
      </c>
      <c r="H85" s="5" t="s">
        <v>944</v>
      </c>
      <c r="I85" s="5" t="s">
        <v>944</v>
      </c>
      <c r="J85" s="5" t="s">
        <v>944</v>
      </c>
      <c r="L85" s="5" t="s">
        <v>956</v>
      </c>
    </row>
    <row r="86" ht="15.75" hidden="1" customHeight="1">
      <c r="A86" s="5" t="s">
        <v>682</v>
      </c>
      <c r="B86" s="5" t="s">
        <v>699</v>
      </c>
      <c r="C86" s="5" t="s">
        <v>700</v>
      </c>
      <c r="D86" s="5" t="s">
        <v>944</v>
      </c>
      <c r="E86" s="5" t="s">
        <v>944</v>
      </c>
      <c r="F86" s="5" t="s">
        <v>2062</v>
      </c>
      <c r="G86" s="5" t="s">
        <v>2199</v>
      </c>
      <c r="H86" s="5" t="s">
        <v>944</v>
      </c>
      <c r="I86" s="5" t="s">
        <v>944</v>
      </c>
      <c r="J86" s="5" t="s">
        <v>944</v>
      </c>
      <c r="L86" s="5" t="s">
        <v>974</v>
      </c>
    </row>
    <row r="87" ht="15.75" hidden="1" customHeight="1">
      <c r="A87" s="5" t="s">
        <v>682</v>
      </c>
      <c r="B87" s="5" t="s">
        <v>707</v>
      </c>
      <c r="C87" s="5" t="s">
        <v>708</v>
      </c>
      <c r="D87" s="5" t="s">
        <v>944</v>
      </c>
      <c r="E87" s="5" t="s">
        <v>944</v>
      </c>
      <c r="F87" s="5" t="s">
        <v>2006</v>
      </c>
      <c r="G87" s="5" t="s">
        <v>2200</v>
      </c>
      <c r="H87" s="5" t="s">
        <v>944</v>
      </c>
      <c r="I87" s="5" t="s">
        <v>944</v>
      </c>
      <c r="J87" s="5" t="s">
        <v>1560</v>
      </c>
      <c r="K87" s="5" t="s">
        <v>1560</v>
      </c>
    </row>
    <row r="88" ht="15.75" hidden="1" customHeight="1">
      <c r="A88" s="5" t="s">
        <v>682</v>
      </c>
      <c r="B88" s="5" t="s">
        <v>715</v>
      </c>
      <c r="C88" s="5" t="s">
        <v>716</v>
      </c>
      <c r="D88" s="5" t="s">
        <v>1560</v>
      </c>
    </row>
    <row r="89" ht="15.75" hidden="1" customHeight="1">
      <c r="A89" s="5" t="s">
        <v>682</v>
      </c>
      <c r="B89" s="5" t="s">
        <v>725</v>
      </c>
      <c r="C89" s="5" t="s">
        <v>726</v>
      </c>
      <c r="D89" s="5" t="s">
        <v>1560</v>
      </c>
    </row>
    <row r="90" ht="15.75" hidden="1" customHeight="1">
      <c r="A90" s="5" t="s">
        <v>682</v>
      </c>
      <c r="B90" s="5" t="s">
        <v>732</v>
      </c>
      <c r="C90" s="5" t="s">
        <v>733</v>
      </c>
      <c r="D90" s="5" t="s">
        <v>944</v>
      </c>
      <c r="E90" s="5" t="s">
        <v>944</v>
      </c>
      <c r="F90" s="5" t="s">
        <v>2201</v>
      </c>
      <c r="G90" s="5" t="s">
        <v>2202</v>
      </c>
      <c r="H90" s="5" t="s">
        <v>1560</v>
      </c>
    </row>
    <row r="91" ht="15.75" hidden="1" customHeight="1">
      <c r="A91" s="5" t="s">
        <v>682</v>
      </c>
      <c r="B91" s="5" t="s">
        <v>739</v>
      </c>
      <c r="C91" s="5" t="s">
        <v>740</v>
      </c>
      <c r="D91" s="5" t="s">
        <v>1560</v>
      </c>
    </row>
    <row r="92" ht="15.75" hidden="1" customHeight="1">
      <c r="A92" s="5" t="s">
        <v>682</v>
      </c>
      <c r="B92" s="5" t="s">
        <v>749</v>
      </c>
      <c r="C92" s="5" t="s">
        <v>750</v>
      </c>
      <c r="D92" s="5" t="s">
        <v>1560</v>
      </c>
    </row>
    <row r="93" ht="15.75" hidden="1" customHeight="1">
      <c r="A93" s="5" t="s">
        <v>682</v>
      </c>
      <c r="B93" s="5" t="s">
        <v>757</v>
      </c>
      <c r="C93" s="5" t="s">
        <v>758</v>
      </c>
      <c r="D93" s="5" t="s">
        <v>1560</v>
      </c>
    </row>
    <row r="94" ht="15.75" hidden="1" customHeight="1">
      <c r="A94" s="5" t="s">
        <v>682</v>
      </c>
      <c r="B94" s="5" t="s">
        <v>765</v>
      </c>
      <c r="C94" s="5" t="s">
        <v>766</v>
      </c>
      <c r="D94" s="5" t="s">
        <v>1560</v>
      </c>
    </row>
    <row r="95" ht="15.75" hidden="1" customHeight="1">
      <c r="A95" s="5" t="s">
        <v>682</v>
      </c>
      <c r="B95" s="5" t="s">
        <v>773</v>
      </c>
      <c r="C95" s="5" t="s">
        <v>774</v>
      </c>
      <c r="D95" s="5" t="s">
        <v>1560</v>
      </c>
    </row>
    <row r="96" ht="15.75" hidden="1" customHeight="1">
      <c r="A96" s="5" t="s">
        <v>682</v>
      </c>
      <c r="B96" s="5" t="s">
        <v>782</v>
      </c>
      <c r="C96" s="5" t="s">
        <v>783</v>
      </c>
      <c r="D96" s="5" t="s">
        <v>944</v>
      </c>
      <c r="E96" s="5" t="s">
        <v>944</v>
      </c>
      <c r="F96" s="5" t="s">
        <v>2005</v>
      </c>
      <c r="G96" s="5" t="s">
        <v>2203</v>
      </c>
      <c r="H96" s="5" t="s">
        <v>1560</v>
      </c>
      <c r="M96" s="5" t="s">
        <v>2204</v>
      </c>
    </row>
    <row r="97" ht="15.75" hidden="1" customHeight="1">
      <c r="A97" s="5" t="s">
        <v>682</v>
      </c>
      <c r="B97" s="5" t="s">
        <v>782</v>
      </c>
      <c r="C97" s="5" t="s">
        <v>783</v>
      </c>
      <c r="D97" s="5" t="s">
        <v>944</v>
      </c>
      <c r="E97" s="5" t="s">
        <v>944</v>
      </c>
      <c r="F97" s="5" t="s">
        <v>2005</v>
      </c>
      <c r="G97" s="5" t="s">
        <v>2205</v>
      </c>
      <c r="H97" s="5" t="s">
        <v>944</v>
      </c>
      <c r="I97" s="5" t="s">
        <v>944</v>
      </c>
      <c r="J97" s="5" t="s">
        <v>1560</v>
      </c>
      <c r="K97" s="5" t="s">
        <v>1560</v>
      </c>
    </row>
    <row r="98" ht="15.75" hidden="1" customHeight="1">
      <c r="A98" s="5" t="s">
        <v>682</v>
      </c>
      <c r="B98" s="5" t="s">
        <v>791</v>
      </c>
      <c r="C98" s="5" t="s">
        <v>792</v>
      </c>
      <c r="D98" s="5" t="s">
        <v>944</v>
      </c>
      <c r="E98" s="5" t="s">
        <v>944</v>
      </c>
      <c r="F98" s="5" t="s">
        <v>2040</v>
      </c>
      <c r="G98" s="5" t="s">
        <v>2206</v>
      </c>
      <c r="H98" s="5" t="s">
        <v>944</v>
      </c>
      <c r="I98" s="5" t="s">
        <v>944</v>
      </c>
      <c r="J98" s="5" t="s">
        <v>944</v>
      </c>
      <c r="L98" s="5" t="s">
        <v>1111</v>
      </c>
    </row>
    <row r="99" ht="15.75" hidden="1" customHeight="1">
      <c r="A99" s="5" t="s">
        <v>682</v>
      </c>
      <c r="B99" s="5" t="s">
        <v>791</v>
      </c>
      <c r="C99" s="5" t="s">
        <v>792</v>
      </c>
      <c r="D99" s="5" t="s">
        <v>944</v>
      </c>
      <c r="E99" s="5" t="s">
        <v>944</v>
      </c>
      <c r="F99" s="5" t="s">
        <v>2207</v>
      </c>
      <c r="G99" s="5" t="s">
        <v>2208</v>
      </c>
      <c r="H99" s="5" t="s">
        <v>944</v>
      </c>
      <c r="I99" s="5" t="s">
        <v>944</v>
      </c>
      <c r="J99" s="5" t="s">
        <v>944</v>
      </c>
      <c r="L99" s="5" t="s">
        <v>1128</v>
      </c>
    </row>
    <row r="100" ht="15.75" hidden="1" customHeight="1">
      <c r="A100" s="5" t="s">
        <v>801</v>
      </c>
      <c r="B100" s="5" t="s">
        <v>802</v>
      </c>
      <c r="C100" s="5" t="s">
        <v>803</v>
      </c>
      <c r="D100" s="5" t="s">
        <v>944</v>
      </c>
      <c r="E100" s="5" t="s">
        <v>944</v>
      </c>
      <c r="F100" s="5" t="s">
        <v>2209</v>
      </c>
      <c r="G100" s="5" t="s">
        <v>2210</v>
      </c>
      <c r="H100" s="5" t="s">
        <v>944</v>
      </c>
      <c r="I100" s="5" t="s">
        <v>944</v>
      </c>
      <c r="J100" s="5" t="s">
        <v>1560</v>
      </c>
      <c r="K100" s="5" t="s">
        <v>1560</v>
      </c>
      <c r="M100" s="5" t="s">
        <v>2211</v>
      </c>
    </row>
    <row r="101" ht="15.75" hidden="1" customHeight="1">
      <c r="A101" s="5" t="s">
        <v>801</v>
      </c>
      <c r="B101" s="5" t="s">
        <v>810</v>
      </c>
      <c r="C101" s="5" t="s">
        <v>811</v>
      </c>
      <c r="D101" s="5" t="s">
        <v>944</v>
      </c>
      <c r="E101" s="5" t="s">
        <v>944</v>
      </c>
      <c r="F101" s="5" t="s">
        <v>2212</v>
      </c>
      <c r="G101" s="5" t="s">
        <v>2213</v>
      </c>
      <c r="H101" s="5" t="s">
        <v>944</v>
      </c>
      <c r="I101" s="5" t="s">
        <v>944</v>
      </c>
      <c r="J101" s="5" t="s">
        <v>1560</v>
      </c>
      <c r="K101" s="5" t="s">
        <v>1560</v>
      </c>
    </row>
    <row r="102" ht="15.75" hidden="1" customHeight="1">
      <c r="A102" s="5" t="s">
        <v>801</v>
      </c>
      <c r="B102" s="5" t="s">
        <v>810</v>
      </c>
      <c r="C102" s="5" t="s">
        <v>811</v>
      </c>
      <c r="D102" s="5" t="s">
        <v>944</v>
      </c>
      <c r="E102" s="5" t="s">
        <v>944</v>
      </c>
      <c r="F102" s="5" t="s">
        <v>2075</v>
      </c>
      <c r="G102" s="5" t="s">
        <v>2171</v>
      </c>
      <c r="H102" s="5" t="s">
        <v>944</v>
      </c>
      <c r="I102" s="5" t="s">
        <v>944</v>
      </c>
      <c r="J102" s="5" t="s">
        <v>944</v>
      </c>
      <c r="L102" s="5" t="s">
        <v>1111</v>
      </c>
    </row>
    <row r="103" ht="15.75" hidden="1" customHeight="1">
      <c r="A103" s="5" t="s">
        <v>801</v>
      </c>
      <c r="B103" s="5" t="s">
        <v>810</v>
      </c>
      <c r="C103" s="5" t="s">
        <v>811</v>
      </c>
      <c r="D103" s="5" t="s">
        <v>944</v>
      </c>
      <c r="E103" s="5" t="s">
        <v>944</v>
      </c>
      <c r="F103" s="5" t="s">
        <v>2214</v>
      </c>
      <c r="G103" s="5" t="s">
        <v>2215</v>
      </c>
      <c r="H103" s="5" t="s">
        <v>944</v>
      </c>
      <c r="I103" s="5" t="s">
        <v>944</v>
      </c>
      <c r="J103" s="5" t="s">
        <v>944</v>
      </c>
      <c r="L103" s="5" t="s">
        <v>1094</v>
      </c>
    </row>
    <row r="104" ht="15.75" hidden="1" customHeight="1">
      <c r="A104" s="5" t="s">
        <v>801</v>
      </c>
      <c r="B104" s="5" t="s">
        <v>818</v>
      </c>
      <c r="C104" s="5" t="s">
        <v>819</v>
      </c>
      <c r="D104" s="5" t="s">
        <v>1560</v>
      </c>
    </row>
    <row r="105" ht="15.75" hidden="1" customHeight="1">
      <c r="A105" s="5" t="s">
        <v>801</v>
      </c>
      <c r="B105" s="5" t="s">
        <v>826</v>
      </c>
      <c r="C105" s="5" t="s">
        <v>827</v>
      </c>
      <c r="D105" s="5" t="s">
        <v>1560</v>
      </c>
    </row>
    <row r="106" ht="15.75" hidden="1" customHeight="1">
      <c r="A106" s="5" t="s">
        <v>801</v>
      </c>
      <c r="B106" s="5" t="s">
        <v>836</v>
      </c>
      <c r="C106" s="5" t="s">
        <v>837</v>
      </c>
      <c r="D106" s="5" t="s">
        <v>1560</v>
      </c>
    </row>
    <row r="107" ht="15.75" hidden="1" customHeight="1">
      <c r="A107" s="5" t="s">
        <v>801</v>
      </c>
      <c r="B107" s="5" t="s">
        <v>844</v>
      </c>
      <c r="C107" s="5" t="s">
        <v>845</v>
      </c>
      <c r="D107" s="5" t="s">
        <v>1560</v>
      </c>
    </row>
    <row r="108" ht="15.75" hidden="1" customHeight="1">
      <c r="A108" s="5" t="s">
        <v>801</v>
      </c>
      <c r="B108" s="5" t="s">
        <v>853</v>
      </c>
      <c r="C108" s="5" t="s">
        <v>854</v>
      </c>
      <c r="D108" s="5" t="s">
        <v>944</v>
      </c>
      <c r="E108" s="5" t="s">
        <v>944</v>
      </c>
      <c r="F108" s="5" t="s">
        <v>2216</v>
      </c>
      <c r="G108" s="5" t="s">
        <v>2217</v>
      </c>
      <c r="H108" s="5" t="s">
        <v>944</v>
      </c>
      <c r="I108" s="5" t="s">
        <v>944</v>
      </c>
      <c r="J108" s="5" t="s">
        <v>944</v>
      </c>
      <c r="L108" s="5" t="s">
        <v>1036</v>
      </c>
    </row>
    <row r="109" ht="15.75" hidden="1" customHeight="1">
      <c r="A109" s="5" t="s">
        <v>801</v>
      </c>
      <c r="B109" s="5" t="s">
        <v>853</v>
      </c>
      <c r="C109" s="5" t="s">
        <v>854</v>
      </c>
      <c r="D109" s="5" t="s">
        <v>944</v>
      </c>
      <c r="E109" s="5" t="s">
        <v>944</v>
      </c>
      <c r="F109" s="5" t="s">
        <v>2218</v>
      </c>
      <c r="G109" s="5" t="s">
        <v>2219</v>
      </c>
      <c r="H109" s="5" t="s">
        <v>944</v>
      </c>
      <c r="I109" s="5" t="s">
        <v>944</v>
      </c>
      <c r="J109" s="5" t="s">
        <v>1560</v>
      </c>
      <c r="K109" s="5" t="s">
        <v>1560</v>
      </c>
      <c r="M109" s="5" t="s">
        <v>2220</v>
      </c>
    </row>
    <row r="110" ht="15.75" hidden="1" customHeight="1">
      <c r="A110" s="5" t="s">
        <v>801</v>
      </c>
      <c r="B110" s="5" t="s">
        <v>853</v>
      </c>
      <c r="C110" s="5" t="s">
        <v>854</v>
      </c>
      <c r="D110" s="5" t="s">
        <v>944</v>
      </c>
      <c r="E110" s="5" t="s">
        <v>944</v>
      </c>
      <c r="F110" s="5" t="s">
        <v>2221</v>
      </c>
      <c r="G110" s="5" t="s">
        <v>2222</v>
      </c>
      <c r="H110" s="5" t="s">
        <v>944</v>
      </c>
      <c r="I110" s="5" t="s">
        <v>944</v>
      </c>
      <c r="J110" s="5" t="s">
        <v>944</v>
      </c>
      <c r="L110" s="5" t="s">
        <v>957</v>
      </c>
    </row>
    <row r="111" ht="15.75" hidden="1" customHeight="1">
      <c r="A111" s="5" t="s">
        <v>801</v>
      </c>
      <c r="B111" s="5" t="s">
        <v>860</v>
      </c>
      <c r="C111" s="5" t="s">
        <v>861</v>
      </c>
      <c r="D111" s="5" t="s">
        <v>944</v>
      </c>
      <c r="E111" s="5" t="s">
        <v>944</v>
      </c>
      <c r="F111" s="5" t="s">
        <v>2036</v>
      </c>
      <c r="G111" s="5" t="s">
        <v>2223</v>
      </c>
      <c r="H111" s="5" t="s">
        <v>944</v>
      </c>
      <c r="I111" s="5" t="s">
        <v>944</v>
      </c>
      <c r="J111" s="5" t="s">
        <v>944</v>
      </c>
      <c r="L111" s="5" t="s">
        <v>968</v>
      </c>
    </row>
    <row r="112" ht="15.75" hidden="1" customHeight="1">
      <c r="A112" s="5" t="s">
        <v>801</v>
      </c>
      <c r="B112" s="5" t="s">
        <v>867</v>
      </c>
      <c r="C112" s="5" t="s">
        <v>868</v>
      </c>
      <c r="D112" s="5" t="s">
        <v>944</v>
      </c>
      <c r="E112" s="5" t="s">
        <v>944</v>
      </c>
      <c r="F112" s="5" t="s">
        <v>1823</v>
      </c>
      <c r="G112" s="5" t="s">
        <v>2224</v>
      </c>
      <c r="H112" s="5" t="s">
        <v>944</v>
      </c>
      <c r="I112" s="5" t="s">
        <v>944</v>
      </c>
      <c r="J112" s="5" t="s">
        <v>1560</v>
      </c>
      <c r="K112" s="5" t="s">
        <v>1560</v>
      </c>
    </row>
    <row r="113" ht="15.75" hidden="1" customHeight="1">
      <c r="A113" s="5" t="s">
        <v>801</v>
      </c>
      <c r="B113" s="5" t="s">
        <v>875</v>
      </c>
      <c r="C113" s="5" t="s">
        <v>876</v>
      </c>
      <c r="D113" s="5" t="s">
        <v>944</v>
      </c>
      <c r="E113" s="5" t="s">
        <v>944</v>
      </c>
      <c r="F113" s="5" t="s">
        <v>2225</v>
      </c>
      <c r="G113" s="5" t="s">
        <v>2226</v>
      </c>
      <c r="H113" s="5" t="s">
        <v>944</v>
      </c>
      <c r="I113" s="5" t="s">
        <v>944</v>
      </c>
      <c r="J113" s="5" t="s">
        <v>1560</v>
      </c>
      <c r="K113" s="5" t="s">
        <v>1560</v>
      </c>
    </row>
    <row r="114" ht="15.75" hidden="1" customHeight="1">
      <c r="A114" s="5" t="s">
        <v>801</v>
      </c>
      <c r="B114" s="5" t="s">
        <v>875</v>
      </c>
      <c r="C114" s="5" t="s">
        <v>876</v>
      </c>
      <c r="D114" s="5" t="s">
        <v>944</v>
      </c>
      <c r="E114" s="5" t="s">
        <v>944</v>
      </c>
      <c r="F114" s="5" t="s">
        <v>2227</v>
      </c>
      <c r="G114" s="5" t="s">
        <v>2228</v>
      </c>
      <c r="H114" s="5" t="s">
        <v>944</v>
      </c>
      <c r="I114" s="5" t="s">
        <v>944</v>
      </c>
      <c r="J114" s="5" t="s">
        <v>1560</v>
      </c>
      <c r="K114" s="5" t="s">
        <v>1560</v>
      </c>
      <c r="M114" s="5" t="s">
        <v>2229</v>
      </c>
    </row>
    <row r="115" ht="15.75" hidden="1" customHeight="1">
      <c r="A115" s="5" t="s">
        <v>801</v>
      </c>
      <c r="B115" s="5" t="s">
        <v>883</v>
      </c>
      <c r="C115" s="5" t="s">
        <v>884</v>
      </c>
      <c r="D115" s="5" t="s">
        <v>944</v>
      </c>
      <c r="E115" s="5" t="s">
        <v>944</v>
      </c>
      <c r="F115" s="5" t="s">
        <v>2230</v>
      </c>
      <c r="G115" s="5" t="s">
        <v>2231</v>
      </c>
      <c r="H115" s="5" t="s">
        <v>944</v>
      </c>
      <c r="I115" s="5" t="s">
        <v>944</v>
      </c>
      <c r="J115" s="5" t="s">
        <v>1560</v>
      </c>
      <c r="K115" s="5" t="s">
        <v>1560</v>
      </c>
      <c r="M115" s="5" t="s">
        <v>2232</v>
      </c>
    </row>
    <row r="116" ht="15.75" hidden="1" customHeight="1">
      <c r="A116" s="5" t="s">
        <v>801</v>
      </c>
      <c r="B116" s="5" t="s">
        <v>890</v>
      </c>
      <c r="C116" s="5" t="s">
        <v>891</v>
      </c>
      <c r="D116" s="5" t="s">
        <v>1560</v>
      </c>
    </row>
    <row r="117" ht="15.75" hidden="1" customHeight="1">
      <c r="A117" s="5" t="s">
        <v>801</v>
      </c>
      <c r="B117" s="5" t="s">
        <v>890</v>
      </c>
      <c r="C117" s="5" t="s">
        <v>891</v>
      </c>
      <c r="D117" s="5" t="s">
        <v>1560</v>
      </c>
    </row>
    <row r="118" ht="15.75" hidden="1" customHeight="1">
      <c r="A118" s="5" t="s">
        <v>801</v>
      </c>
      <c r="B118" s="5" t="s">
        <v>898</v>
      </c>
      <c r="C118" s="5" t="s">
        <v>899</v>
      </c>
      <c r="D118" s="5" t="s">
        <v>1560</v>
      </c>
    </row>
    <row r="119" ht="15.75" hidden="1" customHeight="1">
      <c r="A119" s="5" t="s">
        <v>801</v>
      </c>
      <c r="B119" s="5" t="s">
        <v>906</v>
      </c>
      <c r="C119" s="5" t="s">
        <v>907</v>
      </c>
      <c r="D119" s="5" t="s">
        <v>944</v>
      </c>
      <c r="E119" s="5" t="s">
        <v>944</v>
      </c>
      <c r="F119" s="5" t="s">
        <v>2075</v>
      </c>
      <c r="G119" s="5" t="s">
        <v>2233</v>
      </c>
      <c r="H119" s="5" t="s">
        <v>944</v>
      </c>
      <c r="I119" s="5" t="s">
        <v>944</v>
      </c>
      <c r="J119" s="5" t="s">
        <v>944</v>
      </c>
    </row>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sheetData>
  <autoFilter ref="$A$1:$Z$1000">
    <filterColumn colId="10">
      <filters>
        <filter val="SI"/>
      </filters>
    </filterColumn>
  </autoFilter>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2234</v>
      </c>
      <c r="E1" s="1" t="s">
        <v>2235</v>
      </c>
      <c r="F1" s="1" t="s">
        <v>1905</v>
      </c>
      <c r="G1" s="1" t="s">
        <v>2236</v>
      </c>
      <c r="H1" s="1" t="s">
        <v>1907</v>
      </c>
      <c r="I1" s="1" t="s">
        <v>1965</v>
      </c>
      <c r="J1" s="1" t="s">
        <v>2237</v>
      </c>
      <c r="K1" s="1" t="s">
        <v>2124</v>
      </c>
      <c r="L1" s="1" t="s">
        <v>16</v>
      </c>
    </row>
    <row r="2">
      <c r="A2" s="5" t="s">
        <v>26</v>
      </c>
      <c r="B2" s="5" t="s">
        <v>27</v>
      </c>
      <c r="C2" s="5" t="s">
        <v>28</v>
      </c>
      <c r="D2" s="5" t="s">
        <v>1560</v>
      </c>
    </row>
    <row r="3">
      <c r="A3" s="5" t="s">
        <v>26</v>
      </c>
      <c r="B3" s="5" t="s">
        <v>39</v>
      </c>
      <c r="C3" s="5" t="s">
        <v>40</v>
      </c>
      <c r="D3" s="5" t="s">
        <v>1560</v>
      </c>
    </row>
    <row r="4">
      <c r="A4" s="5" t="s">
        <v>26</v>
      </c>
      <c r="B4" s="5" t="s">
        <v>50</v>
      </c>
      <c r="C4" s="5" t="s">
        <v>51</v>
      </c>
      <c r="D4" s="5" t="s">
        <v>1560</v>
      </c>
    </row>
    <row r="5">
      <c r="A5" s="5" t="s">
        <v>26</v>
      </c>
      <c r="B5" s="5" t="s">
        <v>60</v>
      </c>
      <c r="C5" s="5" t="s">
        <v>61</v>
      </c>
      <c r="D5" s="5" t="s">
        <v>1560</v>
      </c>
    </row>
    <row r="6">
      <c r="A6" s="5" t="s">
        <v>26</v>
      </c>
      <c r="B6" s="5" t="s">
        <v>71</v>
      </c>
      <c r="C6" s="5" t="s">
        <v>72</v>
      </c>
      <c r="D6" s="5" t="s">
        <v>1560</v>
      </c>
    </row>
    <row r="7">
      <c r="A7" s="5" t="s">
        <v>26</v>
      </c>
      <c r="B7" s="5" t="s">
        <v>80</v>
      </c>
      <c r="C7" s="5" t="s">
        <v>81</v>
      </c>
      <c r="D7" s="5" t="s">
        <v>944</v>
      </c>
      <c r="E7" s="5" t="s">
        <v>944</v>
      </c>
      <c r="F7" s="5" t="s">
        <v>2238</v>
      </c>
      <c r="G7" s="5" t="s">
        <v>2239</v>
      </c>
      <c r="H7" s="5" t="s">
        <v>944</v>
      </c>
      <c r="I7" s="5" t="s">
        <v>944</v>
      </c>
      <c r="J7" s="5" t="s">
        <v>2239</v>
      </c>
      <c r="K7" s="5" t="s">
        <v>974</v>
      </c>
      <c r="L7" s="5" t="s">
        <v>2240</v>
      </c>
    </row>
    <row r="8">
      <c r="A8" s="5" t="s">
        <v>26</v>
      </c>
      <c r="B8" s="5" t="s">
        <v>91</v>
      </c>
      <c r="C8" s="5" t="s">
        <v>92</v>
      </c>
      <c r="D8" s="5" t="s">
        <v>1560</v>
      </c>
    </row>
    <row r="9">
      <c r="A9" s="5" t="s">
        <v>26</v>
      </c>
      <c r="B9" s="5" t="s">
        <v>100</v>
      </c>
      <c r="C9" s="5" t="s">
        <v>101</v>
      </c>
      <c r="D9" s="5" t="s">
        <v>944</v>
      </c>
      <c r="E9" s="5" t="s">
        <v>944</v>
      </c>
      <c r="F9" s="5" t="s">
        <v>2241</v>
      </c>
      <c r="G9" s="5" t="s">
        <v>2242</v>
      </c>
      <c r="H9" s="5" t="s">
        <v>1560</v>
      </c>
      <c r="L9" s="5" t="s">
        <v>2243</v>
      </c>
    </row>
    <row r="10">
      <c r="A10" s="5" t="s">
        <v>26</v>
      </c>
      <c r="B10" s="5" t="s">
        <v>110</v>
      </c>
      <c r="C10" s="5" t="s">
        <v>111</v>
      </c>
      <c r="D10" s="5" t="s">
        <v>1560</v>
      </c>
    </row>
    <row r="11">
      <c r="A11" s="5" t="s">
        <v>121</v>
      </c>
      <c r="B11" s="5" t="s">
        <v>122</v>
      </c>
      <c r="C11" s="5" t="s">
        <v>123</v>
      </c>
      <c r="D11" s="5" t="s">
        <v>944</v>
      </c>
      <c r="E11" s="5" t="s">
        <v>944</v>
      </c>
      <c r="F11" s="5" t="s">
        <v>1165</v>
      </c>
      <c r="G11" s="5" t="s">
        <v>2244</v>
      </c>
      <c r="H11" s="5" t="s">
        <v>944</v>
      </c>
      <c r="I11" s="5" t="s">
        <v>944</v>
      </c>
      <c r="L11" s="5" t="s">
        <v>2245</v>
      </c>
    </row>
    <row r="12">
      <c r="A12" s="5" t="s">
        <v>121</v>
      </c>
      <c r="B12" s="5" t="s">
        <v>133</v>
      </c>
      <c r="C12" s="5" t="s">
        <v>134</v>
      </c>
      <c r="D12" s="5" t="s">
        <v>1560</v>
      </c>
    </row>
    <row r="13">
      <c r="A13" s="5" t="s">
        <v>121</v>
      </c>
      <c r="B13" s="5" t="s">
        <v>142</v>
      </c>
      <c r="C13" s="5" t="s">
        <v>143</v>
      </c>
      <c r="D13" s="5" t="s">
        <v>1560</v>
      </c>
    </row>
    <row r="14">
      <c r="A14" s="5" t="s">
        <v>121</v>
      </c>
      <c r="B14" s="5" t="s">
        <v>153</v>
      </c>
      <c r="C14" s="5" t="s">
        <v>154</v>
      </c>
      <c r="D14" s="5" t="s">
        <v>1560</v>
      </c>
    </row>
    <row r="15">
      <c r="A15" s="5" t="s">
        <v>121</v>
      </c>
      <c r="B15" s="5" t="s">
        <v>161</v>
      </c>
      <c r="C15" s="5" t="s">
        <v>162</v>
      </c>
      <c r="D15" s="5" t="s">
        <v>1560</v>
      </c>
      <c r="E15" s="5" t="s">
        <v>944</v>
      </c>
    </row>
    <row r="16">
      <c r="A16" s="5" t="s">
        <v>121</v>
      </c>
      <c r="B16" s="5" t="s">
        <v>170</v>
      </c>
      <c r="C16" s="5" t="s">
        <v>171</v>
      </c>
      <c r="D16" s="5" t="s">
        <v>1560</v>
      </c>
    </row>
    <row r="17">
      <c r="A17" s="5" t="s">
        <v>121</v>
      </c>
      <c r="B17" s="5" t="s">
        <v>180</v>
      </c>
      <c r="C17" s="5" t="s">
        <v>181</v>
      </c>
      <c r="D17" s="5" t="s">
        <v>1560</v>
      </c>
    </row>
    <row r="18">
      <c r="A18" s="5" t="s">
        <v>121</v>
      </c>
      <c r="B18" s="5" t="s">
        <v>190</v>
      </c>
      <c r="C18" s="5" t="s">
        <v>191</v>
      </c>
      <c r="D18" s="5" t="s">
        <v>1560</v>
      </c>
    </row>
    <row r="19">
      <c r="A19" s="5" t="s">
        <v>121</v>
      </c>
      <c r="B19" s="5" t="s">
        <v>201</v>
      </c>
      <c r="C19" s="5" t="s">
        <v>202</v>
      </c>
      <c r="D19" s="5" t="s">
        <v>1560</v>
      </c>
    </row>
    <row r="20">
      <c r="A20" s="5" t="s">
        <v>121</v>
      </c>
      <c r="B20" s="5" t="s">
        <v>211</v>
      </c>
      <c r="C20" s="5" t="s">
        <v>212</v>
      </c>
      <c r="D20" s="5" t="s">
        <v>1560</v>
      </c>
    </row>
    <row r="21" ht="15.75" customHeight="1">
      <c r="A21" s="5" t="s">
        <v>121</v>
      </c>
      <c r="B21" s="5" t="s">
        <v>219</v>
      </c>
      <c r="C21" s="5" t="s">
        <v>220</v>
      </c>
      <c r="D21" s="5" t="s">
        <v>1560</v>
      </c>
    </row>
    <row r="22" ht="15.75" customHeight="1">
      <c r="A22" s="5" t="s">
        <v>121</v>
      </c>
      <c r="B22" s="5" t="s">
        <v>227</v>
      </c>
      <c r="C22" s="5" t="s">
        <v>228</v>
      </c>
      <c r="D22" s="5" t="s">
        <v>1560</v>
      </c>
    </row>
    <row r="23" ht="15.75" customHeight="1">
      <c r="A23" s="5" t="s">
        <v>121</v>
      </c>
      <c r="B23" s="5" t="s">
        <v>236</v>
      </c>
      <c r="C23" s="5" t="s">
        <v>237</v>
      </c>
      <c r="D23" s="5" t="s">
        <v>1560</v>
      </c>
    </row>
    <row r="24" ht="15.75" customHeight="1">
      <c r="A24" s="5" t="s">
        <v>121</v>
      </c>
      <c r="B24" s="5" t="s">
        <v>244</v>
      </c>
      <c r="C24" s="5" t="s">
        <v>245</v>
      </c>
      <c r="D24" s="5" t="s">
        <v>1560</v>
      </c>
    </row>
    <row r="25" ht="15.75" customHeight="1">
      <c r="A25" s="5" t="s">
        <v>121</v>
      </c>
      <c r="B25" s="5" t="s">
        <v>253</v>
      </c>
      <c r="C25" s="5" t="s">
        <v>254</v>
      </c>
      <c r="D25" s="5" t="s">
        <v>1560</v>
      </c>
    </row>
    <row r="26" ht="15.75" customHeight="1">
      <c r="A26" s="5" t="s">
        <v>121</v>
      </c>
      <c r="B26" s="5" t="s">
        <v>261</v>
      </c>
      <c r="C26" s="5" t="s">
        <v>262</v>
      </c>
      <c r="D26" s="5" t="s">
        <v>1560</v>
      </c>
    </row>
    <row r="27" ht="15.75" customHeight="1">
      <c r="A27" s="5" t="s">
        <v>121</v>
      </c>
      <c r="B27" s="5" t="s">
        <v>270</v>
      </c>
      <c r="C27" s="5" t="s">
        <v>271</v>
      </c>
      <c r="D27" s="5" t="s">
        <v>1560</v>
      </c>
    </row>
    <row r="28" ht="15.75" customHeight="1">
      <c r="A28" s="5" t="s">
        <v>121</v>
      </c>
      <c r="B28" s="5" t="s">
        <v>279</v>
      </c>
      <c r="C28" s="5" t="s">
        <v>280</v>
      </c>
      <c r="D28" s="5" t="s">
        <v>1560</v>
      </c>
    </row>
    <row r="29" ht="15.75" customHeight="1">
      <c r="A29" s="5" t="s">
        <v>121</v>
      </c>
      <c r="B29" s="5" t="s">
        <v>288</v>
      </c>
      <c r="C29" s="5" t="s">
        <v>289</v>
      </c>
      <c r="D29" s="5" t="s">
        <v>1560</v>
      </c>
      <c r="E29" s="5" t="s">
        <v>1560</v>
      </c>
    </row>
    <row r="30" ht="15.75" customHeight="1">
      <c r="A30" s="5" t="s">
        <v>121</v>
      </c>
      <c r="B30" s="5" t="s">
        <v>296</v>
      </c>
      <c r="C30" s="5" t="s">
        <v>297</v>
      </c>
      <c r="D30" s="5" t="s">
        <v>1560</v>
      </c>
    </row>
    <row r="31" ht="15.75" customHeight="1">
      <c r="A31" s="5" t="s">
        <v>121</v>
      </c>
      <c r="B31" s="5" t="s">
        <v>304</v>
      </c>
      <c r="C31" s="5" t="s">
        <v>305</v>
      </c>
      <c r="D31" s="5" t="s">
        <v>1560</v>
      </c>
    </row>
    <row r="32" ht="15.75" customHeight="1">
      <c r="A32" s="5" t="s">
        <v>121</v>
      </c>
      <c r="B32" s="5" t="s">
        <v>313</v>
      </c>
      <c r="C32" s="5" t="s">
        <v>314</v>
      </c>
      <c r="D32" s="5" t="s">
        <v>1560</v>
      </c>
    </row>
    <row r="33" ht="15.75" customHeight="1">
      <c r="A33" s="5" t="s">
        <v>121</v>
      </c>
      <c r="B33" s="5" t="s">
        <v>321</v>
      </c>
      <c r="C33" s="5" t="s">
        <v>322</v>
      </c>
      <c r="D33" s="5" t="s">
        <v>1560</v>
      </c>
    </row>
    <row r="34" ht="15.75" customHeight="1">
      <c r="A34" s="5" t="s">
        <v>121</v>
      </c>
      <c r="B34" s="5" t="s">
        <v>330</v>
      </c>
      <c r="C34" s="5" t="s">
        <v>331</v>
      </c>
      <c r="D34" s="5" t="s">
        <v>1560</v>
      </c>
    </row>
    <row r="35" ht="15.75" customHeight="1">
      <c r="A35" s="5" t="s">
        <v>121</v>
      </c>
      <c r="B35" s="5" t="s">
        <v>338</v>
      </c>
      <c r="C35" s="5" t="s">
        <v>339</v>
      </c>
      <c r="D35" s="5" t="s">
        <v>944</v>
      </c>
      <c r="E35" s="5" t="s">
        <v>944</v>
      </c>
      <c r="F35" s="5" t="s">
        <v>2246</v>
      </c>
      <c r="G35" s="5" t="s">
        <v>2247</v>
      </c>
      <c r="H35" s="5" t="s">
        <v>1560</v>
      </c>
      <c r="L35" s="5" t="s">
        <v>2248</v>
      </c>
    </row>
    <row r="36" ht="15.75" customHeight="1">
      <c r="A36" s="5" t="s">
        <v>121</v>
      </c>
      <c r="B36" s="5" t="s">
        <v>348</v>
      </c>
      <c r="C36" s="5" t="s">
        <v>349</v>
      </c>
      <c r="D36" s="5" t="s">
        <v>1560</v>
      </c>
      <c r="E36" s="5" t="s">
        <v>944</v>
      </c>
    </row>
    <row r="37" ht="15.75" customHeight="1">
      <c r="A37" s="5" t="s">
        <v>121</v>
      </c>
      <c r="B37" s="5" t="s">
        <v>355</v>
      </c>
      <c r="C37" s="5" t="s">
        <v>356</v>
      </c>
      <c r="D37" s="5" t="s">
        <v>944</v>
      </c>
      <c r="E37" s="5" t="s">
        <v>1560</v>
      </c>
    </row>
    <row r="38" ht="15.75" customHeight="1">
      <c r="A38" s="5" t="s">
        <v>121</v>
      </c>
      <c r="B38" s="5" t="s">
        <v>365</v>
      </c>
      <c r="C38" s="5" t="s">
        <v>366</v>
      </c>
      <c r="D38" s="5" t="s">
        <v>1560</v>
      </c>
    </row>
    <row r="39" ht="15.75" customHeight="1">
      <c r="A39" s="5" t="s">
        <v>121</v>
      </c>
      <c r="B39" s="5" t="s">
        <v>375</v>
      </c>
      <c r="C39" s="5" t="s">
        <v>376</v>
      </c>
      <c r="D39" s="5" t="s">
        <v>944</v>
      </c>
      <c r="E39" s="5" t="s">
        <v>944</v>
      </c>
      <c r="F39" s="5" t="s">
        <v>2075</v>
      </c>
      <c r="G39" s="5" t="s">
        <v>2249</v>
      </c>
      <c r="H39" s="5" t="s">
        <v>944</v>
      </c>
      <c r="I39" s="5" t="s">
        <v>944</v>
      </c>
      <c r="K39" s="5" t="s">
        <v>1623</v>
      </c>
      <c r="L39" s="5" t="s">
        <v>2250</v>
      </c>
    </row>
    <row r="40" ht="15.75" customHeight="1">
      <c r="A40" s="5" t="s">
        <v>121</v>
      </c>
      <c r="B40" s="5" t="s">
        <v>375</v>
      </c>
      <c r="C40" s="5" t="s">
        <v>376</v>
      </c>
      <c r="D40" s="5" t="s">
        <v>944</v>
      </c>
      <c r="E40" s="5" t="s">
        <v>944</v>
      </c>
      <c r="F40" s="5" t="s">
        <v>2075</v>
      </c>
      <c r="G40" s="5" t="s">
        <v>2249</v>
      </c>
      <c r="H40" s="5" t="s">
        <v>944</v>
      </c>
      <c r="I40" s="5" t="s">
        <v>944</v>
      </c>
      <c r="K40" s="5" t="s">
        <v>1623</v>
      </c>
      <c r="L40" s="5" t="s">
        <v>2250</v>
      </c>
    </row>
    <row r="41" ht="15.75" customHeight="1">
      <c r="A41" s="5" t="s">
        <v>121</v>
      </c>
      <c r="B41" s="5" t="s">
        <v>387</v>
      </c>
      <c r="C41" s="5" t="s">
        <v>388</v>
      </c>
      <c r="D41" s="5" t="s">
        <v>1560</v>
      </c>
    </row>
    <row r="42" ht="15.75" customHeight="1">
      <c r="A42" s="5" t="s">
        <v>121</v>
      </c>
      <c r="B42" s="5" t="s">
        <v>395</v>
      </c>
      <c r="C42" s="5" t="s">
        <v>396</v>
      </c>
      <c r="D42" s="5" t="s">
        <v>1560</v>
      </c>
    </row>
    <row r="43" ht="15.75" customHeight="1">
      <c r="A43" s="5" t="s">
        <v>121</v>
      </c>
      <c r="B43" s="5" t="s">
        <v>405</v>
      </c>
      <c r="C43" s="5" t="s">
        <v>406</v>
      </c>
      <c r="D43" s="5" t="s">
        <v>944</v>
      </c>
      <c r="E43" s="5" t="s">
        <v>944</v>
      </c>
      <c r="F43" s="5" t="s">
        <v>2251</v>
      </c>
      <c r="G43" s="5" t="s">
        <v>2252</v>
      </c>
      <c r="H43" s="5" t="s">
        <v>1560</v>
      </c>
      <c r="L43" s="5" t="s">
        <v>2253</v>
      </c>
    </row>
    <row r="44" ht="15.75" customHeight="1">
      <c r="A44" s="5" t="s">
        <v>121</v>
      </c>
      <c r="B44" s="5" t="s">
        <v>412</v>
      </c>
      <c r="C44" s="5" t="s">
        <v>413</v>
      </c>
      <c r="D44" s="5" t="s">
        <v>1560</v>
      </c>
    </row>
    <row r="45" ht="15.75" customHeight="1">
      <c r="A45" s="5" t="s">
        <v>419</v>
      </c>
      <c r="B45" s="5" t="s">
        <v>420</v>
      </c>
      <c r="C45" s="5" t="s">
        <v>421</v>
      </c>
      <c r="D45" s="5" t="s">
        <v>1560</v>
      </c>
    </row>
    <row r="46" ht="15.75" customHeight="1">
      <c r="A46" s="5" t="s">
        <v>419</v>
      </c>
      <c r="B46" s="5" t="s">
        <v>430</v>
      </c>
      <c r="C46" s="5" t="s">
        <v>431</v>
      </c>
      <c r="D46" s="5" t="s">
        <v>1560</v>
      </c>
    </row>
    <row r="47" ht="15.75" customHeight="1">
      <c r="A47" s="5" t="s">
        <v>419</v>
      </c>
      <c r="B47" s="5" t="s">
        <v>438</v>
      </c>
      <c r="C47" s="5" t="s">
        <v>439</v>
      </c>
      <c r="D47" s="5" t="s">
        <v>944</v>
      </c>
      <c r="E47" s="5" t="s">
        <v>944</v>
      </c>
      <c r="F47" s="5" t="s">
        <v>2036</v>
      </c>
      <c r="G47" s="5" t="s">
        <v>2254</v>
      </c>
      <c r="H47" s="5" t="s">
        <v>1560</v>
      </c>
      <c r="L47" s="5" t="s">
        <v>2255</v>
      </c>
    </row>
    <row r="48" ht="15.75" customHeight="1">
      <c r="A48" s="5" t="s">
        <v>419</v>
      </c>
      <c r="B48" s="5" t="s">
        <v>446</v>
      </c>
      <c r="C48" s="5" t="s">
        <v>447</v>
      </c>
      <c r="D48" s="5" t="s">
        <v>1560</v>
      </c>
    </row>
    <row r="49" ht="15.75" customHeight="1">
      <c r="A49" s="5" t="s">
        <v>419</v>
      </c>
      <c r="B49" s="5" t="s">
        <v>453</v>
      </c>
      <c r="C49" s="5" t="s">
        <v>454</v>
      </c>
      <c r="D49" s="5" t="s">
        <v>1560</v>
      </c>
    </row>
    <row r="50" ht="15.75" customHeight="1">
      <c r="A50" s="5" t="s">
        <v>419</v>
      </c>
      <c r="B50" s="5" t="s">
        <v>461</v>
      </c>
      <c r="C50" s="5" t="s">
        <v>462</v>
      </c>
      <c r="D50" s="5" t="s">
        <v>1560</v>
      </c>
    </row>
    <row r="51" ht="15.75" customHeight="1">
      <c r="A51" s="5" t="s">
        <v>419</v>
      </c>
      <c r="B51" s="5" t="s">
        <v>469</v>
      </c>
      <c r="C51" s="5" t="s">
        <v>470</v>
      </c>
      <c r="D51" s="5" t="s">
        <v>1560</v>
      </c>
    </row>
    <row r="52" ht="15.75" customHeight="1">
      <c r="A52" s="5" t="s">
        <v>419</v>
      </c>
      <c r="B52" s="5" t="s">
        <v>477</v>
      </c>
      <c r="C52" s="5" t="s">
        <v>478</v>
      </c>
      <c r="D52" s="5" t="s">
        <v>1560</v>
      </c>
    </row>
    <row r="53" ht="15.75" customHeight="1">
      <c r="A53" s="5" t="s">
        <v>419</v>
      </c>
      <c r="B53" s="5" t="s">
        <v>477</v>
      </c>
      <c r="C53" s="5" t="s">
        <v>478</v>
      </c>
      <c r="D53" s="5" t="s">
        <v>1560</v>
      </c>
    </row>
    <row r="54" ht="15.75" customHeight="1">
      <c r="A54" s="5" t="s">
        <v>419</v>
      </c>
      <c r="B54" s="5" t="s">
        <v>488</v>
      </c>
      <c r="C54" s="5" t="s">
        <v>489</v>
      </c>
      <c r="D54" s="5" t="s">
        <v>1560</v>
      </c>
    </row>
    <row r="55" ht="15.75" customHeight="1">
      <c r="A55" s="5" t="s">
        <v>419</v>
      </c>
      <c r="B55" s="5" t="s">
        <v>498</v>
      </c>
      <c r="C55" s="5" t="s">
        <v>499</v>
      </c>
      <c r="D55" s="5" t="s">
        <v>1560</v>
      </c>
    </row>
    <row r="56" ht="15.75" customHeight="1">
      <c r="A56" s="5" t="s">
        <v>419</v>
      </c>
      <c r="B56" s="5" t="s">
        <v>507</v>
      </c>
      <c r="C56" s="5" t="s">
        <v>508</v>
      </c>
      <c r="D56" s="5" t="s">
        <v>1560</v>
      </c>
    </row>
    <row r="57" ht="15.75" customHeight="1">
      <c r="A57" s="5" t="s">
        <v>419</v>
      </c>
      <c r="B57" s="5" t="s">
        <v>517</v>
      </c>
      <c r="C57" s="5" t="s">
        <v>518</v>
      </c>
      <c r="D57" s="5" t="s">
        <v>1560</v>
      </c>
    </row>
    <row r="58" ht="15.75" customHeight="1">
      <c r="A58" s="5" t="s">
        <v>419</v>
      </c>
      <c r="B58" s="5" t="s">
        <v>527</v>
      </c>
      <c r="C58" s="5" t="s">
        <v>528</v>
      </c>
      <c r="D58" s="5" t="s">
        <v>944</v>
      </c>
      <c r="E58" s="5" t="s">
        <v>944</v>
      </c>
      <c r="F58" s="5" t="s">
        <v>1422</v>
      </c>
      <c r="G58" s="5" t="s">
        <v>2256</v>
      </c>
      <c r="H58" s="5" t="s">
        <v>944</v>
      </c>
      <c r="I58" s="5" t="s">
        <v>944</v>
      </c>
    </row>
    <row r="59" ht="15.75" customHeight="1">
      <c r="A59" s="5" t="s">
        <v>419</v>
      </c>
      <c r="B59" s="5" t="s">
        <v>533</v>
      </c>
      <c r="C59" s="5" t="s">
        <v>534</v>
      </c>
      <c r="D59" s="5" t="s">
        <v>1560</v>
      </c>
    </row>
    <row r="60" ht="15.75" customHeight="1">
      <c r="A60" s="5" t="s">
        <v>419</v>
      </c>
      <c r="B60" s="5" t="s">
        <v>541</v>
      </c>
      <c r="C60" s="5" t="s">
        <v>542</v>
      </c>
      <c r="D60" s="5" t="s">
        <v>1560</v>
      </c>
    </row>
    <row r="61" ht="15.75" customHeight="1">
      <c r="A61" s="5" t="s">
        <v>419</v>
      </c>
      <c r="B61" s="5" t="s">
        <v>550</v>
      </c>
      <c r="C61" s="5" t="s">
        <v>551</v>
      </c>
      <c r="D61" s="5" t="s">
        <v>1560</v>
      </c>
    </row>
    <row r="62" ht="15.75" customHeight="1">
      <c r="A62" s="5" t="s">
        <v>419</v>
      </c>
      <c r="B62" s="5" t="s">
        <v>559</v>
      </c>
      <c r="C62" s="5" t="s">
        <v>560</v>
      </c>
      <c r="D62" s="5" t="s">
        <v>1560</v>
      </c>
    </row>
    <row r="63" ht="15.75" customHeight="1">
      <c r="A63" s="5" t="s">
        <v>567</v>
      </c>
      <c r="B63" s="5" t="s">
        <v>568</v>
      </c>
      <c r="C63" s="5" t="s">
        <v>569</v>
      </c>
      <c r="D63" s="5" t="s">
        <v>1560</v>
      </c>
    </row>
    <row r="64" ht="15.75" customHeight="1">
      <c r="A64" s="5" t="s">
        <v>567</v>
      </c>
      <c r="B64" s="5" t="s">
        <v>577</v>
      </c>
      <c r="C64" s="5" t="s">
        <v>578</v>
      </c>
      <c r="D64" s="5" t="s">
        <v>1560</v>
      </c>
    </row>
    <row r="65" ht="15.75" customHeight="1">
      <c r="A65" s="5" t="s">
        <v>567</v>
      </c>
      <c r="B65" s="5" t="s">
        <v>586</v>
      </c>
      <c r="C65" s="5" t="s">
        <v>587</v>
      </c>
      <c r="D65" s="5" t="s">
        <v>1560</v>
      </c>
    </row>
    <row r="66" ht="15.75" customHeight="1">
      <c r="A66" s="5" t="s">
        <v>567</v>
      </c>
      <c r="B66" s="5" t="s">
        <v>597</v>
      </c>
      <c r="C66" s="5" t="s">
        <v>598</v>
      </c>
      <c r="D66" s="5" t="s">
        <v>944</v>
      </c>
      <c r="E66" s="5" t="s">
        <v>944</v>
      </c>
      <c r="F66" s="5" t="s">
        <v>2257</v>
      </c>
      <c r="G66" s="5" t="s">
        <v>2258</v>
      </c>
      <c r="H66" s="5" t="s">
        <v>944</v>
      </c>
      <c r="I66" s="5" t="s">
        <v>944</v>
      </c>
      <c r="J66" s="5" t="s">
        <v>2231</v>
      </c>
      <c r="K66" s="5" t="s">
        <v>949</v>
      </c>
    </row>
    <row r="67" ht="15.75" customHeight="1">
      <c r="A67" s="5" t="s">
        <v>567</v>
      </c>
      <c r="B67" s="5" t="s">
        <v>606</v>
      </c>
      <c r="C67" s="5" t="s">
        <v>607</v>
      </c>
      <c r="D67" s="5" t="s">
        <v>1560</v>
      </c>
    </row>
    <row r="68" ht="15.75" customHeight="1">
      <c r="A68" s="5" t="s">
        <v>567</v>
      </c>
      <c r="B68" s="5" t="s">
        <v>606</v>
      </c>
      <c r="C68" s="5" t="s">
        <v>607</v>
      </c>
      <c r="D68" s="5" t="s">
        <v>1560</v>
      </c>
    </row>
    <row r="69" ht="15.75" customHeight="1">
      <c r="A69" s="5" t="s">
        <v>567</v>
      </c>
      <c r="B69" s="5" t="s">
        <v>614</v>
      </c>
      <c r="C69" s="5" t="s">
        <v>615</v>
      </c>
      <c r="D69" s="5" t="s">
        <v>1560</v>
      </c>
      <c r="E69" s="5" t="s">
        <v>944</v>
      </c>
    </row>
    <row r="70" ht="15.75" customHeight="1">
      <c r="A70" s="5" t="s">
        <v>567</v>
      </c>
      <c r="B70" s="5" t="s">
        <v>624</v>
      </c>
      <c r="C70" s="5" t="s">
        <v>625</v>
      </c>
      <c r="D70" s="5" t="s">
        <v>1560</v>
      </c>
    </row>
    <row r="71" ht="15.75" customHeight="1">
      <c r="A71" s="5" t="s">
        <v>567</v>
      </c>
      <c r="B71" s="5" t="s">
        <v>634</v>
      </c>
      <c r="C71" s="5" t="s">
        <v>635</v>
      </c>
      <c r="D71" s="5" t="s">
        <v>1560</v>
      </c>
    </row>
    <row r="72" ht="15.75" customHeight="1">
      <c r="A72" s="5" t="s">
        <v>567</v>
      </c>
      <c r="B72" s="5" t="s">
        <v>643</v>
      </c>
      <c r="C72" s="5" t="s">
        <v>644</v>
      </c>
      <c r="D72" s="5" t="s">
        <v>1560</v>
      </c>
    </row>
    <row r="73" ht="15.75" customHeight="1">
      <c r="A73" s="5" t="s">
        <v>567</v>
      </c>
      <c r="B73" s="5" t="s">
        <v>651</v>
      </c>
      <c r="C73" s="5" t="s">
        <v>652</v>
      </c>
      <c r="D73" s="5" t="s">
        <v>1560</v>
      </c>
    </row>
    <row r="74" ht="15.75" customHeight="1">
      <c r="A74" s="5" t="s">
        <v>567</v>
      </c>
      <c r="B74" s="5" t="s">
        <v>659</v>
      </c>
      <c r="C74" s="5" t="s">
        <v>660</v>
      </c>
      <c r="D74" s="5" t="s">
        <v>1560</v>
      </c>
    </row>
    <row r="75" ht="15.75" customHeight="1">
      <c r="A75" s="5" t="s">
        <v>567</v>
      </c>
      <c r="B75" s="5" t="s">
        <v>667</v>
      </c>
      <c r="C75" s="5" t="s">
        <v>668</v>
      </c>
      <c r="D75" s="5" t="s">
        <v>1560</v>
      </c>
    </row>
    <row r="76" ht="15.75" customHeight="1">
      <c r="A76" s="5" t="s">
        <v>567</v>
      </c>
      <c r="B76" s="5" t="s">
        <v>674</v>
      </c>
      <c r="C76" s="5" t="s">
        <v>675</v>
      </c>
      <c r="D76" s="5" t="s">
        <v>944</v>
      </c>
      <c r="E76" s="5" t="s">
        <v>944</v>
      </c>
      <c r="F76" s="5" t="s">
        <v>2259</v>
      </c>
      <c r="G76" s="5" t="s">
        <v>2260</v>
      </c>
      <c r="H76" s="5" t="s">
        <v>944</v>
      </c>
      <c r="I76" s="5" t="s">
        <v>944</v>
      </c>
      <c r="J76" s="5" t="s">
        <v>2261</v>
      </c>
      <c r="K76" s="5" t="s">
        <v>957</v>
      </c>
      <c r="L76" s="5" t="s">
        <v>2262</v>
      </c>
    </row>
    <row r="77" ht="15.75" customHeight="1">
      <c r="A77" s="5" t="s">
        <v>682</v>
      </c>
      <c r="B77" s="5" t="s">
        <v>683</v>
      </c>
      <c r="C77" s="5" t="s">
        <v>684</v>
      </c>
      <c r="D77" s="5" t="s">
        <v>1560</v>
      </c>
    </row>
    <row r="78" ht="15.75" customHeight="1">
      <c r="A78" s="5" t="s">
        <v>682</v>
      </c>
      <c r="B78" s="5" t="s">
        <v>691</v>
      </c>
      <c r="C78" s="5" t="s">
        <v>692</v>
      </c>
      <c r="D78" s="5" t="s">
        <v>944</v>
      </c>
      <c r="E78" s="5" t="s">
        <v>944</v>
      </c>
      <c r="F78" s="5" t="s">
        <v>2068</v>
      </c>
      <c r="G78" s="5" t="s">
        <v>2263</v>
      </c>
      <c r="H78" s="5" t="s">
        <v>944</v>
      </c>
      <c r="I78" s="5" t="s">
        <v>944</v>
      </c>
      <c r="J78" s="5" t="s">
        <v>2264</v>
      </c>
      <c r="K78" s="5" t="s">
        <v>1036</v>
      </c>
      <c r="L78" s="5" t="s">
        <v>2265</v>
      </c>
    </row>
    <row r="79" ht="15.75" customHeight="1">
      <c r="A79" s="5" t="s">
        <v>682</v>
      </c>
      <c r="B79" s="5" t="s">
        <v>691</v>
      </c>
      <c r="C79" s="5" t="s">
        <v>692</v>
      </c>
      <c r="D79" s="5" t="s">
        <v>944</v>
      </c>
      <c r="E79" s="5" t="s">
        <v>944</v>
      </c>
      <c r="F79" s="5" t="s">
        <v>2266</v>
      </c>
      <c r="G79" s="5" t="s">
        <v>2267</v>
      </c>
      <c r="H79" s="5" t="s">
        <v>944</v>
      </c>
      <c r="I79" s="5" t="s">
        <v>944</v>
      </c>
      <c r="J79" s="5" t="s">
        <v>2264</v>
      </c>
      <c r="K79" s="5" t="s">
        <v>949</v>
      </c>
      <c r="L79" s="5" t="s">
        <v>2268</v>
      </c>
    </row>
    <row r="80" ht="15.75" customHeight="1">
      <c r="A80" s="5" t="s">
        <v>682</v>
      </c>
      <c r="B80" s="5" t="s">
        <v>699</v>
      </c>
      <c r="C80" s="5" t="s">
        <v>700</v>
      </c>
      <c r="D80" s="5" t="s">
        <v>1560</v>
      </c>
    </row>
    <row r="81" ht="15.75" customHeight="1">
      <c r="A81" s="5" t="s">
        <v>682</v>
      </c>
      <c r="B81" s="5" t="s">
        <v>707</v>
      </c>
      <c r="C81" s="5" t="s">
        <v>708</v>
      </c>
      <c r="D81" s="5" t="s">
        <v>1560</v>
      </c>
    </row>
    <row r="82" ht="15.75" customHeight="1">
      <c r="A82" s="5" t="s">
        <v>682</v>
      </c>
      <c r="B82" s="5" t="s">
        <v>715</v>
      </c>
      <c r="C82" s="5" t="s">
        <v>716</v>
      </c>
      <c r="D82" s="5" t="s">
        <v>1560</v>
      </c>
    </row>
    <row r="83" ht="15.75" customHeight="1">
      <c r="A83" s="5" t="s">
        <v>682</v>
      </c>
      <c r="B83" s="5" t="s">
        <v>725</v>
      </c>
      <c r="C83" s="5" t="s">
        <v>726</v>
      </c>
      <c r="D83" s="5" t="s">
        <v>1560</v>
      </c>
    </row>
    <row r="84" ht="15.75" customHeight="1">
      <c r="A84" s="5" t="s">
        <v>682</v>
      </c>
      <c r="B84" s="5" t="s">
        <v>732</v>
      </c>
      <c r="C84" s="5" t="s">
        <v>733</v>
      </c>
      <c r="D84" s="5" t="s">
        <v>944</v>
      </c>
      <c r="E84" s="5" t="s">
        <v>944</v>
      </c>
      <c r="F84" s="5" t="s">
        <v>2201</v>
      </c>
      <c r="G84" s="5" t="s">
        <v>2269</v>
      </c>
      <c r="H84" s="5" t="s">
        <v>944</v>
      </c>
      <c r="I84" s="5" t="s">
        <v>944</v>
      </c>
      <c r="J84" s="5" t="s">
        <v>2269</v>
      </c>
      <c r="K84" s="5" t="s">
        <v>1257</v>
      </c>
    </row>
    <row r="85" ht="15.75" customHeight="1">
      <c r="A85" s="5" t="s">
        <v>682</v>
      </c>
      <c r="B85" s="5" t="s">
        <v>739</v>
      </c>
      <c r="C85" s="5" t="s">
        <v>740</v>
      </c>
      <c r="D85" s="5" t="s">
        <v>1560</v>
      </c>
    </row>
    <row r="86" ht="15.75" customHeight="1">
      <c r="A86" s="5" t="s">
        <v>682</v>
      </c>
      <c r="B86" s="5" t="s">
        <v>749</v>
      </c>
      <c r="C86" s="5" t="s">
        <v>750</v>
      </c>
      <c r="D86" s="5" t="s">
        <v>1560</v>
      </c>
    </row>
    <row r="87" ht="15.75" customHeight="1">
      <c r="A87" s="5" t="s">
        <v>682</v>
      </c>
      <c r="B87" s="5" t="s">
        <v>757</v>
      </c>
      <c r="C87" s="5" t="s">
        <v>758</v>
      </c>
      <c r="D87" s="5" t="s">
        <v>1560</v>
      </c>
    </row>
    <row r="88" ht="15.75" customHeight="1">
      <c r="A88" s="5" t="s">
        <v>682</v>
      </c>
      <c r="B88" s="5" t="s">
        <v>765</v>
      </c>
      <c r="C88" s="5" t="s">
        <v>766</v>
      </c>
      <c r="D88" s="5" t="s">
        <v>1560</v>
      </c>
    </row>
    <row r="89" ht="15.75" customHeight="1">
      <c r="A89" s="5" t="s">
        <v>682</v>
      </c>
      <c r="B89" s="5" t="s">
        <v>773</v>
      </c>
      <c r="C89" s="5" t="s">
        <v>774</v>
      </c>
      <c r="D89" s="5" t="s">
        <v>1560</v>
      </c>
    </row>
    <row r="90" ht="15.75" customHeight="1">
      <c r="A90" s="5" t="s">
        <v>682</v>
      </c>
      <c r="B90" s="5" t="s">
        <v>782</v>
      </c>
      <c r="C90" s="5" t="s">
        <v>783</v>
      </c>
      <c r="D90" s="5" t="s">
        <v>1560</v>
      </c>
    </row>
    <row r="91" ht="15.75" customHeight="1">
      <c r="A91" s="5" t="s">
        <v>682</v>
      </c>
      <c r="B91" s="5" t="s">
        <v>791</v>
      </c>
      <c r="C91" s="5" t="s">
        <v>792</v>
      </c>
      <c r="D91" s="5" t="s">
        <v>1560</v>
      </c>
    </row>
    <row r="92" ht="15.75" customHeight="1">
      <c r="A92" s="5" t="s">
        <v>801</v>
      </c>
      <c r="B92" s="5" t="s">
        <v>802</v>
      </c>
      <c r="C92" s="5" t="s">
        <v>803</v>
      </c>
      <c r="D92" s="5" t="s">
        <v>1560</v>
      </c>
    </row>
    <row r="93" ht="15.75" customHeight="1">
      <c r="A93" s="5" t="s">
        <v>801</v>
      </c>
      <c r="B93" s="5" t="s">
        <v>810</v>
      </c>
      <c r="C93" s="5" t="s">
        <v>811</v>
      </c>
      <c r="D93" s="5" t="s">
        <v>1560</v>
      </c>
    </row>
    <row r="94" ht="15.75" customHeight="1">
      <c r="A94" s="5" t="s">
        <v>801</v>
      </c>
      <c r="B94" s="5" t="s">
        <v>818</v>
      </c>
      <c r="C94" s="5" t="s">
        <v>819</v>
      </c>
      <c r="D94" s="5" t="s">
        <v>1560</v>
      </c>
    </row>
    <row r="95" ht="15.75" customHeight="1">
      <c r="A95" s="5" t="s">
        <v>801</v>
      </c>
      <c r="B95" s="5" t="s">
        <v>826</v>
      </c>
      <c r="C95" s="5" t="s">
        <v>827</v>
      </c>
      <c r="D95" s="5" t="s">
        <v>1560</v>
      </c>
    </row>
    <row r="96" ht="15.75" customHeight="1">
      <c r="A96" s="5" t="s">
        <v>801</v>
      </c>
      <c r="B96" s="5" t="s">
        <v>836</v>
      </c>
      <c r="C96" s="5" t="s">
        <v>837</v>
      </c>
      <c r="D96" s="5" t="s">
        <v>1560</v>
      </c>
    </row>
    <row r="97" ht="15.75" customHeight="1">
      <c r="A97" s="5" t="s">
        <v>801</v>
      </c>
      <c r="B97" s="5" t="s">
        <v>844</v>
      </c>
      <c r="C97" s="5" t="s">
        <v>845</v>
      </c>
      <c r="D97" s="5" t="s">
        <v>1560</v>
      </c>
    </row>
    <row r="98" ht="15.75" customHeight="1">
      <c r="A98" s="5" t="s">
        <v>801</v>
      </c>
      <c r="B98" s="5" t="s">
        <v>853</v>
      </c>
      <c r="C98" s="5" t="s">
        <v>854</v>
      </c>
      <c r="D98" s="5" t="s">
        <v>1560</v>
      </c>
    </row>
    <row r="99" ht="15.75" customHeight="1">
      <c r="A99" s="5" t="s">
        <v>801</v>
      </c>
      <c r="B99" s="5" t="s">
        <v>860</v>
      </c>
      <c r="C99" s="5" t="s">
        <v>861</v>
      </c>
      <c r="D99" s="5" t="s">
        <v>1560</v>
      </c>
    </row>
    <row r="100" ht="15.75" customHeight="1">
      <c r="A100" s="5" t="s">
        <v>801</v>
      </c>
      <c r="B100" s="5" t="s">
        <v>867</v>
      </c>
      <c r="C100" s="5" t="s">
        <v>868</v>
      </c>
      <c r="D100" s="5" t="s">
        <v>1560</v>
      </c>
    </row>
    <row r="101" ht="15.75" customHeight="1">
      <c r="A101" s="5" t="s">
        <v>801</v>
      </c>
      <c r="B101" s="5" t="s">
        <v>875</v>
      </c>
      <c r="C101" s="5" t="s">
        <v>876</v>
      </c>
      <c r="D101" s="5" t="s">
        <v>944</v>
      </c>
      <c r="E101" s="5" t="s">
        <v>944</v>
      </c>
      <c r="F101" s="5" t="s">
        <v>2270</v>
      </c>
      <c r="G101" s="5" t="s">
        <v>2271</v>
      </c>
      <c r="H101" s="5" t="s">
        <v>944</v>
      </c>
      <c r="I101" s="5" t="s">
        <v>944</v>
      </c>
      <c r="J101" s="5" t="s">
        <v>2272</v>
      </c>
      <c r="K101" s="5" t="s">
        <v>1006</v>
      </c>
    </row>
    <row r="102" ht="15.75" customHeight="1">
      <c r="A102" s="5" t="s">
        <v>801</v>
      </c>
      <c r="B102" s="5" t="s">
        <v>875</v>
      </c>
      <c r="C102" s="5" t="s">
        <v>876</v>
      </c>
      <c r="D102" s="5" t="s">
        <v>944</v>
      </c>
      <c r="E102" s="5" t="s">
        <v>944</v>
      </c>
      <c r="F102" s="5" t="s">
        <v>2273</v>
      </c>
      <c r="G102" s="5" t="s">
        <v>2274</v>
      </c>
      <c r="H102" s="5" t="s">
        <v>944</v>
      </c>
      <c r="I102" s="5" t="s">
        <v>944</v>
      </c>
      <c r="J102" s="5" t="s">
        <v>2272</v>
      </c>
      <c r="K102" s="5" t="s">
        <v>1111</v>
      </c>
    </row>
    <row r="103" ht="15.75" customHeight="1">
      <c r="A103" s="5" t="s">
        <v>801</v>
      </c>
      <c r="B103" s="5" t="s">
        <v>883</v>
      </c>
      <c r="C103" s="5" t="s">
        <v>884</v>
      </c>
      <c r="D103" s="5" t="s">
        <v>944</v>
      </c>
      <c r="E103" s="5" t="s">
        <v>944</v>
      </c>
      <c r="F103" s="5" t="s">
        <v>2275</v>
      </c>
      <c r="G103" s="5" t="s">
        <v>2276</v>
      </c>
      <c r="H103" s="5" t="s">
        <v>944</v>
      </c>
      <c r="I103" s="5" t="s">
        <v>944</v>
      </c>
    </row>
    <row r="104" ht="15.75" customHeight="1">
      <c r="A104" s="5" t="s">
        <v>801</v>
      </c>
      <c r="B104" s="5" t="s">
        <v>890</v>
      </c>
      <c r="C104" s="5" t="s">
        <v>891</v>
      </c>
      <c r="D104" s="5" t="s">
        <v>1560</v>
      </c>
    </row>
    <row r="105" ht="15.75" customHeight="1">
      <c r="A105" s="5" t="s">
        <v>801</v>
      </c>
      <c r="B105" s="5" t="s">
        <v>890</v>
      </c>
      <c r="C105" s="5" t="s">
        <v>891</v>
      </c>
      <c r="D105" s="5" t="s">
        <v>1560</v>
      </c>
    </row>
    <row r="106" ht="15.75" customHeight="1">
      <c r="A106" s="5" t="s">
        <v>801</v>
      </c>
      <c r="B106" s="5" t="s">
        <v>898</v>
      </c>
      <c r="C106" s="5" t="s">
        <v>899</v>
      </c>
      <c r="D106" s="5" t="s">
        <v>1560</v>
      </c>
    </row>
    <row r="107" ht="15.75" customHeight="1">
      <c r="A107" s="5" t="s">
        <v>801</v>
      </c>
      <c r="B107" s="5" t="s">
        <v>906</v>
      </c>
      <c r="C107" s="5" t="s">
        <v>907</v>
      </c>
      <c r="D107" s="5" t="s">
        <v>1560</v>
      </c>
    </row>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2277</v>
      </c>
      <c r="E1" s="1" t="s">
        <v>2278</v>
      </c>
      <c r="F1" s="1" t="s">
        <v>2279</v>
      </c>
      <c r="G1" s="1" t="s">
        <v>936</v>
      </c>
      <c r="H1" s="1" t="s">
        <v>937</v>
      </c>
      <c r="I1" s="1" t="s">
        <v>16</v>
      </c>
    </row>
    <row r="2">
      <c r="A2" s="5" t="s">
        <v>26</v>
      </c>
      <c r="B2" s="5" t="s">
        <v>27</v>
      </c>
      <c r="C2" s="5" t="s">
        <v>28</v>
      </c>
      <c r="D2" s="5" t="s">
        <v>944</v>
      </c>
      <c r="E2" s="5" t="s">
        <v>2280</v>
      </c>
      <c r="F2" s="5" t="s">
        <v>2281</v>
      </c>
      <c r="G2" s="5" t="s">
        <v>1235</v>
      </c>
      <c r="H2" s="5" t="s">
        <v>1110</v>
      </c>
    </row>
    <row r="3">
      <c r="A3" s="5" t="s">
        <v>26</v>
      </c>
      <c r="B3" s="5" t="s">
        <v>27</v>
      </c>
      <c r="C3" s="5" t="s">
        <v>28</v>
      </c>
      <c r="D3" s="5" t="s">
        <v>944</v>
      </c>
      <c r="E3" s="5" t="s">
        <v>2280</v>
      </c>
      <c r="F3" s="5" t="s">
        <v>2282</v>
      </c>
      <c r="G3" s="5" t="s">
        <v>1220</v>
      </c>
      <c r="H3" s="5" t="s">
        <v>1235</v>
      </c>
    </row>
    <row r="4">
      <c r="A4" s="5" t="s">
        <v>26</v>
      </c>
      <c r="B4" s="5" t="s">
        <v>39</v>
      </c>
      <c r="C4" s="5" t="s">
        <v>40</v>
      </c>
      <c r="D4" s="5" t="s">
        <v>944</v>
      </c>
      <c r="E4" s="5" t="s">
        <v>2283</v>
      </c>
      <c r="F4" s="5" t="s">
        <v>2284</v>
      </c>
      <c r="G4" s="5" t="s">
        <v>1145</v>
      </c>
      <c r="H4" s="5" t="s">
        <v>949</v>
      </c>
    </row>
    <row r="5">
      <c r="A5" s="5" t="s">
        <v>26</v>
      </c>
      <c r="B5" s="5" t="s">
        <v>39</v>
      </c>
      <c r="C5" s="5" t="s">
        <v>40</v>
      </c>
      <c r="D5" s="5" t="s">
        <v>944</v>
      </c>
      <c r="E5" s="5" t="s">
        <v>2283</v>
      </c>
      <c r="F5" s="5" t="s">
        <v>2285</v>
      </c>
      <c r="G5" s="5" t="s">
        <v>1145</v>
      </c>
      <c r="H5" s="5" t="s">
        <v>949</v>
      </c>
    </row>
    <row r="6">
      <c r="A6" s="5" t="s">
        <v>26</v>
      </c>
      <c r="B6" s="5" t="s">
        <v>50</v>
      </c>
      <c r="C6" s="5" t="s">
        <v>51</v>
      </c>
      <c r="D6" s="5" t="s">
        <v>1560</v>
      </c>
    </row>
    <row r="7">
      <c r="A7" s="5" t="s">
        <v>26</v>
      </c>
      <c r="B7" s="5" t="s">
        <v>60</v>
      </c>
      <c r="C7" s="5" t="s">
        <v>61</v>
      </c>
      <c r="D7" s="5" t="s">
        <v>944</v>
      </c>
      <c r="E7" s="5" t="s">
        <v>26</v>
      </c>
      <c r="F7" s="5" t="s">
        <v>2286</v>
      </c>
      <c r="G7" s="5" t="s">
        <v>956</v>
      </c>
      <c r="H7" s="5" t="s">
        <v>2287</v>
      </c>
    </row>
    <row r="8">
      <c r="A8" s="5" t="s">
        <v>26</v>
      </c>
      <c r="B8" s="5" t="s">
        <v>60</v>
      </c>
      <c r="C8" s="5" t="s">
        <v>61</v>
      </c>
      <c r="D8" s="5" t="s">
        <v>944</v>
      </c>
      <c r="E8" s="5" t="s">
        <v>26</v>
      </c>
      <c r="F8" s="5" t="s">
        <v>2284</v>
      </c>
      <c r="G8" s="5" t="s">
        <v>956</v>
      </c>
      <c r="H8" s="5" t="s">
        <v>2287</v>
      </c>
    </row>
    <row r="9">
      <c r="A9" s="5" t="s">
        <v>26</v>
      </c>
      <c r="B9" s="5" t="s">
        <v>71</v>
      </c>
      <c r="C9" s="5" t="s">
        <v>72</v>
      </c>
      <c r="D9" s="5" t="s">
        <v>1560</v>
      </c>
    </row>
    <row r="10">
      <c r="A10" s="5" t="s">
        <v>26</v>
      </c>
      <c r="B10" s="5" t="s">
        <v>80</v>
      </c>
      <c r="C10" s="5" t="s">
        <v>81</v>
      </c>
      <c r="D10" s="5" t="s">
        <v>1560</v>
      </c>
    </row>
    <row r="11">
      <c r="A11" s="5" t="s">
        <v>26</v>
      </c>
      <c r="B11" s="5" t="s">
        <v>91</v>
      </c>
      <c r="C11" s="5" t="s">
        <v>92</v>
      </c>
      <c r="D11" s="5" t="s">
        <v>944</v>
      </c>
      <c r="E11" s="5" t="s">
        <v>26</v>
      </c>
      <c r="F11" s="5" t="s">
        <v>2288</v>
      </c>
      <c r="G11" s="5" t="s">
        <v>956</v>
      </c>
      <c r="H11" s="5" t="s">
        <v>2287</v>
      </c>
    </row>
    <row r="12">
      <c r="A12" s="5" t="s">
        <v>26</v>
      </c>
      <c r="B12" s="5" t="s">
        <v>91</v>
      </c>
      <c r="C12" s="5" t="s">
        <v>92</v>
      </c>
      <c r="D12" s="5" t="s">
        <v>944</v>
      </c>
      <c r="E12" s="5" t="s">
        <v>26</v>
      </c>
      <c r="F12" s="5" t="s">
        <v>2284</v>
      </c>
      <c r="G12" s="5" t="s">
        <v>956</v>
      </c>
      <c r="H12" s="5" t="s">
        <v>2287</v>
      </c>
    </row>
    <row r="13">
      <c r="A13" s="5" t="s">
        <v>26</v>
      </c>
      <c r="B13" s="5" t="s">
        <v>100</v>
      </c>
      <c r="C13" s="5" t="s">
        <v>101</v>
      </c>
      <c r="D13" s="5" t="s">
        <v>944</v>
      </c>
      <c r="E13" s="5" t="s">
        <v>2289</v>
      </c>
      <c r="F13" s="5" t="s">
        <v>2290</v>
      </c>
      <c r="G13" s="5" t="s">
        <v>957</v>
      </c>
      <c r="H13" s="5" t="s">
        <v>957</v>
      </c>
      <c r="I13" s="5" t="s">
        <v>2291</v>
      </c>
    </row>
    <row r="14">
      <c r="A14" s="5" t="s">
        <v>26</v>
      </c>
      <c r="B14" s="5" t="s">
        <v>110</v>
      </c>
      <c r="C14" s="5" t="s">
        <v>111</v>
      </c>
      <c r="D14" s="5" t="s">
        <v>944</v>
      </c>
      <c r="E14" s="5" t="s">
        <v>26</v>
      </c>
      <c r="F14" s="5" t="s">
        <v>2292</v>
      </c>
      <c r="G14" s="5" t="s">
        <v>956</v>
      </c>
      <c r="H14" s="5" t="s">
        <v>2287</v>
      </c>
    </row>
    <row r="15">
      <c r="A15" s="5" t="s">
        <v>26</v>
      </c>
      <c r="B15" s="5" t="s">
        <v>110</v>
      </c>
      <c r="C15" s="5" t="s">
        <v>111</v>
      </c>
      <c r="D15" s="5" t="s">
        <v>944</v>
      </c>
      <c r="E15" s="5" t="s">
        <v>26</v>
      </c>
      <c r="F15" s="5" t="s">
        <v>2284</v>
      </c>
      <c r="G15" s="5" t="s">
        <v>956</v>
      </c>
      <c r="H15" s="5" t="s">
        <v>2287</v>
      </c>
    </row>
    <row r="16">
      <c r="A16" s="5" t="s">
        <v>121</v>
      </c>
      <c r="B16" s="5" t="s">
        <v>122</v>
      </c>
      <c r="C16" s="5" t="s">
        <v>123</v>
      </c>
      <c r="D16" s="5" t="s">
        <v>1560</v>
      </c>
    </row>
    <row r="17">
      <c r="A17" s="5" t="s">
        <v>121</v>
      </c>
      <c r="B17" s="5" t="s">
        <v>133</v>
      </c>
      <c r="C17" s="5" t="s">
        <v>134</v>
      </c>
      <c r="D17" s="5" t="s">
        <v>944</v>
      </c>
      <c r="E17" s="5" t="s">
        <v>121</v>
      </c>
      <c r="F17" s="5" t="s">
        <v>2293</v>
      </c>
      <c r="G17" s="5" t="s">
        <v>968</v>
      </c>
      <c r="H17" s="5" t="s">
        <v>957</v>
      </c>
    </row>
    <row r="18">
      <c r="A18" s="5" t="s">
        <v>121</v>
      </c>
      <c r="B18" s="5" t="s">
        <v>142</v>
      </c>
      <c r="C18" s="5" t="s">
        <v>143</v>
      </c>
      <c r="D18" s="5" t="s">
        <v>944</v>
      </c>
      <c r="E18" s="5" t="s">
        <v>121</v>
      </c>
      <c r="F18" s="5" t="s">
        <v>2294</v>
      </c>
      <c r="G18" s="5" t="s">
        <v>1036</v>
      </c>
      <c r="H18" s="5" t="s">
        <v>957</v>
      </c>
      <c r="I18" s="5" t="s">
        <v>2295</v>
      </c>
    </row>
    <row r="19">
      <c r="A19" s="5" t="s">
        <v>121</v>
      </c>
      <c r="B19" s="5" t="s">
        <v>153</v>
      </c>
      <c r="C19" s="5" t="s">
        <v>154</v>
      </c>
      <c r="D19" s="5" t="s">
        <v>944</v>
      </c>
      <c r="E19" s="5" t="s">
        <v>121</v>
      </c>
      <c r="F19" s="5" t="s">
        <v>2296</v>
      </c>
      <c r="G19" s="5" t="s">
        <v>968</v>
      </c>
      <c r="H19" s="5" t="s">
        <v>2287</v>
      </c>
    </row>
    <row r="20">
      <c r="A20" s="5" t="s">
        <v>121</v>
      </c>
      <c r="B20" s="5" t="s">
        <v>153</v>
      </c>
      <c r="C20" s="5" t="s">
        <v>154</v>
      </c>
      <c r="D20" s="5" t="s">
        <v>944</v>
      </c>
      <c r="E20" s="5" t="s">
        <v>121</v>
      </c>
      <c r="F20" s="5" t="s">
        <v>2297</v>
      </c>
      <c r="G20" s="5" t="s">
        <v>956</v>
      </c>
      <c r="H20" s="5" t="s">
        <v>956</v>
      </c>
    </row>
    <row r="21" ht="15.75" customHeight="1">
      <c r="A21" s="5" t="s">
        <v>121</v>
      </c>
      <c r="B21" s="5" t="s">
        <v>161</v>
      </c>
      <c r="C21" s="5" t="s">
        <v>162</v>
      </c>
      <c r="D21" s="5" t="s">
        <v>944</v>
      </c>
      <c r="E21" s="5" t="s">
        <v>121</v>
      </c>
      <c r="F21" s="5" t="s">
        <v>2298</v>
      </c>
      <c r="G21" s="5" t="s">
        <v>949</v>
      </c>
      <c r="H21" s="5" t="s">
        <v>1036</v>
      </c>
    </row>
    <row r="22" ht="15.75" customHeight="1">
      <c r="A22" s="5" t="s">
        <v>121</v>
      </c>
      <c r="B22" s="5" t="s">
        <v>161</v>
      </c>
      <c r="C22" s="5" t="s">
        <v>162</v>
      </c>
      <c r="D22" s="5" t="s">
        <v>944</v>
      </c>
      <c r="E22" s="5" t="s">
        <v>121</v>
      </c>
      <c r="F22" s="5" t="s">
        <v>2299</v>
      </c>
      <c r="G22" s="5" t="s">
        <v>1036</v>
      </c>
      <c r="H22" s="5" t="s">
        <v>957</v>
      </c>
    </row>
    <row r="23" ht="15.75" customHeight="1">
      <c r="A23" s="5" t="s">
        <v>121</v>
      </c>
      <c r="B23" s="5" t="s">
        <v>170</v>
      </c>
      <c r="C23" s="5" t="s">
        <v>171</v>
      </c>
      <c r="D23" s="5" t="s">
        <v>1560</v>
      </c>
    </row>
    <row r="24" ht="15.75" customHeight="1">
      <c r="A24" s="5" t="s">
        <v>121</v>
      </c>
      <c r="B24" s="5" t="s">
        <v>180</v>
      </c>
      <c r="C24" s="5" t="s">
        <v>181</v>
      </c>
      <c r="D24" s="5" t="s">
        <v>944</v>
      </c>
      <c r="E24" s="5" t="s">
        <v>121</v>
      </c>
      <c r="F24" s="5" t="s">
        <v>2300</v>
      </c>
      <c r="G24" s="5" t="s">
        <v>968</v>
      </c>
      <c r="H24" s="5" t="s">
        <v>968</v>
      </c>
    </row>
    <row r="25" ht="15.75" customHeight="1">
      <c r="A25" s="5" t="s">
        <v>121</v>
      </c>
      <c r="B25" s="5" t="s">
        <v>190</v>
      </c>
      <c r="C25" s="5" t="s">
        <v>191</v>
      </c>
      <c r="D25" s="5" t="s">
        <v>1560</v>
      </c>
    </row>
    <row r="26" ht="15.75" customHeight="1">
      <c r="A26" s="5" t="s">
        <v>121</v>
      </c>
      <c r="B26" s="5" t="s">
        <v>201</v>
      </c>
      <c r="C26" s="5" t="s">
        <v>202</v>
      </c>
      <c r="D26" s="5" t="s">
        <v>1560</v>
      </c>
    </row>
    <row r="27" ht="15.75" customHeight="1">
      <c r="A27" s="5" t="s">
        <v>121</v>
      </c>
      <c r="B27" s="5" t="s">
        <v>211</v>
      </c>
      <c r="C27" s="5" t="s">
        <v>212</v>
      </c>
      <c r="D27" s="5" t="s">
        <v>1560</v>
      </c>
    </row>
    <row r="28" ht="15.75" customHeight="1">
      <c r="A28" s="5" t="s">
        <v>121</v>
      </c>
      <c r="B28" s="5" t="s">
        <v>219</v>
      </c>
      <c r="C28" s="5" t="s">
        <v>220</v>
      </c>
      <c r="D28" s="5" t="s">
        <v>944</v>
      </c>
      <c r="E28" s="5" t="s">
        <v>121</v>
      </c>
      <c r="F28" s="5" t="s">
        <v>2301</v>
      </c>
      <c r="G28" s="5" t="s">
        <v>949</v>
      </c>
      <c r="H28" s="5" t="s">
        <v>1036</v>
      </c>
    </row>
    <row r="29" ht="15.75" customHeight="1">
      <c r="A29" s="5" t="s">
        <v>121</v>
      </c>
      <c r="B29" s="5" t="s">
        <v>219</v>
      </c>
      <c r="C29" s="5" t="s">
        <v>220</v>
      </c>
      <c r="D29" s="5" t="s">
        <v>944</v>
      </c>
      <c r="E29" s="5" t="s">
        <v>121</v>
      </c>
      <c r="F29" s="5" t="s">
        <v>2302</v>
      </c>
      <c r="G29" s="5" t="s">
        <v>1036</v>
      </c>
      <c r="H29" s="5" t="s">
        <v>950</v>
      </c>
    </row>
    <row r="30" ht="15.75" customHeight="1">
      <c r="A30" s="5" t="s">
        <v>121</v>
      </c>
      <c r="B30" s="5" t="s">
        <v>227</v>
      </c>
      <c r="C30" s="5" t="s">
        <v>228</v>
      </c>
      <c r="D30" s="5" t="s">
        <v>944</v>
      </c>
      <c r="E30" s="5" t="s">
        <v>121</v>
      </c>
      <c r="F30" s="5" t="s">
        <v>2303</v>
      </c>
      <c r="G30" s="5" t="s">
        <v>968</v>
      </c>
      <c r="H30" s="5" t="s">
        <v>957</v>
      </c>
    </row>
    <row r="31" ht="15.75" customHeight="1">
      <c r="A31" s="5" t="s">
        <v>121</v>
      </c>
      <c r="B31" s="5" t="s">
        <v>227</v>
      </c>
      <c r="C31" s="5" t="s">
        <v>228</v>
      </c>
      <c r="D31" s="5" t="s">
        <v>944</v>
      </c>
      <c r="E31" s="5" t="s">
        <v>121</v>
      </c>
      <c r="F31" s="5" t="s">
        <v>2304</v>
      </c>
      <c r="G31" s="5" t="s">
        <v>974</v>
      </c>
      <c r="H31" s="5" t="s">
        <v>956</v>
      </c>
    </row>
    <row r="32" ht="15.75" customHeight="1">
      <c r="A32" s="5" t="s">
        <v>121</v>
      </c>
      <c r="B32" s="5" t="s">
        <v>236</v>
      </c>
      <c r="C32" s="5" t="s">
        <v>237</v>
      </c>
      <c r="D32" s="5" t="s">
        <v>1560</v>
      </c>
    </row>
    <row r="33" ht="15.75" customHeight="1">
      <c r="A33" s="5" t="s">
        <v>121</v>
      </c>
      <c r="B33" s="5" t="s">
        <v>244</v>
      </c>
      <c r="C33" s="5" t="s">
        <v>245</v>
      </c>
      <c r="D33" s="5" t="s">
        <v>944</v>
      </c>
      <c r="E33" s="5" t="s">
        <v>121</v>
      </c>
      <c r="F33" s="5" t="s">
        <v>2282</v>
      </c>
      <c r="G33" s="5" t="s">
        <v>1113</v>
      </c>
      <c r="H33" s="5" t="s">
        <v>1006</v>
      </c>
    </row>
    <row r="34" ht="15.75" customHeight="1">
      <c r="A34" s="5" t="s">
        <v>121</v>
      </c>
      <c r="B34" s="5" t="s">
        <v>244</v>
      </c>
      <c r="C34" s="5" t="s">
        <v>245</v>
      </c>
      <c r="D34" s="5" t="s">
        <v>944</v>
      </c>
      <c r="E34" s="5" t="s">
        <v>121</v>
      </c>
      <c r="F34" s="5" t="s">
        <v>2284</v>
      </c>
      <c r="G34" s="5" t="s">
        <v>1113</v>
      </c>
      <c r="H34" s="5" t="s">
        <v>2287</v>
      </c>
    </row>
    <row r="35" ht="15.75" customHeight="1">
      <c r="A35" s="5" t="s">
        <v>121</v>
      </c>
      <c r="B35" s="5" t="s">
        <v>253</v>
      </c>
      <c r="C35" s="5" t="s">
        <v>254</v>
      </c>
      <c r="D35" s="5" t="s">
        <v>1560</v>
      </c>
    </row>
    <row r="36" ht="15.75" customHeight="1">
      <c r="A36" s="5" t="s">
        <v>121</v>
      </c>
      <c r="B36" s="5" t="s">
        <v>261</v>
      </c>
      <c r="C36" s="5" t="s">
        <v>262</v>
      </c>
      <c r="D36" s="5" t="s">
        <v>1560</v>
      </c>
    </row>
    <row r="37" ht="15.75" customHeight="1">
      <c r="A37" s="5" t="s">
        <v>121</v>
      </c>
      <c r="B37" s="5" t="s">
        <v>270</v>
      </c>
      <c r="C37" s="5" t="s">
        <v>271</v>
      </c>
      <c r="D37" s="5" t="s">
        <v>944</v>
      </c>
      <c r="E37" s="5" t="s">
        <v>121</v>
      </c>
      <c r="F37" s="5" t="s">
        <v>2305</v>
      </c>
      <c r="G37" s="5" t="s">
        <v>949</v>
      </c>
      <c r="H37" s="5" t="s">
        <v>2287</v>
      </c>
      <c r="I37" s="5" t="s">
        <v>1183</v>
      </c>
    </row>
    <row r="38" ht="15.75" customHeight="1">
      <c r="A38" s="5" t="s">
        <v>121</v>
      </c>
      <c r="B38" s="5" t="s">
        <v>279</v>
      </c>
      <c r="C38" s="5" t="s">
        <v>280</v>
      </c>
      <c r="D38" s="5" t="s">
        <v>1560</v>
      </c>
    </row>
    <row r="39" ht="15.75" customHeight="1">
      <c r="A39" s="5" t="s">
        <v>121</v>
      </c>
      <c r="B39" s="5" t="s">
        <v>288</v>
      </c>
      <c r="C39" s="5" t="s">
        <v>289</v>
      </c>
      <c r="D39" s="5" t="s">
        <v>1560</v>
      </c>
    </row>
    <row r="40" ht="15.75" customHeight="1">
      <c r="A40" s="5" t="s">
        <v>121</v>
      </c>
      <c r="B40" s="5" t="s">
        <v>296</v>
      </c>
      <c r="C40" s="5" t="s">
        <v>297</v>
      </c>
      <c r="D40" s="5" t="s">
        <v>944</v>
      </c>
      <c r="E40" s="5" t="s">
        <v>2306</v>
      </c>
      <c r="F40" s="5" t="s">
        <v>2284</v>
      </c>
      <c r="G40" s="5" t="s">
        <v>1102</v>
      </c>
      <c r="H40" s="5" t="s">
        <v>1623</v>
      </c>
    </row>
    <row r="41" ht="15.75" customHeight="1">
      <c r="A41" s="5" t="s">
        <v>121</v>
      </c>
      <c r="B41" s="5" t="s">
        <v>296</v>
      </c>
      <c r="C41" s="5" t="s">
        <v>297</v>
      </c>
      <c r="D41" s="5" t="s">
        <v>944</v>
      </c>
      <c r="E41" s="5" t="s">
        <v>2306</v>
      </c>
      <c r="F41" s="5" t="s">
        <v>2307</v>
      </c>
      <c r="G41" s="5" t="s">
        <v>1235</v>
      </c>
      <c r="H41" s="5" t="s">
        <v>1235</v>
      </c>
    </row>
    <row r="42" ht="15.75" customHeight="1">
      <c r="A42" s="5" t="s">
        <v>121</v>
      </c>
      <c r="B42" s="5" t="s">
        <v>304</v>
      </c>
      <c r="C42" s="5" t="s">
        <v>305</v>
      </c>
      <c r="D42" s="5" t="s">
        <v>944</v>
      </c>
      <c r="E42" s="5" t="s">
        <v>121</v>
      </c>
      <c r="F42" s="5" t="s">
        <v>2308</v>
      </c>
      <c r="G42" s="5" t="s">
        <v>968</v>
      </c>
      <c r="H42" s="5" t="s">
        <v>957</v>
      </c>
    </row>
    <row r="43" ht="15.75" customHeight="1">
      <c r="A43" s="5" t="s">
        <v>121</v>
      </c>
      <c r="B43" s="5" t="s">
        <v>304</v>
      </c>
      <c r="C43" s="5" t="s">
        <v>305</v>
      </c>
      <c r="D43" s="5" t="s">
        <v>944</v>
      </c>
      <c r="E43" s="5" t="s">
        <v>121</v>
      </c>
      <c r="F43" s="5" t="s">
        <v>2303</v>
      </c>
      <c r="G43" s="5" t="s">
        <v>957</v>
      </c>
      <c r="H43" s="5" t="s">
        <v>2287</v>
      </c>
      <c r="I43" s="5" t="s">
        <v>2309</v>
      </c>
    </row>
    <row r="44" ht="15.75" customHeight="1">
      <c r="A44" s="5" t="s">
        <v>121</v>
      </c>
      <c r="B44" s="5" t="s">
        <v>313</v>
      </c>
      <c r="C44" s="5" t="s">
        <v>314</v>
      </c>
      <c r="D44" s="5" t="s">
        <v>1560</v>
      </c>
    </row>
    <row r="45" ht="15.75" customHeight="1">
      <c r="A45" s="5" t="s">
        <v>121</v>
      </c>
      <c r="B45" s="5" t="s">
        <v>321</v>
      </c>
      <c r="C45" s="5" t="s">
        <v>322</v>
      </c>
      <c r="D45" s="5" t="s">
        <v>944</v>
      </c>
      <c r="E45" s="5" t="s">
        <v>121</v>
      </c>
      <c r="F45" s="5" t="s">
        <v>2310</v>
      </c>
      <c r="G45" s="5" t="s">
        <v>949</v>
      </c>
      <c r="H45" s="5" t="s">
        <v>1036</v>
      </c>
    </row>
    <row r="46" ht="15.75" customHeight="1">
      <c r="A46" s="5" t="s">
        <v>121</v>
      </c>
      <c r="B46" s="5" t="s">
        <v>330</v>
      </c>
      <c r="C46" s="5" t="s">
        <v>331</v>
      </c>
      <c r="D46" s="5" t="s">
        <v>944</v>
      </c>
      <c r="E46" s="5" t="s">
        <v>121</v>
      </c>
      <c r="F46" s="5" t="s">
        <v>2311</v>
      </c>
      <c r="G46" s="5" t="s">
        <v>968</v>
      </c>
      <c r="H46" s="5" t="s">
        <v>968</v>
      </c>
    </row>
    <row r="47" ht="15.75" customHeight="1">
      <c r="A47" s="5" t="s">
        <v>121</v>
      </c>
      <c r="B47" s="5" t="s">
        <v>330</v>
      </c>
      <c r="C47" s="5" t="s">
        <v>331</v>
      </c>
      <c r="D47" s="5" t="s">
        <v>944</v>
      </c>
      <c r="E47" s="5" t="s">
        <v>121</v>
      </c>
      <c r="F47" s="5" t="s">
        <v>2312</v>
      </c>
      <c r="G47" s="5" t="s">
        <v>957</v>
      </c>
      <c r="H47" s="5" t="s">
        <v>2287</v>
      </c>
      <c r="I47" s="5" t="s">
        <v>2313</v>
      </c>
    </row>
    <row r="48" ht="15.75" customHeight="1">
      <c r="A48" s="5" t="s">
        <v>121</v>
      </c>
      <c r="B48" s="5" t="s">
        <v>338</v>
      </c>
      <c r="C48" s="5" t="s">
        <v>339</v>
      </c>
      <c r="D48" s="5" t="s">
        <v>1560</v>
      </c>
    </row>
    <row r="49" ht="15.75" customHeight="1">
      <c r="A49" s="5" t="s">
        <v>121</v>
      </c>
      <c r="B49" s="5" t="s">
        <v>348</v>
      </c>
      <c r="C49" s="5" t="s">
        <v>349</v>
      </c>
      <c r="D49" s="5" t="s">
        <v>944</v>
      </c>
      <c r="E49" s="5" t="s">
        <v>121</v>
      </c>
      <c r="F49" s="5" t="s">
        <v>2293</v>
      </c>
      <c r="G49" s="5" t="s">
        <v>957</v>
      </c>
      <c r="H49" s="5" t="s">
        <v>2287</v>
      </c>
      <c r="I49" s="5" t="s">
        <v>1173</v>
      </c>
    </row>
    <row r="50" ht="15.75" customHeight="1">
      <c r="A50" s="5" t="s">
        <v>121</v>
      </c>
      <c r="B50" s="5" t="s">
        <v>355</v>
      </c>
      <c r="C50" s="5" t="s">
        <v>356</v>
      </c>
      <c r="D50" s="5" t="s">
        <v>1560</v>
      </c>
    </row>
    <row r="51" ht="15.75" customHeight="1">
      <c r="A51" s="5" t="s">
        <v>121</v>
      </c>
      <c r="B51" s="5" t="s">
        <v>365</v>
      </c>
      <c r="C51" s="5" t="s">
        <v>366</v>
      </c>
      <c r="D51" s="5" t="s">
        <v>944</v>
      </c>
      <c r="E51" s="5" t="s">
        <v>2314</v>
      </c>
      <c r="F51" s="5" t="s">
        <v>1814</v>
      </c>
      <c r="G51" s="5" t="s">
        <v>1220</v>
      </c>
      <c r="H51" s="5" t="s">
        <v>1110</v>
      </c>
    </row>
    <row r="52" ht="15.75" customHeight="1">
      <c r="A52" s="5" t="s">
        <v>121</v>
      </c>
      <c r="B52" s="5" t="s">
        <v>365</v>
      </c>
      <c r="C52" s="5" t="s">
        <v>366</v>
      </c>
      <c r="D52" s="5" t="s">
        <v>944</v>
      </c>
      <c r="E52" s="5" t="s">
        <v>2314</v>
      </c>
      <c r="F52" s="5" t="s">
        <v>2284</v>
      </c>
      <c r="G52" s="5" t="s">
        <v>1220</v>
      </c>
      <c r="H52" s="5" t="s">
        <v>1110</v>
      </c>
    </row>
    <row r="53" ht="15.75" customHeight="1">
      <c r="A53" s="5" t="s">
        <v>121</v>
      </c>
      <c r="B53" s="5" t="s">
        <v>375</v>
      </c>
      <c r="C53" s="5" t="s">
        <v>376</v>
      </c>
      <c r="D53" s="5" t="s">
        <v>944</v>
      </c>
      <c r="E53" s="5" t="s">
        <v>121</v>
      </c>
      <c r="F53" s="5" t="s">
        <v>2315</v>
      </c>
      <c r="G53" s="5" t="s">
        <v>957</v>
      </c>
      <c r="H53" s="5" t="s">
        <v>2287</v>
      </c>
      <c r="I53" s="5" t="s">
        <v>2316</v>
      </c>
    </row>
    <row r="54" ht="15.75" customHeight="1">
      <c r="A54" s="5" t="s">
        <v>121</v>
      </c>
      <c r="B54" s="5" t="s">
        <v>375</v>
      </c>
      <c r="C54" s="5" t="s">
        <v>376</v>
      </c>
      <c r="D54" s="5" t="s">
        <v>944</v>
      </c>
      <c r="E54" s="5" t="s">
        <v>121</v>
      </c>
      <c r="F54" s="5" t="s">
        <v>2315</v>
      </c>
      <c r="G54" s="5" t="s">
        <v>957</v>
      </c>
      <c r="H54" s="5" t="s">
        <v>2287</v>
      </c>
      <c r="I54" s="5" t="s">
        <v>2316</v>
      </c>
    </row>
    <row r="55" ht="15.75" customHeight="1">
      <c r="A55" s="5" t="s">
        <v>121</v>
      </c>
      <c r="B55" s="5" t="s">
        <v>375</v>
      </c>
      <c r="C55" s="5" t="s">
        <v>376</v>
      </c>
      <c r="D55" s="5" t="s">
        <v>944</v>
      </c>
      <c r="E55" s="5" t="s">
        <v>121</v>
      </c>
      <c r="F55" s="5" t="s">
        <v>2317</v>
      </c>
      <c r="G55" s="5" t="s">
        <v>949</v>
      </c>
      <c r="H55" s="5" t="s">
        <v>1036</v>
      </c>
    </row>
    <row r="56" ht="15.75" customHeight="1">
      <c r="A56" s="5" t="s">
        <v>121</v>
      </c>
      <c r="B56" s="5" t="s">
        <v>375</v>
      </c>
      <c r="C56" s="5" t="s">
        <v>376</v>
      </c>
      <c r="D56" s="5" t="s">
        <v>944</v>
      </c>
      <c r="E56" s="5" t="s">
        <v>121</v>
      </c>
      <c r="F56" s="5" t="s">
        <v>2317</v>
      </c>
      <c r="G56" s="5" t="s">
        <v>949</v>
      </c>
      <c r="H56" s="5" t="s">
        <v>1036</v>
      </c>
    </row>
    <row r="57" ht="15.75" customHeight="1">
      <c r="A57" s="5" t="s">
        <v>121</v>
      </c>
      <c r="B57" s="5" t="s">
        <v>387</v>
      </c>
      <c r="C57" s="5" t="s">
        <v>388</v>
      </c>
      <c r="D57" s="5" t="s">
        <v>944</v>
      </c>
      <c r="E57" s="5" t="s">
        <v>2318</v>
      </c>
      <c r="F57" s="5" t="s">
        <v>2284</v>
      </c>
      <c r="G57" s="5" t="s">
        <v>1235</v>
      </c>
      <c r="H57" s="5" t="s">
        <v>1110</v>
      </c>
    </row>
    <row r="58" ht="15.75" customHeight="1">
      <c r="A58" s="5" t="s">
        <v>121</v>
      </c>
      <c r="B58" s="5" t="s">
        <v>387</v>
      </c>
      <c r="C58" s="5" t="s">
        <v>388</v>
      </c>
      <c r="D58" s="5" t="s">
        <v>944</v>
      </c>
      <c r="E58" s="5" t="s">
        <v>2318</v>
      </c>
      <c r="F58" s="5" t="s">
        <v>2315</v>
      </c>
      <c r="G58" s="5" t="s">
        <v>1235</v>
      </c>
      <c r="H58" s="5" t="s">
        <v>1110</v>
      </c>
    </row>
    <row r="59" ht="15.75" customHeight="1">
      <c r="A59" s="5" t="s">
        <v>121</v>
      </c>
      <c r="B59" s="5" t="s">
        <v>395</v>
      </c>
      <c r="C59" s="5" t="s">
        <v>396</v>
      </c>
      <c r="D59" s="5" t="s">
        <v>1560</v>
      </c>
    </row>
    <row r="60" ht="15.75" customHeight="1">
      <c r="A60" s="5" t="s">
        <v>121</v>
      </c>
      <c r="B60" s="5" t="s">
        <v>405</v>
      </c>
      <c r="C60" s="5" t="s">
        <v>406</v>
      </c>
      <c r="D60" s="5" t="s">
        <v>1560</v>
      </c>
    </row>
    <row r="61" ht="15.75" customHeight="1">
      <c r="A61" s="5" t="s">
        <v>121</v>
      </c>
      <c r="B61" s="5" t="s">
        <v>412</v>
      </c>
      <c r="C61" s="5" t="s">
        <v>413</v>
      </c>
      <c r="D61" s="5" t="s">
        <v>944</v>
      </c>
      <c r="E61" s="5" t="s">
        <v>2319</v>
      </c>
      <c r="F61" s="5" t="s">
        <v>2320</v>
      </c>
      <c r="G61" s="5" t="s">
        <v>1235</v>
      </c>
      <c r="H61" s="5" t="s">
        <v>1128</v>
      </c>
    </row>
    <row r="62" ht="15.75" customHeight="1">
      <c r="A62" s="5" t="s">
        <v>419</v>
      </c>
      <c r="B62" s="5" t="s">
        <v>420</v>
      </c>
      <c r="C62" s="5" t="s">
        <v>421</v>
      </c>
      <c r="D62" s="5" t="s">
        <v>1560</v>
      </c>
    </row>
    <row r="63" ht="15.75" customHeight="1">
      <c r="A63" s="5" t="s">
        <v>419</v>
      </c>
      <c r="B63" s="5" t="s">
        <v>430</v>
      </c>
      <c r="C63" s="5" t="s">
        <v>431</v>
      </c>
      <c r="D63" s="5" t="s">
        <v>1560</v>
      </c>
    </row>
    <row r="64" ht="15.75" customHeight="1">
      <c r="A64" s="5" t="s">
        <v>419</v>
      </c>
      <c r="B64" s="5" t="s">
        <v>438</v>
      </c>
      <c r="C64" s="5" t="s">
        <v>439</v>
      </c>
      <c r="D64" s="5" t="s">
        <v>944</v>
      </c>
      <c r="E64" s="5" t="s">
        <v>419</v>
      </c>
      <c r="F64" s="5" t="s">
        <v>2321</v>
      </c>
      <c r="G64" s="5" t="s">
        <v>1145</v>
      </c>
      <c r="H64" s="5" t="s">
        <v>974</v>
      </c>
    </row>
    <row r="65" ht="15.75" customHeight="1">
      <c r="A65" s="5" t="s">
        <v>419</v>
      </c>
      <c r="B65" s="5" t="s">
        <v>438</v>
      </c>
      <c r="C65" s="5" t="s">
        <v>439</v>
      </c>
      <c r="D65" s="5" t="s">
        <v>944</v>
      </c>
      <c r="E65" s="5" t="s">
        <v>419</v>
      </c>
      <c r="F65" s="5" t="s">
        <v>2322</v>
      </c>
      <c r="G65" s="5" t="s">
        <v>956</v>
      </c>
      <c r="H65" s="5" t="s">
        <v>2287</v>
      </c>
    </row>
    <row r="66" ht="15.75" customHeight="1">
      <c r="A66" s="5" t="s">
        <v>419</v>
      </c>
      <c r="B66" s="5" t="s">
        <v>446</v>
      </c>
      <c r="C66" s="5" t="s">
        <v>447</v>
      </c>
      <c r="D66" s="5" t="s">
        <v>944</v>
      </c>
      <c r="E66" s="5" t="s">
        <v>419</v>
      </c>
      <c r="F66" s="5" t="s">
        <v>2323</v>
      </c>
      <c r="G66" s="5" t="s">
        <v>956</v>
      </c>
      <c r="H66" s="5" t="s">
        <v>2287</v>
      </c>
    </row>
    <row r="67" ht="15.75" customHeight="1">
      <c r="A67" s="5" t="s">
        <v>419</v>
      </c>
      <c r="B67" s="5" t="s">
        <v>453</v>
      </c>
      <c r="C67" s="5" t="s">
        <v>454</v>
      </c>
      <c r="D67" s="5" t="s">
        <v>1560</v>
      </c>
    </row>
    <row r="68" ht="15.75" customHeight="1">
      <c r="A68" s="5" t="s">
        <v>419</v>
      </c>
      <c r="B68" s="5" t="s">
        <v>461</v>
      </c>
      <c r="C68" s="5" t="s">
        <v>462</v>
      </c>
      <c r="D68" s="5" t="s">
        <v>1560</v>
      </c>
    </row>
    <row r="69" ht="15.75" customHeight="1">
      <c r="A69" s="5" t="s">
        <v>419</v>
      </c>
      <c r="B69" s="5" t="s">
        <v>469</v>
      </c>
      <c r="C69" s="5" t="s">
        <v>470</v>
      </c>
      <c r="D69" s="5" t="s">
        <v>1560</v>
      </c>
    </row>
    <row r="70" ht="15.75" customHeight="1">
      <c r="A70" s="5" t="s">
        <v>419</v>
      </c>
      <c r="B70" s="5" t="s">
        <v>477</v>
      </c>
      <c r="C70" s="5" t="s">
        <v>478</v>
      </c>
      <c r="D70" s="5" t="s">
        <v>1560</v>
      </c>
    </row>
    <row r="71" ht="15.75" customHeight="1">
      <c r="A71" s="5" t="s">
        <v>419</v>
      </c>
      <c r="B71" s="5" t="s">
        <v>477</v>
      </c>
      <c r="C71" s="5" t="s">
        <v>478</v>
      </c>
      <c r="D71" s="5" t="s">
        <v>1560</v>
      </c>
    </row>
    <row r="72" ht="15.75" customHeight="1">
      <c r="A72" s="5" t="s">
        <v>419</v>
      </c>
      <c r="B72" s="5" t="s">
        <v>488</v>
      </c>
      <c r="C72" s="5" t="s">
        <v>489</v>
      </c>
      <c r="D72" s="5" t="s">
        <v>1560</v>
      </c>
    </row>
    <row r="73" ht="15.75" customHeight="1">
      <c r="A73" s="5" t="s">
        <v>419</v>
      </c>
      <c r="B73" s="5" t="s">
        <v>498</v>
      </c>
      <c r="C73" s="5" t="s">
        <v>499</v>
      </c>
      <c r="D73" s="5" t="s">
        <v>1560</v>
      </c>
    </row>
    <row r="74" ht="15.75" customHeight="1">
      <c r="A74" s="5" t="s">
        <v>419</v>
      </c>
      <c r="B74" s="5" t="s">
        <v>507</v>
      </c>
      <c r="C74" s="5" t="s">
        <v>508</v>
      </c>
      <c r="D74" s="5" t="s">
        <v>1560</v>
      </c>
    </row>
    <row r="75" ht="15.75" customHeight="1">
      <c r="A75" s="5" t="s">
        <v>419</v>
      </c>
      <c r="B75" s="5" t="s">
        <v>517</v>
      </c>
      <c r="C75" s="5" t="s">
        <v>518</v>
      </c>
      <c r="D75" s="5" t="s">
        <v>944</v>
      </c>
      <c r="E75" s="5" t="s">
        <v>2324</v>
      </c>
      <c r="F75" s="5" t="s">
        <v>2325</v>
      </c>
      <c r="G75" s="5" t="s">
        <v>1145</v>
      </c>
      <c r="H75" s="5" t="s">
        <v>1036</v>
      </c>
    </row>
    <row r="76" ht="15.75" customHeight="1">
      <c r="A76" s="5" t="s">
        <v>419</v>
      </c>
      <c r="B76" s="5" t="s">
        <v>527</v>
      </c>
      <c r="C76" s="5" t="s">
        <v>528</v>
      </c>
      <c r="D76" s="5" t="s">
        <v>1560</v>
      </c>
    </row>
    <row r="77" ht="15.75" customHeight="1">
      <c r="A77" s="5" t="s">
        <v>419</v>
      </c>
      <c r="B77" s="5" t="s">
        <v>533</v>
      </c>
      <c r="C77" s="5" t="s">
        <v>534</v>
      </c>
      <c r="D77" s="5" t="s">
        <v>1560</v>
      </c>
    </row>
    <row r="78" ht="15.75" customHeight="1">
      <c r="A78" s="5" t="s">
        <v>419</v>
      </c>
      <c r="B78" s="5" t="s">
        <v>541</v>
      </c>
      <c r="C78" s="5" t="s">
        <v>542</v>
      </c>
      <c r="D78" s="5" t="s">
        <v>1560</v>
      </c>
    </row>
    <row r="79" ht="15.75" customHeight="1">
      <c r="A79" s="5" t="s">
        <v>419</v>
      </c>
      <c r="B79" s="5" t="s">
        <v>550</v>
      </c>
      <c r="C79" s="5" t="s">
        <v>551</v>
      </c>
      <c r="D79" s="5" t="s">
        <v>1560</v>
      </c>
    </row>
    <row r="80" ht="15.75" customHeight="1">
      <c r="A80" s="5" t="s">
        <v>419</v>
      </c>
      <c r="B80" s="5" t="s">
        <v>559</v>
      </c>
      <c r="C80" s="5" t="s">
        <v>560</v>
      </c>
      <c r="D80" s="5" t="s">
        <v>944</v>
      </c>
      <c r="E80" s="5" t="s">
        <v>419</v>
      </c>
      <c r="F80" s="5" t="s">
        <v>2326</v>
      </c>
      <c r="G80" s="5" t="s">
        <v>974</v>
      </c>
      <c r="H80" s="5" t="s">
        <v>974</v>
      </c>
    </row>
    <row r="81" ht="15.75" customHeight="1">
      <c r="A81" s="5" t="s">
        <v>419</v>
      </c>
      <c r="B81" s="5" t="s">
        <v>559</v>
      </c>
      <c r="C81" s="5" t="s">
        <v>560</v>
      </c>
      <c r="D81" s="5" t="s">
        <v>944</v>
      </c>
      <c r="E81" s="5" t="s">
        <v>419</v>
      </c>
      <c r="F81" s="5" t="s">
        <v>2327</v>
      </c>
      <c r="G81" s="5" t="s">
        <v>956</v>
      </c>
      <c r="H81" s="5" t="s">
        <v>2287</v>
      </c>
    </row>
    <row r="82" ht="15.75" customHeight="1">
      <c r="A82" s="5" t="s">
        <v>567</v>
      </c>
      <c r="B82" s="5" t="s">
        <v>568</v>
      </c>
      <c r="C82" s="5" t="s">
        <v>569</v>
      </c>
      <c r="D82" s="5" t="s">
        <v>1560</v>
      </c>
    </row>
    <row r="83" ht="15.75" customHeight="1">
      <c r="A83" s="5" t="s">
        <v>567</v>
      </c>
      <c r="B83" s="5" t="s">
        <v>577</v>
      </c>
      <c r="C83" s="5" t="s">
        <v>578</v>
      </c>
      <c r="D83" s="5" t="s">
        <v>1560</v>
      </c>
    </row>
    <row r="84" ht="15.75" customHeight="1">
      <c r="A84" s="5" t="s">
        <v>567</v>
      </c>
      <c r="B84" s="5" t="s">
        <v>586</v>
      </c>
      <c r="C84" s="5" t="s">
        <v>587</v>
      </c>
      <c r="D84" s="5" t="s">
        <v>1560</v>
      </c>
    </row>
    <row r="85" ht="15.75" customHeight="1">
      <c r="A85" s="5" t="s">
        <v>567</v>
      </c>
      <c r="B85" s="5" t="s">
        <v>597</v>
      </c>
      <c r="C85" s="5" t="s">
        <v>598</v>
      </c>
      <c r="D85" s="5" t="s">
        <v>1560</v>
      </c>
    </row>
    <row r="86" ht="15.75" customHeight="1">
      <c r="A86" s="5" t="s">
        <v>567</v>
      </c>
      <c r="B86" s="5" t="s">
        <v>606</v>
      </c>
      <c r="C86" s="5" t="s">
        <v>607</v>
      </c>
      <c r="D86" s="5" t="s">
        <v>1560</v>
      </c>
    </row>
    <row r="87" ht="15.75" customHeight="1">
      <c r="A87" s="5" t="s">
        <v>567</v>
      </c>
      <c r="B87" s="5" t="s">
        <v>606</v>
      </c>
      <c r="C87" s="5" t="s">
        <v>607</v>
      </c>
      <c r="D87" s="5" t="s">
        <v>1560</v>
      </c>
    </row>
    <row r="88" ht="15.75" customHeight="1">
      <c r="A88" s="5" t="s">
        <v>567</v>
      </c>
      <c r="B88" s="5" t="s">
        <v>614</v>
      </c>
      <c r="C88" s="5" t="s">
        <v>615</v>
      </c>
      <c r="D88" s="5" t="s">
        <v>1560</v>
      </c>
    </row>
    <row r="89" ht="15.75" customHeight="1">
      <c r="A89" s="5" t="s">
        <v>567</v>
      </c>
      <c r="B89" s="5" t="s">
        <v>624</v>
      </c>
      <c r="C89" s="5" t="s">
        <v>625</v>
      </c>
      <c r="D89" s="5" t="s">
        <v>944</v>
      </c>
      <c r="E89" s="5" t="s">
        <v>2328</v>
      </c>
      <c r="F89" s="5" t="s">
        <v>2329</v>
      </c>
      <c r="G89" s="5" t="s">
        <v>968</v>
      </c>
      <c r="H89" s="5" t="s">
        <v>957</v>
      </c>
    </row>
    <row r="90" ht="15.75" customHeight="1">
      <c r="A90" s="5" t="s">
        <v>567</v>
      </c>
      <c r="B90" s="5" t="s">
        <v>634</v>
      </c>
      <c r="C90" s="5" t="s">
        <v>635</v>
      </c>
      <c r="D90" s="5" t="s">
        <v>1560</v>
      </c>
    </row>
    <row r="91" ht="15.75" customHeight="1">
      <c r="A91" s="5" t="s">
        <v>567</v>
      </c>
      <c r="B91" s="5" t="s">
        <v>643</v>
      </c>
      <c r="C91" s="5" t="s">
        <v>644</v>
      </c>
      <c r="D91" s="5" t="s">
        <v>1560</v>
      </c>
    </row>
    <row r="92" ht="15.75" customHeight="1">
      <c r="A92" s="5" t="s">
        <v>567</v>
      </c>
      <c r="B92" s="5" t="s">
        <v>651</v>
      </c>
      <c r="C92" s="5" t="s">
        <v>652</v>
      </c>
      <c r="D92" s="5" t="s">
        <v>1560</v>
      </c>
    </row>
    <row r="93" ht="15.75" customHeight="1">
      <c r="A93" s="5" t="s">
        <v>567</v>
      </c>
      <c r="B93" s="5" t="s">
        <v>659</v>
      </c>
      <c r="C93" s="5" t="s">
        <v>660</v>
      </c>
      <c r="D93" s="5" t="s">
        <v>1560</v>
      </c>
    </row>
    <row r="94" ht="15.75" customHeight="1">
      <c r="A94" s="5" t="s">
        <v>567</v>
      </c>
      <c r="B94" s="5" t="s">
        <v>667</v>
      </c>
      <c r="C94" s="5" t="s">
        <v>668</v>
      </c>
      <c r="D94" s="5" t="s">
        <v>1560</v>
      </c>
    </row>
    <row r="95" ht="15.75" customHeight="1">
      <c r="A95" s="5" t="s">
        <v>567</v>
      </c>
      <c r="B95" s="5" t="s">
        <v>674</v>
      </c>
      <c r="C95" s="5" t="s">
        <v>675</v>
      </c>
      <c r="D95" s="5" t="s">
        <v>1560</v>
      </c>
    </row>
    <row r="96" ht="15.75" customHeight="1">
      <c r="A96" s="5" t="s">
        <v>682</v>
      </c>
      <c r="B96" s="5" t="s">
        <v>683</v>
      </c>
      <c r="C96" s="5" t="s">
        <v>684</v>
      </c>
      <c r="D96" s="5" t="s">
        <v>1560</v>
      </c>
    </row>
    <row r="97" ht="15.75" customHeight="1">
      <c r="A97" s="5" t="s">
        <v>682</v>
      </c>
      <c r="B97" s="5" t="s">
        <v>691</v>
      </c>
      <c r="C97" s="5" t="s">
        <v>692</v>
      </c>
      <c r="D97" s="5" t="s">
        <v>1560</v>
      </c>
    </row>
    <row r="98" ht="15.75" customHeight="1">
      <c r="A98" s="5" t="s">
        <v>682</v>
      </c>
      <c r="B98" s="5" t="s">
        <v>699</v>
      </c>
      <c r="C98" s="5" t="s">
        <v>700</v>
      </c>
      <c r="D98" s="5" t="s">
        <v>944</v>
      </c>
      <c r="E98" s="5" t="s">
        <v>2330</v>
      </c>
      <c r="F98" s="5" t="s">
        <v>2331</v>
      </c>
      <c r="G98" s="5" t="s">
        <v>968</v>
      </c>
      <c r="H98" s="5" t="s">
        <v>957</v>
      </c>
    </row>
    <row r="99" ht="15.75" customHeight="1">
      <c r="A99" s="5" t="s">
        <v>682</v>
      </c>
      <c r="B99" s="5" t="s">
        <v>707</v>
      </c>
      <c r="C99" s="5" t="s">
        <v>708</v>
      </c>
      <c r="D99" s="5" t="s">
        <v>944</v>
      </c>
      <c r="E99" s="5" t="s">
        <v>682</v>
      </c>
      <c r="F99" s="5" t="s">
        <v>2284</v>
      </c>
      <c r="G99" s="5" t="s">
        <v>968</v>
      </c>
      <c r="H99" s="5" t="s">
        <v>2287</v>
      </c>
    </row>
    <row r="100" ht="15.75" customHeight="1">
      <c r="A100" s="5" t="s">
        <v>682</v>
      </c>
      <c r="B100" s="5" t="s">
        <v>707</v>
      </c>
      <c r="C100" s="5" t="s">
        <v>708</v>
      </c>
      <c r="D100" s="5" t="s">
        <v>944</v>
      </c>
      <c r="E100" s="5" t="s">
        <v>682</v>
      </c>
      <c r="F100" s="5" t="s">
        <v>2332</v>
      </c>
      <c r="G100" s="5" t="s">
        <v>968</v>
      </c>
      <c r="H100" s="5" t="s">
        <v>2287</v>
      </c>
    </row>
    <row r="101" ht="15.75" customHeight="1">
      <c r="A101" s="5" t="s">
        <v>682</v>
      </c>
      <c r="B101" s="5" t="s">
        <v>715</v>
      </c>
      <c r="C101" s="5" t="s">
        <v>716</v>
      </c>
      <c r="D101" s="5" t="s">
        <v>1560</v>
      </c>
    </row>
    <row r="102" ht="15.75" customHeight="1">
      <c r="A102" s="5" t="s">
        <v>682</v>
      </c>
      <c r="B102" s="5" t="s">
        <v>725</v>
      </c>
      <c r="C102" s="5" t="s">
        <v>726</v>
      </c>
      <c r="D102" s="5" t="s">
        <v>944</v>
      </c>
      <c r="E102" s="5" t="s">
        <v>2333</v>
      </c>
      <c r="F102" s="5" t="s">
        <v>2284</v>
      </c>
      <c r="G102" s="5" t="s">
        <v>1661</v>
      </c>
      <c r="H102" s="5" t="s">
        <v>1235</v>
      </c>
    </row>
    <row r="103" ht="15.75" customHeight="1">
      <c r="A103" s="5" t="s">
        <v>682</v>
      </c>
      <c r="B103" s="5" t="s">
        <v>725</v>
      </c>
      <c r="C103" s="5" t="s">
        <v>726</v>
      </c>
      <c r="D103" s="5" t="s">
        <v>944</v>
      </c>
      <c r="E103" s="5" t="s">
        <v>2334</v>
      </c>
      <c r="F103" s="5" t="s">
        <v>2335</v>
      </c>
      <c r="G103" s="5" t="s">
        <v>1094</v>
      </c>
      <c r="H103" s="5" t="s">
        <v>1128</v>
      </c>
    </row>
    <row r="104" ht="15.75" customHeight="1">
      <c r="A104" s="5" t="s">
        <v>682</v>
      </c>
      <c r="B104" s="5" t="s">
        <v>732</v>
      </c>
      <c r="C104" s="5" t="s">
        <v>733</v>
      </c>
      <c r="D104" s="5" t="s">
        <v>944</v>
      </c>
      <c r="E104" s="5" t="s">
        <v>2330</v>
      </c>
      <c r="F104" s="5" t="s">
        <v>1708</v>
      </c>
      <c r="G104" s="5" t="s">
        <v>968</v>
      </c>
      <c r="H104" s="5" t="s">
        <v>957</v>
      </c>
    </row>
    <row r="105" ht="15.75" customHeight="1">
      <c r="A105" s="5" t="s">
        <v>682</v>
      </c>
      <c r="B105" s="5" t="s">
        <v>739</v>
      </c>
      <c r="C105" s="5" t="s">
        <v>740</v>
      </c>
      <c r="D105" s="5" t="s">
        <v>1560</v>
      </c>
    </row>
    <row r="106" ht="15.75" customHeight="1">
      <c r="A106" s="5" t="s">
        <v>682</v>
      </c>
      <c r="B106" s="5" t="s">
        <v>749</v>
      </c>
      <c r="C106" s="5" t="s">
        <v>750</v>
      </c>
      <c r="D106" s="5" t="s">
        <v>1560</v>
      </c>
    </row>
    <row r="107" ht="15.75" customHeight="1">
      <c r="A107" s="5" t="s">
        <v>682</v>
      </c>
      <c r="B107" s="5" t="s">
        <v>757</v>
      </c>
      <c r="C107" s="5" t="s">
        <v>758</v>
      </c>
      <c r="D107" s="5" t="s">
        <v>1560</v>
      </c>
    </row>
    <row r="108" ht="15.75" customHeight="1">
      <c r="A108" s="5" t="s">
        <v>682</v>
      </c>
      <c r="B108" s="5" t="s">
        <v>765</v>
      </c>
      <c r="C108" s="5" t="s">
        <v>766</v>
      </c>
      <c r="D108" s="5" t="s">
        <v>1560</v>
      </c>
    </row>
    <row r="109" ht="15.75" customHeight="1">
      <c r="A109" s="5" t="s">
        <v>682</v>
      </c>
      <c r="B109" s="5" t="s">
        <v>773</v>
      </c>
      <c r="C109" s="5" t="s">
        <v>774</v>
      </c>
      <c r="D109" s="5" t="s">
        <v>944</v>
      </c>
      <c r="E109" s="5" t="s">
        <v>2330</v>
      </c>
      <c r="F109" s="5" t="s">
        <v>2336</v>
      </c>
      <c r="G109" s="5" t="s">
        <v>968</v>
      </c>
      <c r="H109" s="5" t="s">
        <v>957</v>
      </c>
    </row>
    <row r="110" ht="15.75" customHeight="1">
      <c r="A110" s="5" t="s">
        <v>682</v>
      </c>
      <c r="B110" s="5" t="s">
        <v>782</v>
      </c>
      <c r="C110" s="5" t="s">
        <v>783</v>
      </c>
      <c r="D110" s="5" t="s">
        <v>1560</v>
      </c>
    </row>
    <row r="111" ht="15.75" customHeight="1">
      <c r="A111" s="5" t="s">
        <v>682</v>
      </c>
      <c r="B111" s="5" t="s">
        <v>791</v>
      </c>
      <c r="C111" s="5" t="s">
        <v>792</v>
      </c>
      <c r="D111" s="5" t="s">
        <v>944</v>
      </c>
      <c r="E111" s="5" t="s">
        <v>682</v>
      </c>
      <c r="F111" s="5" t="s">
        <v>2337</v>
      </c>
      <c r="G111" s="5" t="s">
        <v>968</v>
      </c>
      <c r="H111" s="5" t="s">
        <v>2287</v>
      </c>
    </row>
    <row r="112" ht="15.75" customHeight="1">
      <c r="A112" s="5" t="s">
        <v>682</v>
      </c>
      <c r="B112" s="5" t="s">
        <v>791</v>
      </c>
      <c r="C112" s="5" t="s">
        <v>792</v>
      </c>
      <c r="D112" s="5" t="s">
        <v>944</v>
      </c>
      <c r="E112" s="5" t="s">
        <v>682</v>
      </c>
      <c r="F112" s="5" t="s">
        <v>2284</v>
      </c>
      <c r="G112" s="5" t="s">
        <v>968</v>
      </c>
      <c r="H112" s="5" t="s">
        <v>2287</v>
      </c>
    </row>
    <row r="113" ht="15.75" customHeight="1">
      <c r="A113" s="5" t="s">
        <v>801</v>
      </c>
      <c r="B113" s="5" t="s">
        <v>802</v>
      </c>
      <c r="C113" s="5" t="s">
        <v>803</v>
      </c>
      <c r="D113" s="5" t="s">
        <v>944</v>
      </c>
      <c r="E113" s="5" t="s">
        <v>2338</v>
      </c>
      <c r="F113" s="5" t="s">
        <v>2339</v>
      </c>
      <c r="G113" s="5" t="s">
        <v>1006</v>
      </c>
      <c r="H113" s="5" t="s">
        <v>974</v>
      </c>
    </row>
    <row r="114" ht="15.75" customHeight="1">
      <c r="A114" s="5" t="s">
        <v>801</v>
      </c>
      <c r="B114" s="5" t="s">
        <v>810</v>
      </c>
      <c r="C114" s="5" t="s">
        <v>811</v>
      </c>
      <c r="D114" s="5" t="s">
        <v>1560</v>
      </c>
    </row>
    <row r="115" ht="15.75" customHeight="1">
      <c r="A115" s="5" t="s">
        <v>801</v>
      </c>
      <c r="B115" s="5" t="s">
        <v>818</v>
      </c>
      <c r="C115" s="5" t="s">
        <v>819</v>
      </c>
      <c r="D115" s="5" t="s">
        <v>944</v>
      </c>
      <c r="E115" s="5" t="s">
        <v>2340</v>
      </c>
      <c r="F115" s="5" t="s">
        <v>2341</v>
      </c>
      <c r="G115" s="5" t="s">
        <v>1111</v>
      </c>
      <c r="H115" s="5" t="s">
        <v>1145</v>
      </c>
    </row>
    <row r="116" ht="15.75" customHeight="1">
      <c r="A116" s="5" t="s">
        <v>801</v>
      </c>
      <c r="B116" s="5" t="s">
        <v>826</v>
      </c>
      <c r="C116" s="5" t="s">
        <v>827</v>
      </c>
      <c r="D116" s="5" t="s">
        <v>944</v>
      </c>
      <c r="E116" s="5" t="s">
        <v>2342</v>
      </c>
      <c r="F116" s="5" t="s">
        <v>2284</v>
      </c>
      <c r="G116" s="5" t="s">
        <v>1145</v>
      </c>
      <c r="H116" s="5" t="s">
        <v>1036</v>
      </c>
    </row>
    <row r="117" ht="15.75" customHeight="1">
      <c r="A117" s="5" t="s">
        <v>801</v>
      </c>
      <c r="B117" s="5" t="s">
        <v>836</v>
      </c>
      <c r="C117" s="5" t="s">
        <v>837</v>
      </c>
      <c r="D117" s="5" t="s">
        <v>1560</v>
      </c>
    </row>
    <row r="118" ht="15.75" customHeight="1">
      <c r="A118" s="5" t="s">
        <v>801</v>
      </c>
      <c r="B118" s="5" t="s">
        <v>844</v>
      </c>
      <c r="C118" s="5" t="s">
        <v>845</v>
      </c>
      <c r="D118" s="5" t="s">
        <v>1560</v>
      </c>
    </row>
    <row r="119" ht="15.75" customHeight="1">
      <c r="A119" s="5" t="s">
        <v>801</v>
      </c>
      <c r="B119" s="5" t="s">
        <v>853</v>
      </c>
      <c r="C119" s="5" t="s">
        <v>854</v>
      </c>
      <c r="D119" s="5" t="s">
        <v>1560</v>
      </c>
    </row>
    <row r="120" ht="15.75" customHeight="1">
      <c r="A120" s="5" t="s">
        <v>801</v>
      </c>
      <c r="B120" s="5" t="s">
        <v>860</v>
      </c>
      <c r="C120" s="5" t="s">
        <v>861</v>
      </c>
      <c r="D120" s="5" t="s">
        <v>1560</v>
      </c>
    </row>
    <row r="121" ht="15.75" customHeight="1">
      <c r="A121" s="5" t="s">
        <v>801</v>
      </c>
      <c r="B121" s="5" t="s">
        <v>867</v>
      </c>
      <c r="C121" s="5" t="s">
        <v>868</v>
      </c>
      <c r="D121" s="5" t="s">
        <v>944</v>
      </c>
      <c r="E121" s="5" t="s">
        <v>801</v>
      </c>
      <c r="F121" s="5" t="s">
        <v>2343</v>
      </c>
      <c r="G121" s="5" t="s">
        <v>957</v>
      </c>
      <c r="H121" s="5" t="s">
        <v>2287</v>
      </c>
    </row>
    <row r="122" ht="15.75" customHeight="1">
      <c r="A122" s="5" t="s">
        <v>801</v>
      </c>
      <c r="B122" s="5" t="s">
        <v>867</v>
      </c>
      <c r="C122" s="5" t="s">
        <v>868</v>
      </c>
      <c r="D122" s="5" t="s">
        <v>944</v>
      </c>
      <c r="E122" s="5" t="s">
        <v>2344</v>
      </c>
      <c r="F122" s="5" t="s">
        <v>2284</v>
      </c>
      <c r="G122" s="5" t="s">
        <v>1412</v>
      </c>
      <c r="H122" s="5" t="s">
        <v>1220</v>
      </c>
    </row>
    <row r="123" ht="15.75" customHeight="1">
      <c r="A123" s="5" t="s">
        <v>801</v>
      </c>
      <c r="B123" s="5" t="s">
        <v>875</v>
      </c>
      <c r="C123" s="5" t="s">
        <v>876</v>
      </c>
      <c r="D123" s="5" t="s">
        <v>1560</v>
      </c>
    </row>
    <row r="124" ht="15.75" customHeight="1">
      <c r="A124" s="5" t="s">
        <v>801</v>
      </c>
      <c r="B124" s="5" t="s">
        <v>883</v>
      </c>
      <c r="C124" s="5" t="s">
        <v>884</v>
      </c>
      <c r="D124" s="5" t="s">
        <v>1560</v>
      </c>
    </row>
    <row r="125" ht="15.75" customHeight="1">
      <c r="A125" s="5" t="s">
        <v>801</v>
      </c>
      <c r="B125" s="5" t="s">
        <v>890</v>
      </c>
      <c r="C125" s="5" t="s">
        <v>891</v>
      </c>
      <c r="D125" s="5" t="s">
        <v>944</v>
      </c>
      <c r="E125" s="5" t="s">
        <v>801</v>
      </c>
      <c r="F125" s="5" t="s">
        <v>2327</v>
      </c>
      <c r="G125" s="5" t="s">
        <v>957</v>
      </c>
      <c r="H125" s="5" t="s">
        <v>2287</v>
      </c>
    </row>
    <row r="126" ht="15.75" customHeight="1">
      <c r="A126" s="5" t="s">
        <v>801</v>
      </c>
      <c r="B126" s="5" t="s">
        <v>890</v>
      </c>
      <c r="C126" s="5" t="s">
        <v>891</v>
      </c>
      <c r="D126" s="5" t="s">
        <v>944</v>
      </c>
      <c r="E126" s="5" t="s">
        <v>801</v>
      </c>
      <c r="F126" s="5" t="s">
        <v>2345</v>
      </c>
      <c r="G126" s="5" t="s">
        <v>1636</v>
      </c>
      <c r="H126" s="5" t="s">
        <v>1110</v>
      </c>
      <c r="I126" s="5" t="s">
        <v>2346</v>
      </c>
    </row>
    <row r="127" ht="15.75" customHeight="1">
      <c r="A127" s="5" t="s">
        <v>801</v>
      </c>
      <c r="B127" s="5" t="s">
        <v>890</v>
      </c>
      <c r="C127" s="5" t="s">
        <v>891</v>
      </c>
      <c r="D127" s="5" t="s">
        <v>944</v>
      </c>
      <c r="E127" s="5" t="s">
        <v>801</v>
      </c>
      <c r="F127" s="5" t="s">
        <v>2345</v>
      </c>
      <c r="G127" s="5" t="s">
        <v>1636</v>
      </c>
      <c r="H127" s="5" t="s">
        <v>1110</v>
      </c>
      <c r="I127" s="5" t="s">
        <v>2346</v>
      </c>
    </row>
    <row r="128" ht="15.75" customHeight="1">
      <c r="A128" s="5" t="s">
        <v>801</v>
      </c>
      <c r="B128" s="5" t="s">
        <v>890</v>
      </c>
      <c r="C128" s="5" t="s">
        <v>891</v>
      </c>
      <c r="D128" s="5" t="s">
        <v>944</v>
      </c>
      <c r="E128" s="5" t="s">
        <v>801</v>
      </c>
      <c r="F128" s="5" t="s">
        <v>2327</v>
      </c>
      <c r="G128" s="5" t="s">
        <v>957</v>
      </c>
      <c r="H128" s="5" t="s">
        <v>2287</v>
      </c>
    </row>
    <row r="129" ht="15.75" customHeight="1">
      <c r="A129" s="5" t="s">
        <v>801</v>
      </c>
      <c r="B129" s="5" t="s">
        <v>898</v>
      </c>
      <c r="C129" s="5" t="s">
        <v>899</v>
      </c>
      <c r="D129" s="5" t="s">
        <v>1560</v>
      </c>
    </row>
    <row r="130" ht="15.75" customHeight="1">
      <c r="A130" s="5" t="s">
        <v>801</v>
      </c>
      <c r="B130" s="5" t="s">
        <v>906</v>
      </c>
      <c r="C130" s="5" t="s">
        <v>907</v>
      </c>
      <c r="D130" s="5" t="s">
        <v>1560</v>
      </c>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2347</v>
      </c>
      <c r="E1" s="1" t="s">
        <v>2278</v>
      </c>
      <c r="F1" s="1" t="s">
        <v>936</v>
      </c>
      <c r="G1" s="1" t="s">
        <v>937</v>
      </c>
      <c r="H1" s="1" t="s">
        <v>2348</v>
      </c>
      <c r="I1" s="1" t="s">
        <v>2349</v>
      </c>
    </row>
    <row r="2">
      <c r="A2" s="5" t="s">
        <v>26</v>
      </c>
      <c r="B2" s="5" t="s">
        <v>27</v>
      </c>
      <c r="C2" s="5" t="s">
        <v>28</v>
      </c>
      <c r="D2" s="5" t="s">
        <v>944</v>
      </c>
      <c r="E2" s="5" t="s">
        <v>2350</v>
      </c>
      <c r="F2" s="5" t="s">
        <v>950</v>
      </c>
      <c r="G2" s="5" t="s">
        <v>2351</v>
      </c>
      <c r="H2" s="5" t="s">
        <v>2352</v>
      </c>
    </row>
    <row r="3">
      <c r="A3" s="5" t="s">
        <v>26</v>
      </c>
      <c r="B3" s="5" t="s">
        <v>39</v>
      </c>
      <c r="C3" s="5" t="s">
        <v>40</v>
      </c>
      <c r="D3" s="5" t="s">
        <v>1560</v>
      </c>
    </row>
    <row r="4">
      <c r="A4" s="5" t="s">
        <v>26</v>
      </c>
      <c r="B4" s="5" t="s">
        <v>50</v>
      </c>
      <c r="C4" s="5" t="s">
        <v>51</v>
      </c>
      <c r="D4" s="5" t="s">
        <v>1560</v>
      </c>
    </row>
    <row r="5">
      <c r="A5" s="5" t="s">
        <v>26</v>
      </c>
      <c r="B5" s="5" t="s">
        <v>60</v>
      </c>
      <c r="C5" s="5" t="s">
        <v>61</v>
      </c>
      <c r="D5" s="5" t="s">
        <v>1560</v>
      </c>
    </row>
    <row r="6">
      <c r="A6" s="5" t="s">
        <v>26</v>
      </c>
      <c r="B6" s="5" t="s">
        <v>71</v>
      </c>
      <c r="C6" s="5" t="s">
        <v>72</v>
      </c>
      <c r="D6" s="5" t="s">
        <v>944</v>
      </c>
      <c r="E6" s="5" t="s">
        <v>2353</v>
      </c>
      <c r="F6" s="5" t="s">
        <v>1111</v>
      </c>
      <c r="G6" s="5" t="s">
        <v>1111</v>
      </c>
      <c r="H6" s="5" t="s">
        <v>2354</v>
      </c>
    </row>
    <row r="7">
      <c r="A7" s="5" t="s">
        <v>26</v>
      </c>
      <c r="B7" s="5" t="s">
        <v>71</v>
      </c>
      <c r="C7" s="5" t="s">
        <v>72</v>
      </c>
      <c r="D7" s="5" t="s">
        <v>944</v>
      </c>
      <c r="E7" s="5" t="s">
        <v>2355</v>
      </c>
      <c r="F7" s="5" t="s">
        <v>1056</v>
      </c>
      <c r="G7" s="5" t="s">
        <v>974</v>
      </c>
      <c r="H7" s="5" t="s">
        <v>1330</v>
      </c>
    </row>
    <row r="8">
      <c r="A8" s="5" t="s">
        <v>26</v>
      </c>
      <c r="B8" s="5" t="s">
        <v>80</v>
      </c>
      <c r="C8" s="5" t="s">
        <v>81</v>
      </c>
      <c r="D8" s="5" t="s">
        <v>1560</v>
      </c>
    </row>
    <row r="9">
      <c r="A9" s="5" t="s">
        <v>26</v>
      </c>
      <c r="B9" s="5" t="s">
        <v>91</v>
      </c>
      <c r="C9" s="5" t="s">
        <v>92</v>
      </c>
      <c r="D9" s="5" t="s">
        <v>1560</v>
      </c>
    </row>
    <row r="10">
      <c r="A10" s="5" t="s">
        <v>26</v>
      </c>
      <c r="B10" s="5" t="s">
        <v>100</v>
      </c>
      <c r="C10" s="5" t="s">
        <v>101</v>
      </c>
      <c r="D10" s="5" t="s">
        <v>1560</v>
      </c>
    </row>
    <row r="11">
      <c r="A11" s="5" t="s">
        <v>26</v>
      </c>
      <c r="B11" s="5" t="s">
        <v>110</v>
      </c>
      <c r="C11" s="5" t="s">
        <v>111</v>
      </c>
      <c r="D11" s="5" t="s">
        <v>1560</v>
      </c>
    </row>
    <row r="12">
      <c r="A12" s="5" t="s">
        <v>121</v>
      </c>
      <c r="B12" s="5" t="s">
        <v>122</v>
      </c>
      <c r="C12" s="5" t="s">
        <v>123</v>
      </c>
      <c r="D12" s="5" t="s">
        <v>1560</v>
      </c>
    </row>
    <row r="13">
      <c r="A13" s="5" t="s">
        <v>121</v>
      </c>
      <c r="B13" s="5" t="s">
        <v>133</v>
      </c>
      <c r="C13" s="5" t="s">
        <v>134</v>
      </c>
      <c r="D13" s="5" t="s">
        <v>944</v>
      </c>
      <c r="E13" s="5" t="s">
        <v>121</v>
      </c>
      <c r="F13" s="5" t="s">
        <v>974</v>
      </c>
      <c r="G13" s="5" t="s">
        <v>957</v>
      </c>
      <c r="H13" s="5" t="s">
        <v>1330</v>
      </c>
      <c r="I13" s="5" t="s">
        <v>2356</v>
      </c>
    </row>
    <row r="14">
      <c r="A14" s="5" t="s">
        <v>121</v>
      </c>
      <c r="B14" s="5" t="s">
        <v>142</v>
      </c>
      <c r="C14" s="5" t="s">
        <v>143</v>
      </c>
      <c r="D14" s="5" t="s">
        <v>944</v>
      </c>
      <c r="E14" s="5" t="s">
        <v>121</v>
      </c>
      <c r="F14" s="5" t="s">
        <v>1056</v>
      </c>
      <c r="G14" s="5" t="s">
        <v>974</v>
      </c>
      <c r="H14" s="5" t="s">
        <v>1330</v>
      </c>
      <c r="I14" s="5" t="s">
        <v>2357</v>
      </c>
    </row>
    <row r="15">
      <c r="A15" s="5" t="s">
        <v>121</v>
      </c>
      <c r="B15" s="5" t="s">
        <v>153</v>
      </c>
      <c r="C15" s="5" t="s">
        <v>154</v>
      </c>
      <c r="D15" s="5" t="s">
        <v>944</v>
      </c>
      <c r="E15" s="5" t="s">
        <v>121</v>
      </c>
      <c r="F15" s="5" t="s">
        <v>974</v>
      </c>
      <c r="G15" s="5" t="s">
        <v>957</v>
      </c>
      <c r="H15" s="5" t="s">
        <v>1330</v>
      </c>
    </row>
    <row r="16">
      <c r="A16" s="5" t="s">
        <v>121</v>
      </c>
      <c r="B16" s="5" t="s">
        <v>161</v>
      </c>
      <c r="C16" s="5" t="s">
        <v>162</v>
      </c>
      <c r="D16" s="5" t="s">
        <v>944</v>
      </c>
      <c r="E16" s="5" t="s">
        <v>121</v>
      </c>
      <c r="F16" s="5" t="s">
        <v>1056</v>
      </c>
      <c r="G16" s="5" t="s">
        <v>974</v>
      </c>
      <c r="H16" s="5" t="s">
        <v>1330</v>
      </c>
      <c r="I16" s="5" t="s">
        <v>2358</v>
      </c>
    </row>
    <row r="17">
      <c r="A17" s="5" t="s">
        <v>121</v>
      </c>
      <c r="B17" s="5" t="s">
        <v>161</v>
      </c>
      <c r="C17" s="5" t="s">
        <v>162</v>
      </c>
      <c r="D17" s="5" t="s">
        <v>944</v>
      </c>
      <c r="E17" s="5" t="s">
        <v>2359</v>
      </c>
      <c r="F17" s="5" t="s">
        <v>1220</v>
      </c>
      <c r="G17" s="5" t="s">
        <v>1110</v>
      </c>
      <c r="H17" s="5" t="s">
        <v>1330</v>
      </c>
    </row>
    <row r="18">
      <c r="A18" s="5" t="s">
        <v>121</v>
      </c>
      <c r="B18" s="5" t="s">
        <v>170</v>
      </c>
      <c r="C18" s="5" t="s">
        <v>171</v>
      </c>
      <c r="D18" s="5" t="s">
        <v>944</v>
      </c>
      <c r="E18" s="5" t="s">
        <v>2360</v>
      </c>
      <c r="F18" s="5" t="s">
        <v>1110</v>
      </c>
      <c r="G18" s="5" t="s">
        <v>1094</v>
      </c>
      <c r="H18" s="5" t="s">
        <v>2361</v>
      </c>
    </row>
    <row r="19">
      <c r="A19" s="5" t="s">
        <v>121</v>
      </c>
      <c r="B19" s="5" t="s">
        <v>170</v>
      </c>
      <c r="C19" s="5" t="s">
        <v>171</v>
      </c>
      <c r="D19" s="5" t="s">
        <v>944</v>
      </c>
      <c r="E19" s="5" t="s">
        <v>2362</v>
      </c>
      <c r="F19" s="5" t="s">
        <v>1128</v>
      </c>
      <c r="G19" s="5" t="s">
        <v>949</v>
      </c>
      <c r="H19" s="5" t="s">
        <v>2361</v>
      </c>
    </row>
    <row r="20">
      <c r="A20" s="5" t="s">
        <v>121</v>
      </c>
      <c r="B20" s="5" t="s">
        <v>180</v>
      </c>
      <c r="C20" s="5" t="s">
        <v>181</v>
      </c>
      <c r="D20" s="5" t="s">
        <v>944</v>
      </c>
      <c r="E20" s="5" t="s">
        <v>121</v>
      </c>
      <c r="F20" s="5" t="s">
        <v>974</v>
      </c>
      <c r="G20" s="5" t="s">
        <v>957</v>
      </c>
      <c r="H20" s="5" t="s">
        <v>1330</v>
      </c>
      <c r="I20" s="5" t="s">
        <v>2363</v>
      </c>
    </row>
    <row r="21" ht="15.75" customHeight="1">
      <c r="A21" s="5" t="s">
        <v>121</v>
      </c>
      <c r="B21" s="5" t="s">
        <v>190</v>
      </c>
      <c r="C21" s="5" t="s">
        <v>191</v>
      </c>
      <c r="D21" s="5" t="s">
        <v>944</v>
      </c>
      <c r="E21" s="5" t="s">
        <v>2364</v>
      </c>
      <c r="F21" s="5" t="s">
        <v>1636</v>
      </c>
      <c r="G21" s="5" t="s">
        <v>1235</v>
      </c>
      <c r="H21" s="5" t="s">
        <v>2365</v>
      </c>
    </row>
    <row r="22" ht="15.75" customHeight="1">
      <c r="A22" s="5" t="s">
        <v>121</v>
      </c>
      <c r="B22" s="5" t="s">
        <v>190</v>
      </c>
      <c r="C22" s="5" t="s">
        <v>191</v>
      </c>
      <c r="D22" s="5" t="s">
        <v>944</v>
      </c>
      <c r="E22" s="5" t="s">
        <v>2366</v>
      </c>
      <c r="F22" s="5" t="s">
        <v>1740</v>
      </c>
      <c r="G22" s="5" t="s">
        <v>2367</v>
      </c>
      <c r="H22" s="5" t="s">
        <v>2365</v>
      </c>
    </row>
    <row r="23" ht="15.75" customHeight="1">
      <c r="A23" s="5" t="s">
        <v>121</v>
      </c>
      <c r="B23" s="5" t="s">
        <v>201</v>
      </c>
      <c r="C23" s="5" t="s">
        <v>202</v>
      </c>
      <c r="D23" s="5" t="s">
        <v>1560</v>
      </c>
    </row>
    <row r="24" ht="15.75" customHeight="1">
      <c r="A24" s="5" t="s">
        <v>121</v>
      </c>
      <c r="B24" s="5" t="s">
        <v>211</v>
      </c>
      <c r="C24" s="5" t="s">
        <v>212</v>
      </c>
      <c r="D24" s="5" t="s">
        <v>944</v>
      </c>
      <c r="E24" s="5" t="s">
        <v>2368</v>
      </c>
      <c r="F24" s="5" t="s">
        <v>1412</v>
      </c>
      <c r="G24" s="5" t="s">
        <v>1220</v>
      </c>
      <c r="H24" s="5" t="s">
        <v>2361</v>
      </c>
    </row>
    <row r="25" ht="15.75" customHeight="1">
      <c r="A25" s="5" t="s">
        <v>121</v>
      </c>
      <c r="B25" s="5" t="s">
        <v>211</v>
      </c>
      <c r="C25" s="5" t="s">
        <v>212</v>
      </c>
      <c r="D25" s="5" t="s">
        <v>944</v>
      </c>
      <c r="E25" s="5" t="s">
        <v>2369</v>
      </c>
      <c r="F25" s="5" t="s">
        <v>1110</v>
      </c>
      <c r="G25" s="5" t="s">
        <v>1094</v>
      </c>
      <c r="H25" s="5" t="s">
        <v>2361</v>
      </c>
    </row>
    <row r="26" ht="15.75" customHeight="1">
      <c r="A26" s="5" t="s">
        <v>121</v>
      </c>
      <c r="B26" s="5" t="s">
        <v>219</v>
      </c>
      <c r="C26" s="5" t="s">
        <v>220</v>
      </c>
      <c r="D26" s="5" t="s">
        <v>944</v>
      </c>
      <c r="E26" s="5" t="s">
        <v>121</v>
      </c>
      <c r="F26" s="5" t="s">
        <v>1056</v>
      </c>
      <c r="G26" s="5" t="s">
        <v>974</v>
      </c>
      <c r="H26" s="5" t="s">
        <v>1330</v>
      </c>
      <c r="I26" s="5" t="s">
        <v>2370</v>
      </c>
    </row>
    <row r="27" ht="15.75" customHeight="1">
      <c r="A27" s="5" t="s">
        <v>121</v>
      </c>
      <c r="B27" s="5" t="s">
        <v>219</v>
      </c>
      <c r="C27" s="5" t="s">
        <v>220</v>
      </c>
      <c r="D27" s="5" t="s">
        <v>944</v>
      </c>
      <c r="E27" s="5" t="s">
        <v>2371</v>
      </c>
      <c r="F27" s="5" t="s">
        <v>1220</v>
      </c>
      <c r="G27" s="5" t="s">
        <v>1110</v>
      </c>
      <c r="H27" s="5" t="s">
        <v>1330</v>
      </c>
    </row>
    <row r="28" ht="15.75" customHeight="1">
      <c r="A28" s="5" t="s">
        <v>121</v>
      </c>
      <c r="B28" s="5" t="s">
        <v>227</v>
      </c>
      <c r="C28" s="5" t="s">
        <v>228</v>
      </c>
      <c r="D28" s="5" t="s">
        <v>944</v>
      </c>
      <c r="E28" s="5" t="s">
        <v>121</v>
      </c>
      <c r="F28" s="5" t="s">
        <v>1036</v>
      </c>
      <c r="G28" s="5" t="s">
        <v>974</v>
      </c>
      <c r="H28" s="5" t="s">
        <v>1330</v>
      </c>
    </row>
    <row r="29" ht="15.75" customHeight="1">
      <c r="A29" s="5" t="s">
        <v>121</v>
      </c>
      <c r="B29" s="5" t="s">
        <v>236</v>
      </c>
      <c r="C29" s="5" t="s">
        <v>237</v>
      </c>
      <c r="D29" s="5" t="s">
        <v>1560</v>
      </c>
    </row>
    <row r="30" ht="15.75" customHeight="1">
      <c r="A30" s="5" t="s">
        <v>121</v>
      </c>
      <c r="B30" s="5" t="s">
        <v>244</v>
      </c>
      <c r="C30" s="5" t="s">
        <v>245</v>
      </c>
      <c r="D30" s="5" t="s">
        <v>1560</v>
      </c>
    </row>
    <row r="31" ht="15.75" customHeight="1">
      <c r="A31" s="5" t="s">
        <v>121</v>
      </c>
      <c r="B31" s="5" t="s">
        <v>253</v>
      </c>
      <c r="C31" s="5" t="s">
        <v>254</v>
      </c>
      <c r="D31" s="5" t="s">
        <v>1560</v>
      </c>
    </row>
    <row r="32" ht="15.75" customHeight="1">
      <c r="A32" s="5" t="s">
        <v>121</v>
      </c>
      <c r="B32" s="5" t="s">
        <v>261</v>
      </c>
      <c r="C32" s="5" t="s">
        <v>262</v>
      </c>
      <c r="D32" s="5" t="s">
        <v>944</v>
      </c>
      <c r="E32" s="5" t="s">
        <v>121</v>
      </c>
      <c r="F32" s="5" t="s">
        <v>974</v>
      </c>
      <c r="G32" s="5" t="s">
        <v>957</v>
      </c>
      <c r="H32" s="5" t="s">
        <v>1330</v>
      </c>
    </row>
    <row r="33" ht="15.75" customHeight="1">
      <c r="A33" s="5" t="s">
        <v>121</v>
      </c>
      <c r="B33" s="5" t="s">
        <v>270</v>
      </c>
      <c r="C33" s="5" t="s">
        <v>271</v>
      </c>
      <c r="D33" s="5" t="s">
        <v>1560</v>
      </c>
    </row>
    <row r="34" ht="15.75" customHeight="1">
      <c r="A34" s="5" t="s">
        <v>121</v>
      </c>
      <c r="B34" s="5" t="s">
        <v>279</v>
      </c>
      <c r="C34" s="5" t="s">
        <v>280</v>
      </c>
      <c r="D34" s="5" t="s">
        <v>1560</v>
      </c>
    </row>
    <row r="35" ht="15.75" customHeight="1">
      <c r="A35" s="5" t="s">
        <v>121</v>
      </c>
      <c r="B35" s="5" t="s">
        <v>288</v>
      </c>
      <c r="C35" s="5" t="s">
        <v>289</v>
      </c>
      <c r="D35" s="5" t="s">
        <v>944</v>
      </c>
      <c r="E35" s="5" t="s">
        <v>2372</v>
      </c>
      <c r="F35" s="5" t="s">
        <v>1006</v>
      </c>
      <c r="G35" s="5" t="s">
        <v>950</v>
      </c>
      <c r="H35" s="5" t="s">
        <v>2352</v>
      </c>
    </row>
    <row r="36" ht="15.75" customHeight="1">
      <c r="A36" s="5" t="s">
        <v>121</v>
      </c>
      <c r="B36" s="5" t="s">
        <v>288</v>
      </c>
      <c r="C36" s="5" t="s">
        <v>289</v>
      </c>
      <c r="D36" s="5" t="s">
        <v>944</v>
      </c>
      <c r="E36" s="5" t="s">
        <v>2373</v>
      </c>
      <c r="F36" s="5" t="s">
        <v>1110</v>
      </c>
      <c r="G36" s="5" t="s">
        <v>1094</v>
      </c>
      <c r="H36" s="5" t="s">
        <v>2361</v>
      </c>
    </row>
    <row r="37" ht="15.75" customHeight="1">
      <c r="A37" s="5" t="s">
        <v>121</v>
      </c>
      <c r="B37" s="5" t="s">
        <v>296</v>
      </c>
      <c r="C37" s="5" t="s">
        <v>297</v>
      </c>
      <c r="D37" s="5" t="s">
        <v>944</v>
      </c>
      <c r="E37" s="5" t="s">
        <v>2374</v>
      </c>
      <c r="F37" s="5" t="s">
        <v>1220</v>
      </c>
      <c r="G37" s="5" t="s">
        <v>1110</v>
      </c>
      <c r="H37" s="5" t="s">
        <v>2375</v>
      </c>
    </row>
    <row r="38" ht="15.75" customHeight="1">
      <c r="A38" s="5" t="s">
        <v>121</v>
      </c>
      <c r="B38" s="5" t="s">
        <v>296</v>
      </c>
      <c r="C38" s="5" t="s">
        <v>297</v>
      </c>
      <c r="D38" s="5" t="s">
        <v>944</v>
      </c>
      <c r="E38" s="5" t="s">
        <v>2376</v>
      </c>
      <c r="F38" s="5" t="s">
        <v>1128</v>
      </c>
      <c r="G38" s="5" t="s">
        <v>949</v>
      </c>
      <c r="H38" s="5" t="s">
        <v>2354</v>
      </c>
    </row>
    <row r="39" ht="15.75" customHeight="1">
      <c r="A39" s="5" t="s">
        <v>121</v>
      </c>
      <c r="B39" s="5" t="s">
        <v>304</v>
      </c>
      <c r="C39" s="5" t="s">
        <v>305</v>
      </c>
      <c r="D39" s="5" t="s">
        <v>1560</v>
      </c>
    </row>
    <row r="40" ht="15.75" customHeight="1">
      <c r="A40" s="5" t="s">
        <v>121</v>
      </c>
      <c r="B40" s="5" t="s">
        <v>313</v>
      </c>
      <c r="C40" s="5" t="s">
        <v>314</v>
      </c>
      <c r="D40" s="5" t="s">
        <v>944</v>
      </c>
      <c r="E40" s="5" t="s">
        <v>121</v>
      </c>
      <c r="F40" s="5" t="s">
        <v>1056</v>
      </c>
      <c r="G40" s="5" t="s">
        <v>974</v>
      </c>
      <c r="H40" s="5" t="s">
        <v>1330</v>
      </c>
      <c r="I40" s="5" t="s">
        <v>2377</v>
      </c>
    </row>
    <row r="41" ht="15.75" customHeight="1">
      <c r="A41" s="5" t="s">
        <v>121</v>
      </c>
      <c r="B41" s="5" t="s">
        <v>313</v>
      </c>
      <c r="C41" s="5" t="s">
        <v>314</v>
      </c>
      <c r="D41" s="5" t="s">
        <v>944</v>
      </c>
      <c r="E41" s="5" t="s">
        <v>2372</v>
      </c>
      <c r="F41" s="5" t="s">
        <v>1128</v>
      </c>
      <c r="G41" s="5" t="s">
        <v>949</v>
      </c>
      <c r="H41" s="5" t="s">
        <v>2361</v>
      </c>
      <c r="I41" s="5" t="s">
        <v>2378</v>
      </c>
    </row>
    <row r="42" ht="15.75" customHeight="1">
      <c r="A42" s="5" t="s">
        <v>121</v>
      </c>
      <c r="B42" s="5" t="s">
        <v>321</v>
      </c>
      <c r="C42" s="5" t="s">
        <v>322</v>
      </c>
      <c r="D42" s="5" t="s">
        <v>1560</v>
      </c>
    </row>
    <row r="43" ht="15.75" customHeight="1">
      <c r="A43" s="5" t="s">
        <v>121</v>
      </c>
      <c r="B43" s="5" t="s">
        <v>330</v>
      </c>
      <c r="C43" s="5" t="s">
        <v>331</v>
      </c>
      <c r="D43" s="5" t="s">
        <v>1560</v>
      </c>
    </row>
    <row r="44" ht="15.75" customHeight="1">
      <c r="A44" s="5" t="s">
        <v>121</v>
      </c>
      <c r="B44" s="5" t="s">
        <v>338</v>
      </c>
      <c r="C44" s="5" t="s">
        <v>339</v>
      </c>
      <c r="D44" s="5" t="s">
        <v>1560</v>
      </c>
    </row>
    <row r="45" ht="15.75" customHeight="1">
      <c r="A45" s="5" t="s">
        <v>121</v>
      </c>
      <c r="B45" s="5" t="s">
        <v>348</v>
      </c>
      <c r="C45" s="5" t="s">
        <v>349</v>
      </c>
      <c r="D45" s="5" t="s">
        <v>944</v>
      </c>
      <c r="E45" s="5" t="s">
        <v>121</v>
      </c>
      <c r="F45" s="5" t="s">
        <v>974</v>
      </c>
      <c r="G45" s="5" t="s">
        <v>957</v>
      </c>
      <c r="H45" s="5" t="s">
        <v>1330</v>
      </c>
      <c r="I45" s="5" t="s">
        <v>2379</v>
      </c>
    </row>
    <row r="46" ht="15.75" customHeight="1">
      <c r="A46" s="5" t="s">
        <v>121</v>
      </c>
      <c r="B46" s="5" t="s">
        <v>355</v>
      </c>
      <c r="C46" s="5" t="s">
        <v>356</v>
      </c>
      <c r="D46" s="5" t="s">
        <v>944</v>
      </c>
      <c r="E46" s="5" t="s">
        <v>121</v>
      </c>
      <c r="F46" s="5" t="s">
        <v>1006</v>
      </c>
      <c r="G46" s="5" t="s">
        <v>950</v>
      </c>
      <c r="H46" s="5" t="s">
        <v>2365</v>
      </c>
    </row>
    <row r="47" ht="15.75" customHeight="1">
      <c r="A47" s="5" t="s">
        <v>121</v>
      </c>
      <c r="B47" s="5" t="s">
        <v>365</v>
      </c>
      <c r="C47" s="5" t="s">
        <v>366</v>
      </c>
      <c r="D47" s="5" t="s">
        <v>944</v>
      </c>
      <c r="E47" s="5" t="s">
        <v>2380</v>
      </c>
      <c r="F47" s="5" t="s">
        <v>1412</v>
      </c>
      <c r="G47" s="5" t="s">
        <v>1220</v>
      </c>
      <c r="H47" s="5" t="s">
        <v>2381</v>
      </c>
    </row>
    <row r="48" ht="15.75" customHeight="1">
      <c r="A48" s="5" t="s">
        <v>121</v>
      </c>
      <c r="B48" s="5" t="s">
        <v>375</v>
      </c>
      <c r="C48" s="5" t="s">
        <v>376</v>
      </c>
      <c r="D48" s="5" t="s">
        <v>944</v>
      </c>
      <c r="E48" s="5" t="s">
        <v>121</v>
      </c>
      <c r="F48" s="5" t="s">
        <v>1056</v>
      </c>
      <c r="G48" s="5" t="s">
        <v>974</v>
      </c>
      <c r="H48" s="5" t="s">
        <v>1330</v>
      </c>
      <c r="I48" s="5" t="s">
        <v>2382</v>
      </c>
    </row>
    <row r="49" ht="15.75" customHeight="1">
      <c r="A49" s="5" t="s">
        <v>121</v>
      </c>
      <c r="B49" s="5" t="s">
        <v>375</v>
      </c>
      <c r="C49" s="5" t="s">
        <v>376</v>
      </c>
      <c r="D49" s="5" t="s">
        <v>944</v>
      </c>
      <c r="E49" s="5" t="s">
        <v>121</v>
      </c>
      <c r="F49" s="5" t="s">
        <v>1056</v>
      </c>
      <c r="G49" s="5" t="s">
        <v>974</v>
      </c>
      <c r="H49" s="5" t="s">
        <v>1330</v>
      </c>
      <c r="I49" s="5" t="s">
        <v>2382</v>
      </c>
    </row>
    <row r="50" ht="15.75" customHeight="1">
      <c r="A50" s="5" t="s">
        <v>121</v>
      </c>
      <c r="B50" s="5" t="s">
        <v>387</v>
      </c>
      <c r="C50" s="5" t="s">
        <v>388</v>
      </c>
      <c r="D50" s="5" t="s">
        <v>944</v>
      </c>
      <c r="E50" s="5" t="s">
        <v>2383</v>
      </c>
      <c r="F50" s="5" t="s">
        <v>2384</v>
      </c>
      <c r="G50" s="5" t="s">
        <v>1086</v>
      </c>
      <c r="H50" s="5" t="s">
        <v>2361</v>
      </c>
      <c r="I50" s="5" t="s">
        <v>2385</v>
      </c>
    </row>
    <row r="51" ht="15.75" customHeight="1">
      <c r="A51" s="5" t="s">
        <v>121</v>
      </c>
      <c r="B51" s="5" t="s">
        <v>387</v>
      </c>
      <c r="C51" s="5" t="s">
        <v>388</v>
      </c>
      <c r="D51" s="5" t="s">
        <v>944</v>
      </c>
      <c r="E51" s="5" t="s">
        <v>121</v>
      </c>
      <c r="F51" s="5" t="s">
        <v>1056</v>
      </c>
      <c r="G51" s="5" t="s">
        <v>974</v>
      </c>
      <c r="H51" s="5" t="s">
        <v>1330</v>
      </c>
      <c r="I51" s="5" t="s">
        <v>2386</v>
      </c>
    </row>
    <row r="52" ht="15.75" customHeight="1">
      <c r="A52" s="5" t="s">
        <v>121</v>
      </c>
      <c r="B52" s="5" t="s">
        <v>395</v>
      </c>
      <c r="C52" s="5" t="s">
        <v>396</v>
      </c>
      <c r="D52" s="5" t="s">
        <v>1560</v>
      </c>
    </row>
    <row r="53" ht="15.75" customHeight="1">
      <c r="A53" s="5" t="s">
        <v>121</v>
      </c>
      <c r="B53" s="5" t="s">
        <v>405</v>
      </c>
      <c r="C53" s="5" t="s">
        <v>406</v>
      </c>
      <c r="D53" s="5" t="s">
        <v>944</v>
      </c>
      <c r="E53" s="5" t="s">
        <v>2344</v>
      </c>
      <c r="F53" s="5" t="s">
        <v>950</v>
      </c>
      <c r="G53" s="5" t="s">
        <v>2287</v>
      </c>
      <c r="H53" s="5" t="s">
        <v>2365</v>
      </c>
      <c r="I53" s="5" t="s">
        <v>2387</v>
      </c>
    </row>
    <row r="54" ht="15.75" customHeight="1">
      <c r="A54" s="5" t="s">
        <v>121</v>
      </c>
      <c r="B54" s="5" t="s">
        <v>412</v>
      </c>
      <c r="C54" s="5" t="s">
        <v>413</v>
      </c>
      <c r="D54" s="5" t="s">
        <v>1560</v>
      </c>
    </row>
    <row r="55" ht="15.75" customHeight="1">
      <c r="A55" s="5" t="s">
        <v>419</v>
      </c>
      <c r="B55" s="5" t="s">
        <v>420</v>
      </c>
      <c r="C55" s="5" t="s">
        <v>421</v>
      </c>
      <c r="D55" s="5" t="s">
        <v>944</v>
      </c>
      <c r="E55" s="5" t="s">
        <v>2388</v>
      </c>
      <c r="F55" s="5" t="s">
        <v>1110</v>
      </c>
      <c r="G55" s="5" t="s">
        <v>1094</v>
      </c>
      <c r="H55" s="5" t="s">
        <v>2361</v>
      </c>
    </row>
    <row r="56" ht="15.75" customHeight="1">
      <c r="A56" s="5" t="s">
        <v>419</v>
      </c>
      <c r="B56" s="5" t="s">
        <v>430</v>
      </c>
      <c r="C56" s="5" t="s">
        <v>431</v>
      </c>
      <c r="D56" s="5" t="s">
        <v>1560</v>
      </c>
    </row>
    <row r="57" ht="15.75" customHeight="1">
      <c r="A57" s="5" t="s">
        <v>419</v>
      </c>
      <c r="B57" s="5" t="s">
        <v>438</v>
      </c>
      <c r="C57" s="5" t="s">
        <v>439</v>
      </c>
      <c r="D57" s="5" t="s">
        <v>1560</v>
      </c>
    </row>
    <row r="58" ht="15.75" customHeight="1">
      <c r="A58" s="5" t="s">
        <v>419</v>
      </c>
      <c r="B58" s="5" t="s">
        <v>446</v>
      </c>
      <c r="C58" s="5" t="s">
        <v>447</v>
      </c>
      <c r="D58" s="5" t="s">
        <v>1560</v>
      </c>
    </row>
    <row r="59" ht="15.75" customHeight="1">
      <c r="A59" s="5" t="s">
        <v>419</v>
      </c>
      <c r="B59" s="5" t="s">
        <v>453</v>
      </c>
      <c r="C59" s="5" t="s">
        <v>454</v>
      </c>
      <c r="D59" s="5" t="s">
        <v>1560</v>
      </c>
    </row>
    <row r="60" ht="15.75" customHeight="1">
      <c r="A60" s="5" t="s">
        <v>419</v>
      </c>
      <c r="B60" s="5" t="s">
        <v>461</v>
      </c>
      <c r="C60" s="5" t="s">
        <v>462</v>
      </c>
      <c r="D60" s="5" t="s">
        <v>1560</v>
      </c>
    </row>
    <row r="61" ht="15.75" customHeight="1">
      <c r="A61" s="5" t="s">
        <v>419</v>
      </c>
      <c r="B61" s="5" t="s">
        <v>469</v>
      </c>
      <c r="C61" s="5" t="s">
        <v>470</v>
      </c>
      <c r="D61" s="5" t="s">
        <v>1560</v>
      </c>
    </row>
    <row r="62" ht="15.75" customHeight="1">
      <c r="A62" s="5" t="s">
        <v>419</v>
      </c>
      <c r="B62" s="5" t="s">
        <v>477</v>
      </c>
      <c r="C62" s="5" t="s">
        <v>478</v>
      </c>
      <c r="D62" s="5" t="s">
        <v>1560</v>
      </c>
    </row>
    <row r="63" ht="15.75" customHeight="1">
      <c r="A63" s="5" t="s">
        <v>419</v>
      </c>
      <c r="B63" s="5" t="s">
        <v>477</v>
      </c>
      <c r="C63" s="5" t="s">
        <v>478</v>
      </c>
      <c r="D63" s="5" t="s">
        <v>1560</v>
      </c>
    </row>
    <row r="64" ht="15.75" customHeight="1">
      <c r="A64" s="5" t="s">
        <v>419</v>
      </c>
      <c r="B64" s="5" t="s">
        <v>488</v>
      </c>
      <c r="C64" s="5" t="s">
        <v>489</v>
      </c>
      <c r="D64" s="5" t="s">
        <v>1560</v>
      </c>
    </row>
    <row r="65" ht="15.75" customHeight="1">
      <c r="A65" s="5" t="s">
        <v>419</v>
      </c>
      <c r="B65" s="5" t="s">
        <v>498</v>
      </c>
      <c r="C65" s="5" t="s">
        <v>499</v>
      </c>
      <c r="D65" s="5" t="s">
        <v>1560</v>
      </c>
    </row>
    <row r="66" ht="15.75" customHeight="1">
      <c r="A66" s="5" t="s">
        <v>419</v>
      </c>
      <c r="B66" s="5" t="s">
        <v>507</v>
      </c>
      <c r="C66" s="5" t="s">
        <v>508</v>
      </c>
      <c r="D66" s="5" t="s">
        <v>1560</v>
      </c>
    </row>
    <row r="67" ht="15.75" customHeight="1">
      <c r="A67" s="5" t="s">
        <v>419</v>
      </c>
      <c r="B67" s="5" t="s">
        <v>517</v>
      </c>
      <c r="C67" s="5" t="s">
        <v>518</v>
      </c>
      <c r="D67" s="5" t="s">
        <v>1560</v>
      </c>
    </row>
    <row r="68" ht="15.75" customHeight="1">
      <c r="A68" s="5" t="s">
        <v>419</v>
      </c>
      <c r="B68" s="5" t="s">
        <v>527</v>
      </c>
      <c r="C68" s="5" t="s">
        <v>528</v>
      </c>
      <c r="D68" s="5" t="s">
        <v>1560</v>
      </c>
    </row>
    <row r="69" ht="15.75" customHeight="1">
      <c r="A69" s="5" t="s">
        <v>419</v>
      </c>
      <c r="B69" s="5" t="s">
        <v>533</v>
      </c>
      <c r="C69" s="5" t="s">
        <v>534</v>
      </c>
      <c r="D69" s="5" t="s">
        <v>1560</v>
      </c>
    </row>
    <row r="70" ht="15.75" customHeight="1">
      <c r="A70" s="5" t="s">
        <v>419</v>
      </c>
      <c r="B70" s="5" t="s">
        <v>541</v>
      </c>
      <c r="C70" s="5" t="s">
        <v>542</v>
      </c>
      <c r="D70" s="5" t="s">
        <v>1560</v>
      </c>
    </row>
    <row r="71" ht="15.75" customHeight="1">
      <c r="A71" s="5" t="s">
        <v>419</v>
      </c>
      <c r="B71" s="5" t="s">
        <v>550</v>
      </c>
      <c r="C71" s="5" t="s">
        <v>551</v>
      </c>
      <c r="D71" s="5" t="s">
        <v>1560</v>
      </c>
    </row>
    <row r="72" ht="15.75" customHeight="1">
      <c r="A72" s="5" t="s">
        <v>419</v>
      </c>
      <c r="B72" s="5" t="s">
        <v>559</v>
      </c>
      <c r="C72" s="5" t="s">
        <v>560</v>
      </c>
      <c r="D72" s="5" t="s">
        <v>1560</v>
      </c>
    </row>
    <row r="73" ht="15.75" customHeight="1">
      <c r="A73" s="5" t="s">
        <v>567</v>
      </c>
      <c r="B73" s="5" t="s">
        <v>568</v>
      </c>
      <c r="C73" s="5" t="s">
        <v>569</v>
      </c>
      <c r="D73" s="5" t="s">
        <v>1560</v>
      </c>
    </row>
    <row r="74" ht="15.75" customHeight="1">
      <c r="A74" s="5" t="s">
        <v>567</v>
      </c>
      <c r="B74" s="5" t="s">
        <v>577</v>
      </c>
      <c r="C74" s="5" t="s">
        <v>578</v>
      </c>
      <c r="D74" s="5" t="s">
        <v>1560</v>
      </c>
    </row>
    <row r="75" ht="15.75" customHeight="1">
      <c r="A75" s="5" t="s">
        <v>567</v>
      </c>
      <c r="B75" s="5" t="s">
        <v>586</v>
      </c>
      <c r="C75" s="5" t="s">
        <v>587</v>
      </c>
      <c r="D75" s="5" t="s">
        <v>1560</v>
      </c>
    </row>
    <row r="76" ht="15.75" customHeight="1">
      <c r="A76" s="5" t="s">
        <v>567</v>
      </c>
      <c r="B76" s="5" t="s">
        <v>597</v>
      </c>
      <c r="C76" s="5" t="s">
        <v>598</v>
      </c>
      <c r="D76" s="5" t="s">
        <v>1560</v>
      </c>
    </row>
    <row r="77" ht="15.75" customHeight="1">
      <c r="A77" s="5" t="s">
        <v>567</v>
      </c>
      <c r="B77" s="5" t="s">
        <v>606</v>
      </c>
      <c r="C77" s="5" t="s">
        <v>607</v>
      </c>
      <c r="D77" s="5" t="s">
        <v>1560</v>
      </c>
    </row>
    <row r="78" ht="15.75" customHeight="1">
      <c r="A78" s="5" t="s">
        <v>567</v>
      </c>
      <c r="B78" s="5" t="s">
        <v>606</v>
      </c>
      <c r="C78" s="5" t="s">
        <v>607</v>
      </c>
      <c r="D78" s="5" t="s">
        <v>1560</v>
      </c>
    </row>
    <row r="79" ht="15.75" customHeight="1">
      <c r="A79" s="5" t="s">
        <v>567</v>
      </c>
      <c r="B79" s="5" t="s">
        <v>614</v>
      </c>
      <c r="C79" s="5" t="s">
        <v>615</v>
      </c>
      <c r="D79" s="5" t="s">
        <v>1560</v>
      </c>
    </row>
    <row r="80" ht="15.75" customHeight="1">
      <c r="A80" s="5" t="s">
        <v>567</v>
      </c>
      <c r="B80" s="5" t="s">
        <v>624</v>
      </c>
      <c r="C80" s="5" t="s">
        <v>625</v>
      </c>
      <c r="D80" s="5" t="s">
        <v>1560</v>
      </c>
    </row>
    <row r="81" ht="15.75" customHeight="1">
      <c r="A81" s="5" t="s">
        <v>567</v>
      </c>
      <c r="B81" s="5" t="s">
        <v>634</v>
      </c>
      <c r="C81" s="5" t="s">
        <v>635</v>
      </c>
      <c r="D81" s="5" t="s">
        <v>1560</v>
      </c>
    </row>
    <row r="82" ht="15.75" customHeight="1">
      <c r="A82" s="5" t="s">
        <v>567</v>
      </c>
      <c r="B82" s="5" t="s">
        <v>643</v>
      </c>
      <c r="C82" s="5" t="s">
        <v>644</v>
      </c>
      <c r="D82" s="5" t="s">
        <v>1560</v>
      </c>
    </row>
    <row r="83" ht="15.75" customHeight="1">
      <c r="A83" s="5" t="s">
        <v>567</v>
      </c>
      <c r="B83" s="5" t="s">
        <v>651</v>
      </c>
      <c r="C83" s="5" t="s">
        <v>652</v>
      </c>
      <c r="D83" s="5" t="s">
        <v>1560</v>
      </c>
    </row>
    <row r="84" ht="15.75" customHeight="1">
      <c r="A84" s="5" t="s">
        <v>567</v>
      </c>
      <c r="B84" s="5" t="s">
        <v>659</v>
      </c>
      <c r="C84" s="5" t="s">
        <v>660</v>
      </c>
      <c r="D84" s="5" t="s">
        <v>944</v>
      </c>
      <c r="E84" s="5" t="s">
        <v>2368</v>
      </c>
      <c r="F84" s="5" t="s">
        <v>1412</v>
      </c>
      <c r="G84" s="5" t="s">
        <v>1220</v>
      </c>
      <c r="H84" s="5" t="s">
        <v>2354</v>
      </c>
    </row>
    <row r="85" ht="15.75" customHeight="1">
      <c r="A85" s="5" t="s">
        <v>567</v>
      </c>
      <c r="B85" s="5" t="s">
        <v>659</v>
      </c>
      <c r="C85" s="5" t="s">
        <v>660</v>
      </c>
      <c r="D85" s="5" t="s">
        <v>944</v>
      </c>
      <c r="E85" s="5" t="s">
        <v>2368</v>
      </c>
      <c r="F85" s="5" t="s">
        <v>1636</v>
      </c>
      <c r="G85" s="5" t="s">
        <v>1235</v>
      </c>
      <c r="H85" s="5" t="s">
        <v>2354</v>
      </c>
    </row>
    <row r="86" ht="15.75" customHeight="1">
      <c r="A86" s="5" t="s">
        <v>567</v>
      </c>
      <c r="B86" s="5" t="s">
        <v>667</v>
      </c>
      <c r="C86" s="5" t="s">
        <v>668</v>
      </c>
      <c r="D86" s="5" t="s">
        <v>1560</v>
      </c>
    </row>
    <row r="87" ht="15.75" customHeight="1">
      <c r="A87" s="5" t="s">
        <v>567</v>
      </c>
      <c r="B87" s="5" t="s">
        <v>674</v>
      </c>
      <c r="C87" s="5" t="s">
        <v>675</v>
      </c>
      <c r="D87" s="5" t="s">
        <v>1560</v>
      </c>
    </row>
    <row r="88" ht="15.75" customHeight="1">
      <c r="A88" s="5" t="s">
        <v>682</v>
      </c>
      <c r="B88" s="5" t="s">
        <v>683</v>
      </c>
      <c r="C88" s="5" t="s">
        <v>684</v>
      </c>
      <c r="D88" s="5" t="s">
        <v>1560</v>
      </c>
    </row>
    <row r="89" ht="15.75" customHeight="1">
      <c r="A89" s="5" t="s">
        <v>682</v>
      </c>
      <c r="B89" s="5" t="s">
        <v>691</v>
      </c>
      <c r="C89" s="5" t="s">
        <v>692</v>
      </c>
      <c r="D89" s="5" t="s">
        <v>1560</v>
      </c>
    </row>
    <row r="90" ht="15.75" customHeight="1">
      <c r="A90" s="5" t="s">
        <v>682</v>
      </c>
      <c r="B90" s="5" t="s">
        <v>699</v>
      </c>
      <c r="C90" s="5" t="s">
        <v>700</v>
      </c>
      <c r="D90" s="5" t="s">
        <v>1560</v>
      </c>
    </row>
    <row r="91" ht="15.75" customHeight="1">
      <c r="A91" s="5" t="s">
        <v>682</v>
      </c>
      <c r="B91" s="5" t="s">
        <v>707</v>
      </c>
      <c r="C91" s="5" t="s">
        <v>708</v>
      </c>
      <c r="D91" s="5" t="s">
        <v>1560</v>
      </c>
    </row>
    <row r="92" ht="15.75" customHeight="1">
      <c r="A92" s="5" t="s">
        <v>682</v>
      </c>
      <c r="B92" s="5" t="s">
        <v>715</v>
      </c>
      <c r="C92" s="5" t="s">
        <v>716</v>
      </c>
      <c r="D92" s="5" t="s">
        <v>1560</v>
      </c>
    </row>
    <row r="93" ht="15.75" customHeight="1">
      <c r="A93" s="5" t="s">
        <v>682</v>
      </c>
      <c r="B93" s="5" t="s">
        <v>725</v>
      </c>
      <c r="C93" s="5" t="s">
        <v>726</v>
      </c>
      <c r="D93" s="5" t="s">
        <v>944</v>
      </c>
      <c r="E93" s="5" t="s">
        <v>2389</v>
      </c>
      <c r="F93" s="5" t="s">
        <v>1740</v>
      </c>
      <c r="G93" s="5" t="s">
        <v>2367</v>
      </c>
      <c r="H93" s="5" t="s">
        <v>2354</v>
      </c>
    </row>
    <row r="94" ht="15.75" customHeight="1">
      <c r="A94" s="5" t="s">
        <v>682</v>
      </c>
      <c r="B94" s="5" t="s">
        <v>725</v>
      </c>
      <c r="C94" s="5" t="s">
        <v>726</v>
      </c>
      <c r="D94" s="5" t="s">
        <v>944</v>
      </c>
      <c r="E94" s="5" t="s">
        <v>2390</v>
      </c>
      <c r="F94" s="5" t="s">
        <v>1412</v>
      </c>
      <c r="G94" s="5" t="s">
        <v>1220</v>
      </c>
      <c r="H94" s="5" t="s">
        <v>2391</v>
      </c>
    </row>
    <row r="95" ht="15.75" customHeight="1">
      <c r="A95" s="5" t="s">
        <v>682</v>
      </c>
      <c r="B95" s="5" t="s">
        <v>732</v>
      </c>
      <c r="C95" s="5" t="s">
        <v>733</v>
      </c>
      <c r="D95" s="5" t="s">
        <v>944</v>
      </c>
      <c r="E95" s="5" t="s">
        <v>2392</v>
      </c>
      <c r="F95" s="5" t="s">
        <v>1110</v>
      </c>
      <c r="G95" s="5" t="s">
        <v>1094</v>
      </c>
      <c r="H95" s="5" t="s">
        <v>2361</v>
      </c>
    </row>
    <row r="96" ht="15.75" customHeight="1">
      <c r="A96" s="5" t="s">
        <v>682</v>
      </c>
      <c r="B96" s="5" t="s">
        <v>732</v>
      </c>
      <c r="C96" s="5" t="s">
        <v>733</v>
      </c>
      <c r="D96" s="5" t="s">
        <v>944</v>
      </c>
      <c r="E96" s="5" t="s">
        <v>2393</v>
      </c>
      <c r="F96" s="5" t="s">
        <v>2384</v>
      </c>
      <c r="G96" s="5" t="s">
        <v>1086</v>
      </c>
      <c r="H96" s="5" t="s">
        <v>2361</v>
      </c>
    </row>
    <row r="97" ht="15.75" customHeight="1">
      <c r="A97" s="5" t="s">
        <v>682</v>
      </c>
      <c r="B97" s="5" t="s">
        <v>739</v>
      </c>
      <c r="C97" s="5" t="s">
        <v>740</v>
      </c>
      <c r="D97" s="5" t="s">
        <v>1560</v>
      </c>
    </row>
    <row r="98" ht="15.75" customHeight="1">
      <c r="A98" s="5" t="s">
        <v>682</v>
      </c>
      <c r="B98" s="5" t="s">
        <v>749</v>
      </c>
      <c r="C98" s="5" t="s">
        <v>750</v>
      </c>
      <c r="D98" s="5" t="s">
        <v>1560</v>
      </c>
    </row>
    <row r="99" ht="15.75" customHeight="1">
      <c r="A99" s="5" t="s">
        <v>682</v>
      </c>
      <c r="B99" s="5" t="s">
        <v>757</v>
      </c>
      <c r="C99" s="5" t="s">
        <v>758</v>
      </c>
      <c r="D99" s="5" t="s">
        <v>1560</v>
      </c>
    </row>
    <row r="100" ht="15.75" customHeight="1">
      <c r="A100" s="5" t="s">
        <v>682</v>
      </c>
      <c r="B100" s="5" t="s">
        <v>765</v>
      </c>
      <c r="C100" s="5" t="s">
        <v>766</v>
      </c>
      <c r="D100" s="5" t="s">
        <v>1560</v>
      </c>
    </row>
    <row r="101" ht="15.75" customHeight="1">
      <c r="A101" s="5" t="s">
        <v>682</v>
      </c>
      <c r="B101" s="5" t="s">
        <v>773</v>
      </c>
      <c r="C101" s="5" t="s">
        <v>774</v>
      </c>
      <c r="D101" s="5" t="s">
        <v>1560</v>
      </c>
    </row>
    <row r="102" ht="15.75" customHeight="1">
      <c r="A102" s="5" t="s">
        <v>682</v>
      </c>
      <c r="B102" s="5" t="s">
        <v>782</v>
      </c>
      <c r="C102" s="5" t="s">
        <v>783</v>
      </c>
      <c r="D102" s="5" t="s">
        <v>1560</v>
      </c>
    </row>
    <row r="103" ht="15.75" customHeight="1">
      <c r="A103" s="5" t="s">
        <v>682</v>
      </c>
      <c r="B103" s="5" t="s">
        <v>791</v>
      </c>
      <c r="C103" s="5" t="s">
        <v>792</v>
      </c>
      <c r="D103" s="5" t="s">
        <v>1560</v>
      </c>
    </row>
    <row r="104" ht="15.75" customHeight="1">
      <c r="A104" s="5" t="s">
        <v>801</v>
      </c>
      <c r="B104" s="5" t="s">
        <v>802</v>
      </c>
      <c r="C104" s="5" t="s">
        <v>803</v>
      </c>
      <c r="D104" s="5" t="s">
        <v>1560</v>
      </c>
    </row>
    <row r="105" ht="15.75" customHeight="1">
      <c r="A105" s="5" t="s">
        <v>801</v>
      </c>
      <c r="B105" s="5" t="s">
        <v>810</v>
      </c>
      <c r="C105" s="5" t="s">
        <v>811</v>
      </c>
      <c r="D105" s="5" t="s">
        <v>1560</v>
      </c>
    </row>
    <row r="106" ht="15.75" customHeight="1">
      <c r="A106" s="5" t="s">
        <v>801</v>
      </c>
      <c r="B106" s="5" t="s">
        <v>818</v>
      </c>
      <c r="C106" s="5" t="s">
        <v>819</v>
      </c>
      <c r="D106" s="5" t="s">
        <v>944</v>
      </c>
      <c r="E106" s="5" t="s">
        <v>801</v>
      </c>
      <c r="F106" s="5" t="s">
        <v>974</v>
      </c>
      <c r="G106" s="5" t="s">
        <v>957</v>
      </c>
      <c r="H106" s="5" t="s">
        <v>1330</v>
      </c>
    </row>
    <row r="107" ht="15.75" customHeight="1">
      <c r="A107" s="5" t="s">
        <v>801</v>
      </c>
      <c r="B107" s="5" t="s">
        <v>826</v>
      </c>
      <c r="C107" s="5" t="s">
        <v>827</v>
      </c>
      <c r="D107" s="5" t="s">
        <v>944</v>
      </c>
      <c r="E107" s="5" t="s">
        <v>2394</v>
      </c>
      <c r="F107" s="5" t="s">
        <v>1636</v>
      </c>
      <c r="G107" s="5" t="s">
        <v>1235</v>
      </c>
      <c r="H107" s="5" t="s">
        <v>2354</v>
      </c>
    </row>
    <row r="108" ht="15.75" customHeight="1">
      <c r="A108" s="5" t="s">
        <v>801</v>
      </c>
      <c r="B108" s="5" t="s">
        <v>836</v>
      </c>
      <c r="C108" s="5" t="s">
        <v>837</v>
      </c>
      <c r="D108" s="5" t="s">
        <v>944</v>
      </c>
      <c r="E108" s="5" t="s">
        <v>2395</v>
      </c>
      <c r="F108" s="5" t="s">
        <v>1006</v>
      </c>
      <c r="G108" s="5" t="s">
        <v>950</v>
      </c>
      <c r="H108" s="5" t="s">
        <v>2361</v>
      </c>
    </row>
    <row r="109" ht="15.75" customHeight="1">
      <c r="A109" s="5" t="s">
        <v>801</v>
      </c>
      <c r="B109" s="5" t="s">
        <v>844</v>
      </c>
      <c r="C109" s="5" t="s">
        <v>845</v>
      </c>
      <c r="D109" s="5" t="s">
        <v>944</v>
      </c>
      <c r="E109" s="5" t="s">
        <v>801</v>
      </c>
      <c r="F109" s="5" t="s">
        <v>950</v>
      </c>
      <c r="G109" s="5" t="s">
        <v>2351</v>
      </c>
      <c r="H109" s="5" t="s">
        <v>2354</v>
      </c>
    </row>
    <row r="110" ht="15.75" customHeight="1">
      <c r="A110" s="5" t="s">
        <v>801</v>
      </c>
      <c r="B110" s="5" t="s">
        <v>853</v>
      </c>
      <c r="C110" s="5" t="s">
        <v>854</v>
      </c>
      <c r="D110" s="5" t="s">
        <v>1560</v>
      </c>
    </row>
    <row r="111" ht="15.75" customHeight="1">
      <c r="A111" s="5" t="s">
        <v>801</v>
      </c>
      <c r="B111" s="5" t="s">
        <v>860</v>
      </c>
      <c r="C111" s="5" t="s">
        <v>861</v>
      </c>
      <c r="D111" s="5" t="s">
        <v>1560</v>
      </c>
    </row>
    <row r="112" ht="15.75" customHeight="1">
      <c r="A112" s="5" t="s">
        <v>801</v>
      </c>
      <c r="B112" s="5" t="s">
        <v>867</v>
      </c>
      <c r="C112" s="5" t="s">
        <v>868</v>
      </c>
      <c r="D112" s="5" t="s">
        <v>944</v>
      </c>
      <c r="E112" s="5" t="s">
        <v>2344</v>
      </c>
      <c r="F112" s="5" t="s">
        <v>1412</v>
      </c>
      <c r="G112" s="5" t="s">
        <v>1220</v>
      </c>
      <c r="H112" s="5" t="s">
        <v>2354</v>
      </c>
    </row>
    <row r="113" ht="15.75" customHeight="1">
      <c r="A113" s="5" t="s">
        <v>801</v>
      </c>
      <c r="B113" s="5" t="s">
        <v>867</v>
      </c>
      <c r="C113" s="5" t="s">
        <v>868</v>
      </c>
      <c r="D113" s="5" t="s">
        <v>944</v>
      </c>
      <c r="E113" s="5" t="s">
        <v>2368</v>
      </c>
      <c r="F113" s="5" t="s">
        <v>1636</v>
      </c>
      <c r="G113" s="5" t="s">
        <v>1235</v>
      </c>
      <c r="H113" s="5" t="s">
        <v>2354</v>
      </c>
    </row>
    <row r="114" ht="15.75" customHeight="1">
      <c r="A114" s="5" t="s">
        <v>801</v>
      </c>
      <c r="B114" s="5" t="s">
        <v>875</v>
      </c>
      <c r="C114" s="5" t="s">
        <v>876</v>
      </c>
      <c r="D114" s="5" t="s">
        <v>1560</v>
      </c>
    </row>
    <row r="115" ht="15.75" customHeight="1">
      <c r="A115" s="5" t="s">
        <v>801</v>
      </c>
      <c r="B115" s="5" t="s">
        <v>883</v>
      </c>
      <c r="C115" s="5" t="s">
        <v>884</v>
      </c>
      <c r="D115" s="5" t="s">
        <v>944</v>
      </c>
      <c r="E115" s="5" t="s">
        <v>2396</v>
      </c>
      <c r="F115" s="5" t="s">
        <v>950</v>
      </c>
      <c r="G115" s="5" t="s">
        <v>2351</v>
      </c>
      <c r="H115" s="5" t="s">
        <v>2354</v>
      </c>
    </row>
    <row r="116" ht="15.75" customHeight="1">
      <c r="A116" s="5" t="s">
        <v>801</v>
      </c>
      <c r="B116" s="5" t="s">
        <v>890</v>
      </c>
      <c r="C116" s="5" t="s">
        <v>891</v>
      </c>
      <c r="D116" s="5" t="s">
        <v>944</v>
      </c>
      <c r="E116" s="5" t="s">
        <v>2368</v>
      </c>
      <c r="F116" s="5" t="s">
        <v>1412</v>
      </c>
      <c r="G116" s="5" t="s">
        <v>1220</v>
      </c>
      <c r="H116" s="5" t="s">
        <v>2354</v>
      </c>
    </row>
    <row r="117" ht="15.75" customHeight="1">
      <c r="A117" s="5" t="s">
        <v>801</v>
      </c>
      <c r="B117" s="5" t="s">
        <v>890</v>
      </c>
      <c r="C117" s="5" t="s">
        <v>891</v>
      </c>
      <c r="D117" s="5" t="s">
        <v>944</v>
      </c>
      <c r="E117" s="5" t="s">
        <v>2368</v>
      </c>
      <c r="F117" s="5" t="s">
        <v>1636</v>
      </c>
      <c r="G117" s="5" t="s">
        <v>1235</v>
      </c>
      <c r="H117" s="5" t="s">
        <v>2354</v>
      </c>
    </row>
    <row r="118" ht="15.75" customHeight="1">
      <c r="A118" s="5" t="s">
        <v>801</v>
      </c>
      <c r="B118" s="5" t="s">
        <v>890</v>
      </c>
      <c r="C118" s="5" t="s">
        <v>891</v>
      </c>
      <c r="D118" s="5" t="s">
        <v>944</v>
      </c>
      <c r="E118" s="5" t="s">
        <v>2368</v>
      </c>
      <c r="F118" s="5" t="s">
        <v>1412</v>
      </c>
      <c r="G118" s="5" t="s">
        <v>1220</v>
      </c>
      <c r="H118" s="5" t="s">
        <v>2354</v>
      </c>
    </row>
    <row r="119" ht="15.75" customHeight="1">
      <c r="A119" s="5" t="s">
        <v>801</v>
      </c>
      <c r="B119" s="5" t="s">
        <v>890</v>
      </c>
      <c r="C119" s="5" t="s">
        <v>891</v>
      </c>
      <c r="D119" s="5" t="s">
        <v>944</v>
      </c>
      <c r="E119" s="5" t="s">
        <v>2368</v>
      </c>
      <c r="F119" s="5" t="s">
        <v>1636</v>
      </c>
      <c r="G119" s="5" t="s">
        <v>1235</v>
      </c>
      <c r="H119" s="5" t="s">
        <v>2354</v>
      </c>
    </row>
    <row r="120" ht="15.75" customHeight="1">
      <c r="A120" s="5" t="s">
        <v>801</v>
      </c>
      <c r="B120" s="5" t="s">
        <v>898</v>
      </c>
      <c r="C120" s="5" t="s">
        <v>899</v>
      </c>
      <c r="D120" s="5" t="s">
        <v>1560</v>
      </c>
    </row>
    <row r="121" ht="15.75" customHeight="1">
      <c r="A121" s="5" t="s">
        <v>801</v>
      </c>
      <c r="B121" s="5" t="s">
        <v>906</v>
      </c>
      <c r="C121" s="5" t="s">
        <v>907</v>
      </c>
      <c r="D121" s="5" t="s">
        <v>944</v>
      </c>
      <c r="E121" s="5" t="s">
        <v>801</v>
      </c>
      <c r="F121" s="5" t="s">
        <v>974</v>
      </c>
      <c r="G121" s="5" t="s">
        <v>957</v>
      </c>
      <c r="H121" s="5" t="s">
        <v>1330</v>
      </c>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86"/>
    <col customWidth="1" min="2" max="2" width="8.71"/>
    <col customWidth="1" min="3" max="3" width="26.71"/>
    <col customWidth="1" min="4" max="8" width="8.71"/>
    <col customWidth="1" min="9" max="9" width="35.29"/>
    <col customWidth="1" min="10" max="26" width="8.71"/>
  </cols>
  <sheetData>
    <row r="1">
      <c r="A1" s="1" t="s">
        <v>0</v>
      </c>
      <c r="B1" s="1" t="s">
        <v>1</v>
      </c>
      <c r="C1" s="1" t="s">
        <v>2</v>
      </c>
      <c r="D1" s="1" t="s">
        <v>2397</v>
      </c>
      <c r="E1" s="1" t="s">
        <v>2398</v>
      </c>
      <c r="F1" s="1" t="s">
        <v>2399</v>
      </c>
      <c r="G1" s="1" t="s">
        <v>2400</v>
      </c>
      <c r="H1" s="1" t="s">
        <v>2401</v>
      </c>
      <c r="I1" s="1" t="s">
        <v>2402</v>
      </c>
      <c r="J1" s="1" t="s">
        <v>2403</v>
      </c>
      <c r="K1" s="1" t="s">
        <v>2404</v>
      </c>
      <c r="L1" s="1" t="s">
        <v>2405</v>
      </c>
      <c r="M1" s="1" t="s">
        <v>16</v>
      </c>
    </row>
    <row r="2" hidden="1">
      <c r="A2" s="5" t="s">
        <v>26</v>
      </c>
      <c r="B2" s="5" t="s">
        <v>27</v>
      </c>
      <c r="C2" s="5" t="s">
        <v>28</v>
      </c>
      <c r="D2" s="5" t="s">
        <v>1560</v>
      </c>
    </row>
    <row r="3" hidden="1">
      <c r="A3" s="5" t="s">
        <v>26</v>
      </c>
      <c r="B3" s="5" t="s">
        <v>39</v>
      </c>
      <c r="C3" s="5" t="s">
        <v>40</v>
      </c>
      <c r="D3" s="5" t="s">
        <v>1560</v>
      </c>
    </row>
    <row r="4" hidden="1">
      <c r="A4" s="5" t="s">
        <v>26</v>
      </c>
      <c r="B4" s="5" t="s">
        <v>50</v>
      </c>
      <c r="C4" s="5" t="s">
        <v>51</v>
      </c>
      <c r="D4" s="5" t="s">
        <v>1560</v>
      </c>
    </row>
    <row r="5" hidden="1">
      <c r="A5" s="5" t="s">
        <v>26</v>
      </c>
      <c r="B5" s="5" t="s">
        <v>60</v>
      </c>
      <c r="C5" s="5" t="s">
        <v>61</v>
      </c>
      <c r="D5" s="5" t="s">
        <v>1560</v>
      </c>
    </row>
    <row r="6" hidden="1">
      <c r="A6" s="5" t="s">
        <v>26</v>
      </c>
      <c r="B6" s="5" t="s">
        <v>71</v>
      </c>
      <c r="C6" s="5" t="s">
        <v>72</v>
      </c>
      <c r="D6" s="5" t="s">
        <v>1560</v>
      </c>
    </row>
    <row r="7" hidden="1">
      <c r="A7" s="5" t="s">
        <v>26</v>
      </c>
      <c r="B7" s="5" t="s">
        <v>80</v>
      </c>
      <c r="C7" s="5" t="s">
        <v>81</v>
      </c>
      <c r="D7" s="5" t="s">
        <v>1560</v>
      </c>
    </row>
    <row r="8" hidden="1">
      <c r="A8" s="5" t="s">
        <v>26</v>
      </c>
      <c r="B8" s="5" t="s">
        <v>91</v>
      </c>
      <c r="C8" s="5" t="s">
        <v>92</v>
      </c>
      <c r="D8" s="5" t="s">
        <v>1560</v>
      </c>
    </row>
    <row r="9" hidden="1">
      <c r="A9" s="5" t="s">
        <v>26</v>
      </c>
      <c r="B9" s="5" t="s">
        <v>100</v>
      </c>
      <c r="C9" s="5" t="s">
        <v>101</v>
      </c>
      <c r="D9" s="5" t="s">
        <v>1560</v>
      </c>
    </row>
    <row r="10" hidden="1">
      <c r="A10" s="5" t="s">
        <v>26</v>
      </c>
      <c r="B10" s="5" t="s">
        <v>110</v>
      </c>
      <c r="C10" s="5" t="s">
        <v>111</v>
      </c>
      <c r="D10" s="5" t="s">
        <v>1560</v>
      </c>
    </row>
    <row r="11" hidden="1">
      <c r="A11" s="5" t="s">
        <v>121</v>
      </c>
      <c r="B11" s="5" t="s">
        <v>122</v>
      </c>
      <c r="C11" s="5" t="s">
        <v>123</v>
      </c>
      <c r="D11" s="5" t="s">
        <v>1560</v>
      </c>
    </row>
    <row r="12" hidden="1">
      <c r="A12" s="5" t="s">
        <v>121</v>
      </c>
      <c r="B12" s="5" t="s">
        <v>133</v>
      </c>
      <c r="C12" s="5" t="s">
        <v>134</v>
      </c>
      <c r="D12" s="5" t="s">
        <v>1560</v>
      </c>
    </row>
    <row r="13" hidden="1">
      <c r="A13" s="5" t="s">
        <v>121</v>
      </c>
      <c r="B13" s="5" t="s">
        <v>142</v>
      </c>
      <c r="C13" s="5" t="s">
        <v>143</v>
      </c>
      <c r="D13" s="5" t="s">
        <v>1560</v>
      </c>
    </row>
    <row r="14" hidden="1">
      <c r="A14" s="5" t="s">
        <v>121</v>
      </c>
      <c r="B14" s="5" t="s">
        <v>153</v>
      </c>
      <c r="C14" s="5" t="s">
        <v>154</v>
      </c>
      <c r="D14" s="5" t="s">
        <v>1560</v>
      </c>
    </row>
    <row r="15" hidden="1">
      <c r="A15" s="5" t="s">
        <v>121</v>
      </c>
      <c r="B15" s="5" t="s">
        <v>161</v>
      </c>
      <c r="C15" s="5" t="s">
        <v>162</v>
      </c>
      <c r="D15" s="5" t="s">
        <v>1560</v>
      </c>
    </row>
    <row r="16" hidden="1">
      <c r="A16" s="5" t="s">
        <v>121</v>
      </c>
      <c r="B16" s="5" t="s">
        <v>170</v>
      </c>
      <c r="C16" s="5" t="s">
        <v>171</v>
      </c>
      <c r="D16" s="5" t="s">
        <v>1560</v>
      </c>
    </row>
    <row r="17" hidden="1">
      <c r="A17" s="5" t="s">
        <v>121</v>
      </c>
      <c r="B17" s="5" t="s">
        <v>180</v>
      </c>
      <c r="C17" s="5" t="s">
        <v>181</v>
      </c>
      <c r="D17" s="5" t="s">
        <v>1560</v>
      </c>
    </row>
    <row r="18">
      <c r="A18" s="5" t="s">
        <v>121</v>
      </c>
      <c r="B18" s="5" t="s">
        <v>190</v>
      </c>
      <c r="C18" s="5" t="s">
        <v>191</v>
      </c>
      <c r="D18" s="5" t="s">
        <v>944</v>
      </c>
      <c r="E18" s="5" t="s">
        <v>2406</v>
      </c>
      <c r="F18" s="5" t="s">
        <v>2407</v>
      </c>
      <c r="G18" s="5" t="s">
        <v>2408</v>
      </c>
      <c r="H18" s="5" t="s">
        <v>2409</v>
      </c>
      <c r="I18" s="5" t="s">
        <v>2410</v>
      </c>
      <c r="J18" s="5" t="s">
        <v>2411</v>
      </c>
      <c r="L18" s="5" t="s">
        <v>2412</v>
      </c>
    </row>
    <row r="19">
      <c r="A19" s="5" t="s">
        <v>121</v>
      </c>
      <c r="B19" s="5" t="s">
        <v>190</v>
      </c>
      <c r="C19" s="5" t="s">
        <v>191</v>
      </c>
      <c r="D19" s="5" t="s">
        <v>944</v>
      </c>
      <c r="E19" s="5" t="s">
        <v>2413</v>
      </c>
      <c r="F19" s="5" t="s">
        <v>2414</v>
      </c>
      <c r="G19" s="5" t="s">
        <v>2408</v>
      </c>
      <c r="H19" s="5" t="s">
        <v>2409</v>
      </c>
      <c r="I19" s="5" t="s">
        <v>2415</v>
      </c>
      <c r="J19" s="5" t="s">
        <v>2416</v>
      </c>
      <c r="L19" s="5" t="s">
        <v>2412</v>
      </c>
      <c r="M19" s="5" t="s">
        <v>2417</v>
      </c>
    </row>
    <row r="20">
      <c r="A20" s="5" t="s">
        <v>121</v>
      </c>
      <c r="B20" s="5" t="s">
        <v>190</v>
      </c>
      <c r="C20" s="5" t="s">
        <v>191</v>
      </c>
      <c r="D20" s="5" t="s">
        <v>944</v>
      </c>
      <c r="E20" s="5" t="s">
        <v>2418</v>
      </c>
      <c r="F20" s="5" t="s">
        <v>2419</v>
      </c>
      <c r="G20" s="5" t="s">
        <v>2420</v>
      </c>
      <c r="H20" s="5" t="s">
        <v>2421</v>
      </c>
      <c r="I20" s="5" t="s">
        <v>2422</v>
      </c>
      <c r="J20" s="5" t="s">
        <v>2411</v>
      </c>
      <c r="L20" s="5" t="s">
        <v>2412</v>
      </c>
    </row>
    <row r="21" ht="15.75" customHeight="1">
      <c r="A21" s="5" t="s">
        <v>121</v>
      </c>
      <c r="B21" s="5" t="s">
        <v>190</v>
      </c>
      <c r="C21" s="5" t="s">
        <v>191</v>
      </c>
      <c r="D21" s="5" t="s">
        <v>944</v>
      </c>
      <c r="E21" s="5" t="s">
        <v>2423</v>
      </c>
      <c r="F21" s="5" t="s">
        <v>2424</v>
      </c>
      <c r="G21" s="5" t="s">
        <v>2408</v>
      </c>
      <c r="H21" s="5" t="s">
        <v>2425</v>
      </c>
      <c r="I21" s="5" t="s">
        <v>2426</v>
      </c>
      <c r="J21" s="5" t="s">
        <v>2427</v>
      </c>
      <c r="K21" s="5" t="s">
        <v>2428</v>
      </c>
      <c r="L21" s="5" t="s">
        <v>2412</v>
      </c>
      <c r="M21" s="5" t="s">
        <v>2429</v>
      </c>
    </row>
    <row r="22" ht="15.75" customHeight="1">
      <c r="A22" s="5" t="s">
        <v>121</v>
      </c>
      <c r="B22" s="5" t="s">
        <v>190</v>
      </c>
      <c r="C22" s="5" t="s">
        <v>191</v>
      </c>
      <c r="D22" s="5" t="s">
        <v>944</v>
      </c>
      <c r="E22" s="5" t="s">
        <v>2430</v>
      </c>
      <c r="F22" s="5" t="s">
        <v>2431</v>
      </c>
      <c r="G22" s="5" t="s">
        <v>2432</v>
      </c>
      <c r="H22" s="5" t="s">
        <v>2421</v>
      </c>
      <c r="I22" s="5" t="s">
        <v>2433</v>
      </c>
      <c r="J22" s="5" t="s">
        <v>2416</v>
      </c>
      <c r="L22" s="5" t="s">
        <v>2412</v>
      </c>
      <c r="M22" s="5" t="s">
        <v>2434</v>
      </c>
    </row>
    <row r="23" ht="15.75" hidden="1" customHeight="1">
      <c r="A23" s="5" t="s">
        <v>121</v>
      </c>
      <c r="B23" s="5" t="s">
        <v>201</v>
      </c>
      <c r="C23" s="5" t="s">
        <v>202</v>
      </c>
      <c r="D23" s="5" t="s">
        <v>1560</v>
      </c>
    </row>
    <row r="24" ht="15.75" hidden="1" customHeight="1">
      <c r="A24" s="5" t="s">
        <v>121</v>
      </c>
      <c r="B24" s="5" t="s">
        <v>211</v>
      </c>
      <c r="C24" s="5" t="s">
        <v>212</v>
      </c>
      <c r="D24" s="5" t="s">
        <v>1560</v>
      </c>
    </row>
    <row r="25" ht="15.75" hidden="1" customHeight="1">
      <c r="A25" s="5" t="s">
        <v>121</v>
      </c>
      <c r="B25" s="5" t="s">
        <v>219</v>
      </c>
      <c r="C25" s="5" t="s">
        <v>220</v>
      </c>
      <c r="D25" s="5" t="s">
        <v>1560</v>
      </c>
    </row>
    <row r="26" ht="15.75" hidden="1" customHeight="1">
      <c r="A26" s="5" t="s">
        <v>121</v>
      </c>
      <c r="B26" s="5" t="s">
        <v>227</v>
      </c>
      <c r="C26" s="5" t="s">
        <v>228</v>
      </c>
      <c r="D26" s="5" t="s">
        <v>1560</v>
      </c>
    </row>
    <row r="27" ht="15.75" hidden="1" customHeight="1">
      <c r="A27" s="5" t="s">
        <v>121</v>
      </c>
      <c r="B27" s="5" t="s">
        <v>236</v>
      </c>
      <c r="C27" s="5" t="s">
        <v>237</v>
      </c>
      <c r="D27" s="5" t="s">
        <v>1560</v>
      </c>
    </row>
    <row r="28" ht="15.75" hidden="1" customHeight="1">
      <c r="A28" s="5" t="s">
        <v>121</v>
      </c>
      <c r="B28" s="5" t="s">
        <v>244</v>
      </c>
      <c r="C28" s="5" t="s">
        <v>245</v>
      </c>
      <c r="D28" s="5" t="s">
        <v>1560</v>
      </c>
    </row>
    <row r="29" ht="15.75" hidden="1" customHeight="1">
      <c r="A29" s="5" t="s">
        <v>121</v>
      </c>
      <c r="B29" s="5" t="s">
        <v>253</v>
      </c>
      <c r="C29" s="5" t="s">
        <v>254</v>
      </c>
      <c r="D29" s="5" t="s">
        <v>1560</v>
      </c>
    </row>
    <row r="30" ht="15.75" hidden="1" customHeight="1">
      <c r="A30" s="5" t="s">
        <v>121</v>
      </c>
      <c r="B30" s="5" t="s">
        <v>261</v>
      </c>
      <c r="C30" s="5" t="s">
        <v>262</v>
      </c>
      <c r="D30" s="5" t="s">
        <v>1560</v>
      </c>
    </row>
    <row r="31" ht="15.75" hidden="1" customHeight="1">
      <c r="A31" s="5" t="s">
        <v>121</v>
      </c>
      <c r="B31" s="5" t="s">
        <v>270</v>
      </c>
      <c r="C31" s="5" t="s">
        <v>271</v>
      </c>
      <c r="D31" s="5" t="s">
        <v>1560</v>
      </c>
    </row>
    <row r="32" ht="15.75" hidden="1" customHeight="1">
      <c r="A32" s="5" t="s">
        <v>121</v>
      </c>
      <c r="B32" s="5" t="s">
        <v>279</v>
      </c>
      <c r="C32" s="5" t="s">
        <v>280</v>
      </c>
      <c r="D32" s="5" t="s">
        <v>1560</v>
      </c>
    </row>
    <row r="33" ht="15.75" customHeight="1">
      <c r="A33" s="5" t="s">
        <v>121</v>
      </c>
      <c r="B33" s="5" t="s">
        <v>288</v>
      </c>
      <c r="C33" s="5" t="s">
        <v>289</v>
      </c>
      <c r="D33" s="5" t="s">
        <v>944</v>
      </c>
      <c r="E33" s="5" t="s">
        <v>2435</v>
      </c>
      <c r="F33" s="5" t="s">
        <v>2436</v>
      </c>
      <c r="G33" s="5" t="s">
        <v>2437</v>
      </c>
      <c r="H33" s="5" t="s">
        <v>2438</v>
      </c>
      <c r="I33" s="5" t="s">
        <v>2439</v>
      </c>
      <c r="J33" s="5" t="s">
        <v>2416</v>
      </c>
      <c r="L33" s="5" t="s">
        <v>2412</v>
      </c>
      <c r="M33" s="5" t="s">
        <v>2440</v>
      </c>
    </row>
    <row r="34" ht="15.75" hidden="1" customHeight="1">
      <c r="A34" s="5" t="s">
        <v>121</v>
      </c>
      <c r="B34" s="5" t="s">
        <v>296</v>
      </c>
      <c r="C34" s="5" t="s">
        <v>297</v>
      </c>
      <c r="D34" s="5" t="s">
        <v>1560</v>
      </c>
    </row>
    <row r="35" ht="15.75" hidden="1" customHeight="1">
      <c r="A35" s="5" t="s">
        <v>121</v>
      </c>
      <c r="B35" s="5" t="s">
        <v>304</v>
      </c>
      <c r="C35" s="5" t="s">
        <v>305</v>
      </c>
      <c r="D35" s="5" t="s">
        <v>1560</v>
      </c>
    </row>
    <row r="36" ht="15.75" hidden="1" customHeight="1">
      <c r="A36" s="5" t="s">
        <v>121</v>
      </c>
      <c r="B36" s="5" t="s">
        <v>313</v>
      </c>
      <c r="C36" s="5" t="s">
        <v>314</v>
      </c>
      <c r="D36" s="5" t="s">
        <v>1560</v>
      </c>
    </row>
    <row r="37" ht="15.75" hidden="1" customHeight="1">
      <c r="A37" s="5" t="s">
        <v>121</v>
      </c>
      <c r="B37" s="5" t="s">
        <v>321</v>
      </c>
      <c r="C37" s="5" t="s">
        <v>322</v>
      </c>
      <c r="D37" s="5" t="s">
        <v>1560</v>
      </c>
    </row>
    <row r="38" ht="15.75" hidden="1" customHeight="1">
      <c r="A38" s="5" t="s">
        <v>121</v>
      </c>
      <c r="B38" s="5" t="s">
        <v>330</v>
      </c>
      <c r="C38" s="5" t="s">
        <v>331</v>
      </c>
      <c r="D38" s="5" t="s">
        <v>1560</v>
      </c>
    </row>
    <row r="39" ht="15.75" hidden="1" customHeight="1">
      <c r="A39" s="5" t="s">
        <v>121</v>
      </c>
      <c r="B39" s="5" t="s">
        <v>338</v>
      </c>
      <c r="C39" s="5" t="s">
        <v>339</v>
      </c>
      <c r="D39" s="5" t="s">
        <v>1560</v>
      </c>
    </row>
    <row r="40" ht="15.75" hidden="1" customHeight="1">
      <c r="A40" s="5" t="s">
        <v>121</v>
      </c>
      <c r="B40" s="5" t="s">
        <v>348</v>
      </c>
      <c r="C40" s="5" t="s">
        <v>349</v>
      </c>
      <c r="D40" s="5" t="s">
        <v>1560</v>
      </c>
    </row>
    <row r="41" ht="15.75" hidden="1" customHeight="1">
      <c r="A41" s="5" t="s">
        <v>121</v>
      </c>
      <c r="B41" s="5" t="s">
        <v>355</v>
      </c>
      <c r="C41" s="5" t="s">
        <v>356</v>
      </c>
      <c r="D41" s="5" t="s">
        <v>1560</v>
      </c>
    </row>
    <row r="42" ht="15.75" customHeight="1">
      <c r="A42" s="5" t="s">
        <v>121</v>
      </c>
      <c r="B42" s="5" t="s">
        <v>365</v>
      </c>
      <c r="C42" s="5" t="s">
        <v>366</v>
      </c>
      <c r="D42" s="5" t="s">
        <v>944</v>
      </c>
      <c r="E42" s="5" t="s">
        <v>2441</v>
      </c>
      <c r="F42" s="5" t="s">
        <v>2442</v>
      </c>
      <c r="G42" s="5" t="s">
        <v>2443</v>
      </c>
      <c r="H42" s="5" t="s">
        <v>2444</v>
      </c>
      <c r="I42" s="5" t="s">
        <v>2445</v>
      </c>
      <c r="J42" s="5" t="s">
        <v>2416</v>
      </c>
      <c r="L42" s="5" t="s">
        <v>2412</v>
      </c>
      <c r="M42" s="5" t="s">
        <v>2446</v>
      </c>
    </row>
    <row r="43" ht="15.75" hidden="1" customHeight="1">
      <c r="A43" s="5" t="s">
        <v>121</v>
      </c>
      <c r="B43" s="5" t="s">
        <v>375</v>
      </c>
      <c r="C43" s="5" t="s">
        <v>376</v>
      </c>
      <c r="D43" s="5" t="s">
        <v>1560</v>
      </c>
    </row>
    <row r="44" ht="15.75" hidden="1" customHeight="1">
      <c r="A44" s="5" t="s">
        <v>121</v>
      </c>
      <c r="B44" s="5" t="s">
        <v>375</v>
      </c>
      <c r="C44" s="5" t="s">
        <v>376</v>
      </c>
      <c r="D44" s="5" t="s">
        <v>1560</v>
      </c>
    </row>
    <row r="45" ht="15.75" hidden="1" customHeight="1">
      <c r="A45" s="5" t="s">
        <v>121</v>
      </c>
      <c r="B45" s="5" t="s">
        <v>387</v>
      </c>
      <c r="C45" s="5" t="s">
        <v>388</v>
      </c>
      <c r="D45" s="5" t="s">
        <v>1560</v>
      </c>
    </row>
    <row r="46" ht="15.75" hidden="1" customHeight="1">
      <c r="A46" s="5" t="s">
        <v>121</v>
      </c>
      <c r="B46" s="5" t="s">
        <v>395</v>
      </c>
      <c r="C46" s="5" t="s">
        <v>396</v>
      </c>
      <c r="D46" s="5" t="s">
        <v>1560</v>
      </c>
    </row>
    <row r="47" ht="15.75" hidden="1" customHeight="1">
      <c r="A47" s="5" t="s">
        <v>121</v>
      </c>
      <c r="B47" s="5" t="s">
        <v>405</v>
      </c>
      <c r="C47" s="5" t="s">
        <v>406</v>
      </c>
      <c r="D47" s="5" t="s">
        <v>1560</v>
      </c>
    </row>
    <row r="48" ht="15.75" hidden="1" customHeight="1">
      <c r="A48" s="5" t="s">
        <v>121</v>
      </c>
      <c r="B48" s="5" t="s">
        <v>412</v>
      </c>
      <c r="C48" s="5" t="s">
        <v>413</v>
      </c>
      <c r="D48" s="5" t="s">
        <v>1560</v>
      </c>
    </row>
    <row r="49" ht="15.75" hidden="1" customHeight="1">
      <c r="A49" s="5" t="s">
        <v>419</v>
      </c>
      <c r="B49" s="5" t="s">
        <v>420</v>
      </c>
      <c r="C49" s="5" t="s">
        <v>421</v>
      </c>
      <c r="D49" s="5" t="s">
        <v>1560</v>
      </c>
    </row>
    <row r="50" ht="15.75" hidden="1" customHeight="1">
      <c r="A50" s="5" t="s">
        <v>419</v>
      </c>
      <c r="B50" s="5" t="s">
        <v>430</v>
      </c>
      <c r="C50" s="5" t="s">
        <v>431</v>
      </c>
      <c r="D50" s="5" t="s">
        <v>1560</v>
      </c>
    </row>
    <row r="51" ht="15.75" hidden="1" customHeight="1">
      <c r="A51" s="5" t="s">
        <v>419</v>
      </c>
      <c r="B51" s="5" t="s">
        <v>438</v>
      </c>
      <c r="C51" s="5" t="s">
        <v>439</v>
      </c>
      <c r="D51" s="5" t="s">
        <v>1560</v>
      </c>
    </row>
    <row r="52" ht="15.75" hidden="1" customHeight="1">
      <c r="A52" s="5" t="s">
        <v>419</v>
      </c>
      <c r="B52" s="5" t="s">
        <v>446</v>
      </c>
      <c r="C52" s="5" t="s">
        <v>447</v>
      </c>
      <c r="D52" s="5" t="s">
        <v>1560</v>
      </c>
    </row>
    <row r="53" ht="15.75" hidden="1" customHeight="1">
      <c r="A53" s="5" t="s">
        <v>419</v>
      </c>
      <c r="B53" s="5" t="s">
        <v>453</v>
      </c>
      <c r="C53" s="5" t="s">
        <v>454</v>
      </c>
      <c r="D53" s="5" t="s">
        <v>1560</v>
      </c>
    </row>
    <row r="54" ht="15.75" customHeight="1">
      <c r="A54" s="5" t="s">
        <v>419</v>
      </c>
      <c r="B54" s="5" t="s">
        <v>461</v>
      </c>
      <c r="C54" s="5" t="s">
        <v>462</v>
      </c>
      <c r="D54" s="5" t="s">
        <v>944</v>
      </c>
      <c r="E54" s="5" t="s">
        <v>2447</v>
      </c>
      <c r="F54" s="5" t="s">
        <v>2448</v>
      </c>
      <c r="G54" s="5" t="s">
        <v>2449</v>
      </c>
      <c r="H54" s="5" t="s">
        <v>2450</v>
      </c>
      <c r="I54" s="5" t="s">
        <v>2451</v>
      </c>
      <c r="J54" s="5" t="s">
        <v>2416</v>
      </c>
      <c r="L54" s="5" t="s">
        <v>2412</v>
      </c>
    </row>
    <row r="55" ht="15.75" hidden="1" customHeight="1">
      <c r="A55" s="5" t="s">
        <v>419</v>
      </c>
      <c r="B55" s="5" t="s">
        <v>469</v>
      </c>
      <c r="C55" s="5" t="s">
        <v>470</v>
      </c>
      <c r="D55" s="5" t="s">
        <v>1560</v>
      </c>
    </row>
    <row r="56" ht="15.75" hidden="1" customHeight="1">
      <c r="A56" s="5" t="s">
        <v>419</v>
      </c>
      <c r="B56" s="5" t="s">
        <v>477</v>
      </c>
      <c r="C56" s="5" t="s">
        <v>478</v>
      </c>
      <c r="D56" s="5" t="s">
        <v>1560</v>
      </c>
    </row>
    <row r="57" ht="15.75" hidden="1" customHeight="1">
      <c r="A57" s="5" t="s">
        <v>419</v>
      </c>
      <c r="B57" s="5" t="s">
        <v>477</v>
      </c>
      <c r="C57" s="5" t="s">
        <v>478</v>
      </c>
      <c r="D57" s="5" t="s">
        <v>1560</v>
      </c>
    </row>
    <row r="58" ht="15.75" hidden="1" customHeight="1">
      <c r="A58" s="5" t="s">
        <v>419</v>
      </c>
      <c r="B58" s="5" t="s">
        <v>488</v>
      </c>
      <c r="C58" s="5" t="s">
        <v>489</v>
      </c>
      <c r="D58" s="5" t="s">
        <v>1560</v>
      </c>
    </row>
    <row r="59" ht="15.75" hidden="1" customHeight="1">
      <c r="A59" s="5" t="s">
        <v>419</v>
      </c>
      <c r="B59" s="5" t="s">
        <v>498</v>
      </c>
      <c r="C59" s="5" t="s">
        <v>499</v>
      </c>
      <c r="D59" s="5" t="s">
        <v>1560</v>
      </c>
    </row>
    <row r="60" ht="15.75" hidden="1" customHeight="1">
      <c r="A60" s="5" t="s">
        <v>419</v>
      </c>
      <c r="B60" s="5" t="s">
        <v>507</v>
      </c>
      <c r="C60" s="5" t="s">
        <v>508</v>
      </c>
      <c r="D60" s="5" t="s">
        <v>1560</v>
      </c>
    </row>
    <row r="61" ht="15.75" customHeight="1">
      <c r="A61" s="5" t="s">
        <v>419</v>
      </c>
      <c r="B61" s="5" t="s">
        <v>517</v>
      </c>
      <c r="C61" s="5" t="s">
        <v>518</v>
      </c>
      <c r="D61" s="5" t="s">
        <v>944</v>
      </c>
      <c r="E61" s="5" t="s">
        <v>2452</v>
      </c>
      <c r="F61" s="5" t="s">
        <v>2453</v>
      </c>
      <c r="G61" s="5" t="s">
        <v>2454</v>
      </c>
      <c r="H61" s="5" t="s">
        <v>2455</v>
      </c>
      <c r="I61" s="5" t="s">
        <v>2456</v>
      </c>
      <c r="J61" s="5" t="s">
        <v>2416</v>
      </c>
      <c r="L61" s="5" t="s">
        <v>2412</v>
      </c>
    </row>
    <row r="62" ht="15.75" customHeight="1">
      <c r="A62" s="5" t="s">
        <v>419</v>
      </c>
      <c r="B62" s="5" t="s">
        <v>517</v>
      </c>
      <c r="C62" s="5" t="s">
        <v>518</v>
      </c>
      <c r="D62" s="5" t="s">
        <v>944</v>
      </c>
      <c r="E62" s="5" t="s">
        <v>2457</v>
      </c>
      <c r="F62" s="5" t="s">
        <v>2458</v>
      </c>
      <c r="G62" s="5" t="s">
        <v>2459</v>
      </c>
      <c r="H62" s="5" t="s">
        <v>2460</v>
      </c>
      <c r="I62" s="5" t="s">
        <v>2461</v>
      </c>
      <c r="J62" s="5" t="s">
        <v>2416</v>
      </c>
      <c r="L62" s="5" t="s">
        <v>2462</v>
      </c>
    </row>
    <row r="63" ht="15.75" hidden="1" customHeight="1">
      <c r="A63" s="5" t="s">
        <v>419</v>
      </c>
      <c r="B63" s="5" t="s">
        <v>527</v>
      </c>
      <c r="C63" s="5" t="s">
        <v>528</v>
      </c>
      <c r="D63" s="5" t="s">
        <v>1560</v>
      </c>
    </row>
    <row r="64" ht="15.75" hidden="1" customHeight="1">
      <c r="A64" s="5" t="s">
        <v>419</v>
      </c>
      <c r="B64" s="5" t="s">
        <v>533</v>
      </c>
      <c r="C64" s="5" t="s">
        <v>534</v>
      </c>
      <c r="D64" s="5" t="s">
        <v>1560</v>
      </c>
    </row>
    <row r="65" ht="15.75" hidden="1" customHeight="1">
      <c r="A65" s="5" t="s">
        <v>419</v>
      </c>
      <c r="B65" s="5" t="s">
        <v>541</v>
      </c>
      <c r="C65" s="5" t="s">
        <v>542</v>
      </c>
      <c r="D65" s="5" t="s">
        <v>1560</v>
      </c>
    </row>
    <row r="66" ht="15.75" hidden="1" customHeight="1">
      <c r="A66" s="5" t="s">
        <v>419</v>
      </c>
      <c r="B66" s="5" t="s">
        <v>550</v>
      </c>
      <c r="C66" s="5" t="s">
        <v>551</v>
      </c>
      <c r="D66" s="5" t="s">
        <v>1560</v>
      </c>
    </row>
    <row r="67" ht="15.75" hidden="1" customHeight="1">
      <c r="A67" s="5" t="s">
        <v>419</v>
      </c>
      <c r="B67" s="5" t="s">
        <v>559</v>
      </c>
      <c r="C67" s="5" t="s">
        <v>560</v>
      </c>
      <c r="D67" s="5" t="s">
        <v>1560</v>
      </c>
    </row>
    <row r="68" ht="15.75" hidden="1" customHeight="1">
      <c r="A68" s="5" t="s">
        <v>567</v>
      </c>
      <c r="B68" s="5" t="s">
        <v>568</v>
      </c>
      <c r="C68" s="5" t="s">
        <v>569</v>
      </c>
      <c r="D68" s="5" t="s">
        <v>1560</v>
      </c>
    </row>
    <row r="69" ht="15.75" hidden="1" customHeight="1">
      <c r="A69" s="5" t="s">
        <v>567</v>
      </c>
      <c r="B69" s="5" t="s">
        <v>577</v>
      </c>
      <c r="C69" s="5" t="s">
        <v>578</v>
      </c>
      <c r="D69" s="5" t="s">
        <v>1560</v>
      </c>
    </row>
    <row r="70" ht="15.75" hidden="1" customHeight="1">
      <c r="A70" s="5" t="s">
        <v>567</v>
      </c>
      <c r="B70" s="5" t="s">
        <v>586</v>
      </c>
      <c r="C70" s="5" t="s">
        <v>587</v>
      </c>
      <c r="D70" s="5" t="s">
        <v>1560</v>
      </c>
    </row>
    <row r="71" ht="15.75" customHeight="1">
      <c r="A71" s="5" t="s">
        <v>567</v>
      </c>
      <c r="B71" s="5" t="s">
        <v>597</v>
      </c>
      <c r="C71" s="5" t="s">
        <v>598</v>
      </c>
      <c r="D71" s="5" t="s">
        <v>944</v>
      </c>
      <c r="E71" s="5" t="s">
        <v>2463</v>
      </c>
      <c r="F71" s="5" t="s">
        <v>2464</v>
      </c>
      <c r="G71" s="5" t="s">
        <v>2465</v>
      </c>
      <c r="H71" s="5" t="s">
        <v>2466</v>
      </c>
      <c r="I71" s="5" t="s">
        <v>2402</v>
      </c>
      <c r="J71" s="5" t="s">
        <v>2467</v>
      </c>
      <c r="L71" s="5" t="s">
        <v>2412</v>
      </c>
    </row>
    <row r="72" ht="15.75" customHeight="1">
      <c r="A72" s="5" t="s">
        <v>567</v>
      </c>
      <c r="B72" s="5" t="s">
        <v>606</v>
      </c>
      <c r="C72" s="5" t="s">
        <v>607</v>
      </c>
      <c r="D72" s="5" t="s">
        <v>944</v>
      </c>
      <c r="E72" s="5" t="s">
        <v>2468</v>
      </c>
      <c r="F72" s="5" t="s">
        <v>2469</v>
      </c>
      <c r="G72" s="5" t="s">
        <v>2470</v>
      </c>
      <c r="H72" s="5" t="s">
        <v>2471</v>
      </c>
      <c r="I72" s="5" t="s">
        <v>2472</v>
      </c>
      <c r="J72" s="5" t="s">
        <v>2416</v>
      </c>
      <c r="L72" s="5" t="s">
        <v>2412</v>
      </c>
      <c r="M72" s="5" t="s">
        <v>2473</v>
      </c>
    </row>
    <row r="73" ht="15.75" customHeight="1">
      <c r="A73" s="5" t="s">
        <v>567</v>
      </c>
      <c r="B73" s="5" t="s">
        <v>606</v>
      </c>
      <c r="C73" s="5" t="s">
        <v>607</v>
      </c>
      <c r="D73" s="5" t="s">
        <v>944</v>
      </c>
      <c r="E73" s="5" t="s">
        <v>2468</v>
      </c>
      <c r="F73" s="5" t="s">
        <v>2469</v>
      </c>
      <c r="G73" s="5" t="s">
        <v>2470</v>
      </c>
      <c r="H73" s="5" t="s">
        <v>2471</v>
      </c>
      <c r="I73" s="5" t="s">
        <v>2472</v>
      </c>
      <c r="J73" s="5" t="s">
        <v>2416</v>
      </c>
      <c r="L73" s="5" t="s">
        <v>2412</v>
      </c>
      <c r="M73" s="5" t="s">
        <v>2473</v>
      </c>
    </row>
    <row r="74" ht="15.75" hidden="1" customHeight="1">
      <c r="A74" s="5" t="s">
        <v>567</v>
      </c>
      <c r="B74" s="5" t="s">
        <v>614</v>
      </c>
      <c r="C74" s="5" t="s">
        <v>615</v>
      </c>
      <c r="D74" s="5" t="s">
        <v>1560</v>
      </c>
    </row>
    <row r="75" ht="15.75" hidden="1" customHeight="1">
      <c r="A75" s="5" t="s">
        <v>567</v>
      </c>
      <c r="B75" s="5" t="s">
        <v>624</v>
      </c>
      <c r="C75" s="5" t="s">
        <v>625</v>
      </c>
      <c r="D75" s="5" t="s">
        <v>1560</v>
      </c>
    </row>
    <row r="76" ht="15.75" hidden="1" customHeight="1">
      <c r="A76" s="5" t="s">
        <v>567</v>
      </c>
      <c r="B76" s="5" t="s">
        <v>634</v>
      </c>
      <c r="C76" s="5" t="s">
        <v>635</v>
      </c>
      <c r="D76" s="5" t="s">
        <v>1560</v>
      </c>
    </row>
    <row r="77" ht="15.75" hidden="1" customHeight="1">
      <c r="A77" s="5" t="s">
        <v>567</v>
      </c>
      <c r="B77" s="5" t="s">
        <v>643</v>
      </c>
      <c r="C77" s="5" t="s">
        <v>644</v>
      </c>
      <c r="D77" s="5" t="s">
        <v>1560</v>
      </c>
    </row>
    <row r="78" ht="15.75" hidden="1" customHeight="1">
      <c r="A78" s="5" t="s">
        <v>567</v>
      </c>
      <c r="B78" s="5" t="s">
        <v>651</v>
      </c>
      <c r="C78" s="5" t="s">
        <v>652</v>
      </c>
      <c r="D78" s="5" t="s">
        <v>1560</v>
      </c>
    </row>
    <row r="79" ht="15.75" hidden="1" customHeight="1">
      <c r="A79" s="5" t="s">
        <v>567</v>
      </c>
      <c r="B79" s="5" t="s">
        <v>659</v>
      </c>
      <c r="C79" s="5" t="s">
        <v>660</v>
      </c>
      <c r="D79" s="5" t="s">
        <v>1560</v>
      </c>
    </row>
    <row r="80" ht="15.75" customHeight="1">
      <c r="A80" s="5" t="s">
        <v>567</v>
      </c>
      <c r="B80" s="5" t="s">
        <v>667</v>
      </c>
      <c r="C80" s="5" t="s">
        <v>668</v>
      </c>
      <c r="D80" s="5" t="s">
        <v>944</v>
      </c>
      <c r="E80" s="5" t="s">
        <v>2474</v>
      </c>
      <c r="F80" s="5" t="s">
        <v>2475</v>
      </c>
      <c r="G80" s="5" t="s">
        <v>2476</v>
      </c>
      <c r="H80" s="5" t="s">
        <v>2477</v>
      </c>
      <c r="I80" s="5" t="s">
        <v>2478</v>
      </c>
      <c r="J80" s="5" t="s">
        <v>2416</v>
      </c>
      <c r="L80" s="5" t="s">
        <v>2412</v>
      </c>
    </row>
    <row r="81" ht="15.75" hidden="1" customHeight="1">
      <c r="A81" s="5" t="s">
        <v>567</v>
      </c>
      <c r="B81" s="5" t="s">
        <v>674</v>
      </c>
      <c r="C81" s="5" t="s">
        <v>675</v>
      </c>
      <c r="D81" s="5" t="s">
        <v>1560</v>
      </c>
    </row>
    <row r="82" ht="15.75" hidden="1" customHeight="1">
      <c r="A82" s="5" t="s">
        <v>682</v>
      </c>
      <c r="B82" s="5" t="s">
        <v>683</v>
      </c>
      <c r="C82" s="5" t="s">
        <v>684</v>
      </c>
      <c r="D82" s="5" t="s">
        <v>1560</v>
      </c>
    </row>
    <row r="83" ht="15.75" hidden="1" customHeight="1">
      <c r="A83" s="5" t="s">
        <v>682</v>
      </c>
      <c r="B83" s="5" t="s">
        <v>691</v>
      </c>
      <c r="C83" s="5" t="s">
        <v>692</v>
      </c>
      <c r="D83" s="5" t="s">
        <v>1560</v>
      </c>
    </row>
    <row r="84" ht="15.75" hidden="1" customHeight="1">
      <c r="A84" s="5" t="s">
        <v>682</v>
      </c>
      <c r="B84" s="5" t="s">
        <v>699</v>
      </c>
      <c r="C84" s="5" t="s">
        <v>700</v>
      </c>
      <c r="D84" s="5" t="s">
        <v>1560</v>
      </c>
    </row>
    <row r="85" ht="15.75" hidden="1" customHeight="1">
      <c r="A85" s="5" t="s">
        <v>682</v>
      </c>
      <c r="B85" s="5" t="s">
        <v>707</v>
      </c>
      <c r="C85" s="5" t="s">
        <v>708</v>
      </c>
      <c r="D85" s="5" t="s">
        <v>1560</v>
      </c>
    </row>
    <row r="86" ht="15.75" hidden="1" customHeight="1">
      <c r="A86" s="5" t="s">
        <v>682</v>
      </c>
      <c r="B86" s="5" t="s">
        <v>715</v>
      </c>
      <c r="C86" s="5" t="s">
        <v>716</v>
      </c>
      <c r="D86" s="5" t="s">
        <v>1560</v>
      </c>
    </row>
    <row r="87" ht="15.75" hidden="1" customHeight="1">
      <c r="A87" s="5" t="s">
        <v>682</v>
      </c>
      <c r="B87" s="5" t="s">
        <v>725</v>
      </c>
      <c r="C87" s="5" t="s">
        <v>726</v>
      </c>
      <c r="D87" s="5" t="s">
        <v>1560</v>
      </c>
    </row>
    <row r="88" ht="15.75" hidden="1" customHeight="1">
      <c r="A88" s="5" t="s">
        <v>682</v>
      </c>
      <c r="B88" s="5" t="s">
        <v>732</v>
      </c>
      <c r="C88" s="5" t="s">
        <v>733</v>
      </c>
      <c r="D88" s="5" t="s">
        <v>1560</v>
      </c>
    </row>
    <row r="89" ht="15.75" hidden="1" customHeight="1">
      <c r="A89" s="5" t="s">
        <v>682</v>
      </c>
      <c r="B89" s="5" t="s">
        <v>739</v>
      </c>
      <c r="C89" s="5" t="s">
        <v>740</v>
      </c>
      <c r="D89" s="5" t="s">
        <v>1560</v>
      </c>
    </row>
    <row r="90" ht="15.75" hidden="1" customHeight="1">
      <c r="A90" s="5" t="s">
        <v>682</v>
      </c>
      <c r="B90" s="5" t="s">
        <v>749</v>
      </c>
      <c r="C90" s="5" t="s">
        <v>750</v>
      </c>
      <c r="D90" s="5" t="s">
        <v>1560</v>
      </c>
    </row>
    <row r="91" ht="15.75" hidden="1" customHeight="1">
      <c r="A91" s="5" t="s">
        <v>682</v>
      </c>
      <c r="B91" s="5" t="s">
        <v>757</v>
      </c>
      <c r="C91" s="5" t="s">
        <v>758</v>
      </c>
      <c r="D91" s="5" t="s">
        <v>1560</v>
      </c>
    </row>
    <row r="92" ht="15.75" hidden="1" customHeight="1">
      <c r="A92" s="5" t="s">
        <v>682</v>
      </c>
      <c r="B92" s="5" t="s">
        <v>765</v>
      </c>
      <c r="C92" s="5" t="s">
        <v>766</v>
      </c>
      <c r="D92" s="5" t="s">
        <v>1560</v>
      </c>
    </row>
    <row r="93" ht="15.75" hidden="1" customHeight="1">
      <c r="A93" s="5" t="s">
        <v>682</v>
      </c>
      <c r="B93" s="5" t="s">
        <v>773</v>
      </c>
      <c r="C93" s="5" t="s">
        <v>774</v>
      </c>
      <c r="D93" s="5" t="s">
        <v>1560</v>
      </c>
    </row>
    <row r="94" ht="15.75" hidden="1" customHeight="1">
      <c r="A94" s="5" t="s">
        <v>682</v>
      </c>
      <c r="B94" s="5" t="s">
        <v>782</v>
      </c>
      <c r="C94" s="5" t="s">
        <v>783</v>
      </c>
      <c r="D94" s="5" t="s">
        <v>1560</v>
      </c>
    </row>
    <row r="95" ht="15.75" hidden="1" customHeight="1">
      <c r="A95" s="5" t="s">
        <v>682</v>
      </c>
      <c r="B95" s="5" t="s">
        <v>791</v>
      </c>
      <c r="C95" s="5" t="s">
        <v>792</v>
      </c>
      <c r="D95" s="5" t="s">
        <v>1560</v>
      </c>
    </row>
    <row r="96" ht="15.75" hidden="1" customHeight="1">
      <c r="A96" s="5" t="s">
        <v>801</v>
      </c>
      <c r="B96" s="5" t="s">
        <v>802</v>
      </c>
      <c r="C96" s="5" t="s">
        <v>803</v>
      </c>
      <c r="D96" s="5" t="s">
        <v>1560</v>
      </c>
    </row>
    <row r="97" ht="15.75" hidden="1" customHeight="1">
      <c r="A97" s="5" t="s">
        <v>801</v>
      </c>
      <c r="B97" s="5" t="s">
        <v>810</v>
      </c>
      <c r="C97" s="5" t="s">
        <v>811</v>
      </c>
      <c r="D97" s="5" t="s">
        <v>1560</v>
      </c>
    </row>
    <row r="98" ht="15.75" hidden="1" customHeight="1">
      <c r="A98" s="5" t="s">
        <v>801</v>
      </c>
      <c r="B98" s="5" t="s">
        <v>818</v>
      </c>
      <c r="C98" s="5" t="s">
        <v>819</v>
      </c>
      <c r="D98" s="5" t="s">
        <v>1560</v>
      </c>
    </row>
    <row r="99" ht="15.75" hidden="1" customHeight="1">
      <c r="A99" s="5" t="s">
        <v>801</v>
      </c>
      <c r="B99" s="5" t="s">
        <v>826</v>
      </c>
      <c r="C99" s="5" t="s">
        <v>827</v>
      </c>
      <c r="D99" s="5" t="s">
        <v>1560</v>
      </c>
    </row>
    <row r="100" ht="15.75" hidden="1" customHeight="1">
      <c r="A100" s="5" t="s">
        <v>801</v>
      </c>
      <c r="B100" s="5" t="s">
        <v>836</v>
      </c>
      <c r="C100" s="5" t="s">
        <v>837</v>
      </c>
      <c r="D100" s="5" t="s">
        <v>1560</v>
      </c>
    </row>
    <row r="101" ht="15.75" hidden="1" customHeight="1">
      <c r="A101" s="5" t="s">
        <v>801</v>
      </c>
      <c r="B101" s="5" t="s">
        <v>844</v>
      </c>
      <c r="C101" s="5" t="s">
        <v>845</v>
      </c>
      <c r="D101" s="5" t="s">
        <v>1560</v>
      </c>
    </row>
    <row r="102" ht="15.75" hidden="1" customHeight="1">
      <c r="A102" s="5" t="s">
        <v>801</v>
      </c>
      <c r="B102" s="5" t="s">
        <v>853</v>
      </c>
      <c r="C102" s="5" t="s">
        <v>854</v>
      </c>
      <c r="D102" s="5" t="s">
        <v>1560</v>
      </c>
    </row>
    <row r="103" ht="15.75" hidden="1" customHeight="1">
      <c r="A103" s="5" t="s">
        <v>801</v>
      </c>
      <c r="B103" s="5" t="s">
        <v>860</v>
      </c>
      <c r="C103" s="5" t="s">
        <v>861</v>
      </c>
      <c r="D103" s="5" t="s">
        <v>1560</v>
      </c>
    </row>
    <row r="104" ht="15.75" hidden="1" customHeight="1">
      <c r="A104" s="5" t="s">
        <v>801</v>
      </c>
      <c r="B104" s="5" t="s">
        <v>867</v>
      </c>
      <c r="C104" s="5" t="s">
        <v>868</v>
      </c>
      <c r="D104" s="5" t="s">
        <v>1560</v>
      </c>
    </row>
    <row r="105" ht="15.75" hidden="1" customHeight="1">
      <c r="A105" s="5" t="s">
        <v>801</v>
      </c>
      <c r="B105" s="5" t="s">
        <v>875</v>
      </c>
      <c r="C105" s="5" t="s">
        <v>876</v>
      </c>
      <c r="D105" s="5" t="s">
        <v>1560</v>
      </c>
    </row>
    <row r="106" ht="15.75" hidden="1" customHeight="1">
      <c r="A106" s="5" t="s">
        <v>801</v>
      </c>
      <c r="B106" s="5" t="s">
        <v>883</v>
      </c>
      <c r="C106" s="5" t="s">
        <v>884</v>
      </c>
      <c r="D106" s="5" t="s">
        <v>1560</v>
      </c>
    </row>
    <row r="107" ht="15.75" hidden="1" customHeight="1">
      <c r="A107" s="5" t="s">
        <v>801</v>
      </c>
      <c r="B107" s="5" t="s">
        <v>890</v>
      </c>
      <c r="C107" s="5" t="s">
        <v>891</v>
      </c>
      <c r="D107" s="5" t="s">
        <v>1560</v>
      </c>
    </row>
    <row r="108" ht="15.75" hidden="1" customHeight="1">
      <c r="A108" s="5" t="s">
        <v>801</v>
      </c>
      <c r="B108" s="5" t="s">
        <v>890</v>
      </c>
      <c r="C108" s="5" t="s">
        <v>891</v>
      </c>
      <c r="D108" s="5" t="s">
        <v>1560</v>
      </c>
    </row>
    <row r="109" ht="15.75" hidden="1" customHeight="1">
      <c r="A109" s="5" t="s">
        <v>801</v>
      </c>
      <c r="B109" s="5" t="s">
        <v>898</v>
      </c>
      <c r="C109" s="5" t="s">
        <v>899</v>
      </c>
      <c r="D109" s="5" t="s">
        <v>1560</v>
      </c>
    </row>
    <row r="110" ht="15.75" hidden="1" customHeight="1">
      <c r="A110" s="5" t="s">
        <v>801</v>
      </c>
      <c r="B110" s="5" t="s">
        <v>906</v>
      </c>
      <c r="C110" s="5" t="s">
        <v>907</v>
      </c>
      <c r="D110" s="5" t="s">
        <v>1560</v>
      </c>
    </row>
    <row r="111" ht="15.75" hidden="1" customHeight="1"/>
    <row r="112" ht="15.75" hidden="1" customHeight="1"/>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sheetData>
  <autoFilter ref="$A$1:$Z$1000">
    <filterColumn colId="3">
      <filters>
        <filter val="SI"/>
      </filters>
    </filterColumn>
  </autoFilter>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0.43"/>
    <col customWidth="1" min="4" max="4" width="8.71"/>
    <col customWidth="1" min="5" max="5" width="22.57"/>
    <col customWidth="1" min="6" max="7" width="8.71"/>
    <col customWidth="1" min="8" max="8" width="49.71"/>
    <col customWidth="1" min="9" max="26" width="8.71"/>
  </cols>
  <sheetData>
    <row r="1">
      <c r="A1" s="1" t="s">
        <v>0</v>
      </c>
      <c r="B1" s="1" t="s">
        <v>1</v>
      </c>
      <c r="C1" s="1" t="s">
        <v>2</v>
      </c>
      <c r="D1" s="1" t="s">
        <v>2479</v>
      </c>
      <c r="E1" s="1" t="s">
        <v>2480</v>
      </c>
      <c r="F1" s="1" t="s">
        <v>2398</v>
      </c>
      <c r="G1" s="1" t="s">
        <v>2481</v>
      </c>
      <c r="H1" s="1" t="s">
        <v>2402</v>
      </c>
      <c r="I1" s="1" t="s">
        <v>16</v>
      </c>
    </row>
    <row r="2" hidden="1">
      <c r="A2" s="5" t="s">
        <v>26</v>
      </c>
      <c r="B2" s="5" t="s">
        <v>27</v>
      </c>
      <c r="C2" s="5" t="s">
        <v>28</v>
      </c>
      <c r="D2" s="5" t="s">
        <v>1560</v>
      </c>
    </row>
    <row r="3" hidden="1">
      <c r="A3" s="5" t="s">
        <v>26</v>
      </c>
      <c r="B3" s="5" t="s">
        <v>39</v>
      </c>
      <c r="C3" s="5" t="s">
        <v>40</v>
      </c>
      <c r="D3" s="5" t="s">
        <v>1560</v>
      </c>
    </row>
    <row r="4" hidden="1">
      <c r="A4" s="5" t="s">
        <v>26</v>
      </c>
      <c r="B4" s="5" t="s">
        <v>50</v>
      </c>
      <c r="C4" s="5" t="s">
        <v>51</v>
      </c>
      <c r="D4" s="5" t="s">
        <v>1560</v>
      </c>
    </row>
    <row r="5" hidden="1">
      <c r="A5" s="5" t="s">
        <v>26</v>
      </c>
      <c r="B5" s="5" t="s">
        <v>60</v>
      </c>
      <c r="C5" s="5" t="s">
        <v>61</v>
      </c>
      <c r="D5" s="5" t="s">
        <v>1560</v>
      </c>
    </row>
    <row r="6" hidden="1">
      <c r="A6" s="5" t="s">
        <v>26</v>
      </c>
      <c r="B6" s="5" t="s">
        <v>71</v>
      </c>
      <c r="C6" s="5" t="s">
        <v>72</v>
      </c>
      <c r="D6" s="5" t="s">
        <v>1560</v>
      </c>
    </row>
    <row r="7" hidden="1">
      <c r="A7" s="5" t="s">
        <v>26</v>
      </c>
      <c r="B7" s="5" t="s">
        <v>80</v>
      </c>
      <c r="C7" s="5" t="s">
        <v>81</v>
      </c>
      <c r="D7" s="5" t="s">
        <v>1560</v>
      </c>
    </row>
    <row r="8" hidden="1">
      <c r="A8" s="5" t="s">
        <v>26</v>
      </c>
      <c r="B8" s="5" t="s">
        <v>91</v>
      </c>
      <c r="C8" s="5" t="s">
        <v>92</v>
      </c>
      <c r="D8" s="5" t="s">
        <v>1560</v>
      </c>
    </row>
    <row r="9" hidden="1">
      <c r="A9" s="5" t="s">
        <v>26</v>
      </c>
      <c r="B9" s="5" t="s">
        <v>100</v>
      </c>
      <c r="C9" s="5" t="s">
        <v>101</v>
      </c>
      <c r="D9" s="5" t="s">
        <v>1560</v>
      </c>
    </row>
    <row r="10">
      <c r="A10" s="5" t="s">
        <v>26</v>
      </c>
      <c r="B10" s="5" t="s">
        <v>110</v>
      </c>
      <c r="C10" s="5" t="s">
        <v>111</v>
      </c>
      <c r="D10" s="5" t="s">
        <v>944</v>
      </c>
      <c r="E10" s="5" t="s">
        <v>2482</v>
      </c>
      <c r="F10" s="5" t="s">
        <v>2483</v>
      </c>
      <c r="G10" s="5" t="s">
        <v>2484</v>
      </c>
      <c r="H10" s="5" t="s">
        <v>2485</v>
      </c>
      <c r="I10" s="5" t="s">
        <v>2486</v>
      </c>
    </row>
    <row r="11" hidden="1">
      <c r="A11" s="5" t="s">
        <v>121</v>
      </c>
      <c r="B11" s="5" t="s">
        <v>122</v>
      </c>
      <c r="C11" s="5" t="s">
        <v>123</v>
      </c>
      <c r="D11" s="5" t="s">
        <v>1560</v>
      </c>
    </row>
    <row r="12" hidden="1">
      <c r="A12" s="5" t="s">
        <v>121</v>
      </c>
      <c r="B12" s="5" t="s">
        <v>133</v>
      </c>
      <c r="C12" s="5" t="s">
        <v>134</v>
      </c>
      <c r="D12" s="5" t="s">
        <v>1560</v>
      </c>
    </row>
    <row r="13" hidden="1">
      <c r="A13" s="5" t="s">
        <v>121</v>
      </c>
      <c r="B13" s="5" t="s">
        <v>142</v>
      </c>
      <c r="C13" s="5" t="s">
        <v>143</v>
      </c>
      <c r="D13" s="5" t="s">
        <v>1560</v>
      </c>
    </row>
    <row r="14" hidden="1">
      <c r="A14" s="5" t="s">
        <v>121</v>
      </c>
      <c r="B14" s="5" t="s">
        <v>153</v>
      </c>
      <c r="C14" s="5" t="s">
        <v>154</v>
      </c>
      <c r="D14" s="5" t="s">
        <v>1560</v>
      </c>
    </row>
    <row r="15">
      <c r="A15" s="5" t="s">
        <v>121</v>
      </c>
      <c r="B15" s="5" t="s">
        <v>161</v>
      </c>
      <c r="C15" s="5" t="s">
        <v>162</v>
      </c>
      <c r="D15" s="5" t="s">
        <v>944</v>
      </c>
      <c r="E15" s="5" t="s">
        <v>2487</v>
      </c>
      <c r="F15" s="5" t="s">
        <v>2488</v>
      </c>
      <c r="G15" s="5" t="s">
        <v>2489</v>
      </c>
      <c r="H15" s="5" t="s">
        <v>2490</v>
      </c>
      <c r="I15" s="5" t="s">
        <v>2491</v>
      </c>
    </row>
    <row r="16" hidden="1">
      <c r="A16" s="5" t="s">
        <v>121</v>
      </c>
      <c r="B16" s="5" t="s">
        <v>170</v>
      </c>
      <c r="C16" s="5" t="s">
        <v>171</v>
      </c>
      <c r="D16" s="5" t="s">
        <v>1560</v>
      </c>
    </row>
    <row r="17" hidden="1">
      <c r="A17" s="5" t="s">
        <v>121</v>
      </c>
      <c r="B17" s="5" t="s">
        <v>180</v>
      </c>
      <c r="C17" s="5" t="s">
        <v>181</v>
      </c>
      <c r="D17" s="5" t="s">
        <v>1560</v>
      </c>
    </row>
    <row r="18">
      <c r="A18" s="5" t="s">
        <v>121</v>
      </c>
      <c r="B18" s="5" t="s">
        <v>190</v>
      </c>
      <c r="C18" s="5" t="s">
        <v>191</v>
      </c>
      <c r="D18" s="5" t="s">
        <v>944</v>
      </c>
      <c r="E18" s="5" t="s">
        <v>2482</v>
      </c>
      <c r="F18" s="5" t="s">
        <v>2492</v>
      </c>
      <c r="G18" s="5" t="s">
        <v>2493</v>
      </c>
      <c r="H18" s="5" t="s">
        <v>2494</v>
      </c>
      <c r="I18" s="5" t="s">
        <v>2495</v>
      </c>
    </row>
    <row r="19">
      <c r="A19" s="5" t="s">
        <v>121</v>
      </c>
      <c r="B19" s="5" t="s">
        <v>190</v>
      </c>
      <c r="C19" s="5" t="s">
        <v>191</v>
      </c>
      <c r="D19" s="5" t="s">
        <v>944</v>
      </c>
      <c r="E19" s="5" t="s">
        <v>2482</v>
      </c>
      <c r="F19" s="5" t="s">
        <v>2496</v>
      </c>
      <c r="G19" s="5" t="s">
        <v>2497</v>
      </c>
      <c r="H19" s="5" t="s">
        <v>2498</v>
      </c>
      <c r="I19" s="5" t="s">
        <v>2499</v>
      </c>
    </row>
    <row r="20">
      <c r="A20" s="5" t="s">
        <v>121</v>
      </c>
      <c r="B20" s="5" t="s">
        <v>190</v>
      </c>
      <c r="C20" s="5" t="s">
        <v>191</v>
      </c>
      <c r="D20" s="5" t="s">
        <v>944</v>
      </c>
      <c r="E20" s="5" t="s">
        <v>2482</v>
      </c>
      <c r="F20" s="5" t="s">
        <v>2500</v>
      </c>
      <c r="G20" s="5" t="s">
        <v>2501</v>
      </c>
      <c r="H20" s="5" t="s">
        <v>2502</v>
      </c>
      <c r="I20" s="5" t="s">
        <v>2503</v>
      </c>
    </row>
    <row r="21" ht="15.75" customHeight="1">
      <c r="A21" s="5" t="s">
        <v>121</v>
      </c>
      <c r="B21" s="5" t="s">
        <v>190</v>
      </c>
      <c r="C21" s="5" t="s">
        <v>191</v>
      </c>
      <c r="D21" s="5" t="s">
        <v>944</v>
      </c>
      <c r="E21" s="5" t="s">
        <v>2487</v>
      </c>
      <c r="F21" s="5" t="s">
        <v>2504</v>
      </c>
      <c r="G21" s="5" t="s">
        <v>2408</v>
      </c>
      <c r="H21" s="5" t="s">
        <v>2505</v>
      </c>
      <c r="I21" s="5" t="s">
        <v>2506</v>
      </c>
    </row>
    <row r="22" ht="15.75" customHeight="1">
      <c r="A22" s="5" t="s">
        <v>121</v>
      </c>
      <c r="B22" s="5" t="s">
        <v>201</v>
      </c>
      <c r="C22" s="5" t="s">
        <v>202</v>
      </c>
      <c r="D22" s="5" t="s">
        <v>944</v>
      </c>
      <c r="E22" s="5" t="s">
        <v>2487</v>
      </c>
      <c r="F22" s="5" t="s">
        <v>2507</v>
      </c>
      <c r="G22" s="5" t="s">
        <v>2508</v>
      </c>
      <c r="H22" s="5" t="s">
        <v>2509</v>
      </c>
    </row>
    <row r="23" ht="15.75" customHeight="1">
      <c r="A23" s="5" t="s">
        <v>121</v>
      </c>
      <c r="B23" s="5" t="s">
        <v>201</v>
      </c>
      <c r="C23" s="5" t="s">
        <v>202</v>
      </c>
      <c r="D23" s="5" t="s">
        <v>944</v>
      </c>
      <c r="E23" s="5" t="s">
        <v>2487</v>
      </c>
      <c r="F23" s="5" t="s">
        <v>2510</v>
      </c>
      <c r="G23" s="5" t="s">
        <v>2511</v>
      </c>
      <c r="H23" s="5" t="s">
        <v>2512</v>
      </c>
    </row>
    <row r="24" ht="15.75" customHeight="1">
      <c r="A24" s="5" t="s">
        <v>121</v>
      </c>
      <c r="B24" s="5" t="s">
        <v>201</v>
      </c>
      <c r="C24" s="5" t="s">
        <v>202</v>
      </c>
      <c r="D24" s="5" t="s">
        <v>944</v>
      </c>
      <c r="E24" s="5" t="s">
        <v>2487</v>
      </c>
      <c r="F24" s="5" t="s">
        <v>2513</v>
      </c>
      <c r="G24" s="5" t="s">
        <v>2514</v>
      </c>
      <c r="H24" s="5" t="s">
        <v>2515</v>
      </c>
    </row>
    <row r="25" ht="15.75" customHeight="1">
      <c r="A25" s="5" t="s">
        <v>121</v>
      </c>
      <c r="B25" s="5" t="s">
        <v>201</v>
      </c>
      <c r="C25" s="5" t="s">
        <v>202</v>
      </c>
      <c r="D25" s="5" t="s">
        <v>944</v>
      </c>
      <c r="E25" s="5" t="s">
        <v>2487</v>
      </c>
      <c r="F25" s="5" t="s">
        <v>2516</v>
      </c>
      <c r="G25" s="5" t="s">
        <v>2517</v>
      </c>
      <c r="H25" s="5" t="s">
        <v>2518</v>
      </c>
    </row>
    <row r="26" ht="15.75" hidden="1" customHeight="1">
      <c r="A26" s="5" t="s">
        <v>121</v>
      </c>
      <c r="B26" s="5" t="s">
        <v>211</v>
      </c>
      <c r="C26" s="5" t="s">
        <v>212</v>
      </c>
      <c r="D26" s="5" t="s">
        <v>1560</v>
      </c>
    </row>
    <row r="27" ht="15.75" hidden="1" customHeight="1">
      <c r="A27" s="5" t="s">
        <v>121</v>
      </c>
      <c r="B27" s="5" t="s">
        <v>219</v>
      </c>
      <c r="C27" s="5" t="s">
        <v>220</v>
      </c>
      <c r="D27" s="5" t="s">
        <v>1560</v>
      </c>
    </row>
    <row r="28" ht="15.75" hidden="1" customHeight="1">
      <c r="A28" s="5" t="s">
        <v>121</v>
      </c>
      <c r="B28" s="5" t="s">
        <v>227</v>
      </c>
      <c r="C28" s="5" t="s">
        <v>228</v>
      </c>
      <c r="D28" s="5" t="s">
        <v>1560</v>
      </c>
    </row>
    <row r="29" ht="15.75" hidden="1" customHeight="1">
      <c r="A29" s="5" t="s">
        <v>121</v>
      </c>
      <c r="B29" s="5" t="s">
        <v>236</v>
      </c>
      <c r="C29" s="5" t="s">
        <v>237</v>
      </c>
      <c r="D29" s="5" t="s">
        <v>1560</v>
      </c>
    </row>
    <row r="30" ht="15.75" hidden="1" customHeight="1">
      <c r="A30" s="5" t="s">
        <v>121</v>
      </c>
      <c r="B30" s="5" t="s">
        <v>244</v>
      </c>
      <c r="C30" s="5" t="s">
        <v>245</v>
      </c>
      <c r="D30" s="5" t="s">
        <v>1560</v>
      </c>
    </row>
    <row r="31" ht="15.75" hidden="1" customHeight="1">
      <c r="A31" s="5" t="s">
        <v>121</v>
      </c>
      <c r="B31" s="5" t="s">
        <v>253</v>
      </c>
      <c r="C31" s="5" t="s">
        <v>254</v>
      </c>
      <c r="D31" s="5" t="s">
        <v>1560</v>
      </c>
    </row>
    <row r="32" ht="15.75" hidden="1" customHeight="1">
      <c r="A32" s="5" t="s">
        <v>121</v>
      </c>
      <c r="B32" s="5" t="s">
        <v>261</v>
      </c>
      <c r="C32" s="5" t="s">
        <v>262</v>
      </c>
      <c r="D32" s="5" t="s">
        <v>1560</v>
      </c>
    </row>
    <row r="33" ht="15.75" hidden="1" customHeight="1">
      <c r="A33" s="5" t="s">
        <v>121</v>
      </c>
      <c r="B33" s="5" t="s">
        <v>270</v>
      </c>
      <c r="C33" s="5" t="s">
        <v>271</v>
      </c>
      <c r="D33" s="5" t="s">
        <v>1560</v>
      </c>
    </row>
    <row r="34" ht="15.75" hidden="1" customHeight="1">
      <c r="A34" s="5" t="s">
        <v>121</v>
      </c>
      <c r="B34" s="5" t="s">
        <v>279</v>
      </c>
      <c r="C34" s="5" t="s">
        <v>280</v>
      </c>
      <c r="D34" s="5" t="s">
        <v>1560</v>
      </c>
    </row>
    <row r="35" ht="15.75" hidden="1" customHeight="1">
      <c r="A35" s="5" t="s">
        <v>121</v>
      </c>
      <c r="B35" s="5" t="s">
        <v>288</v>
      </c>
      <c r="C35" s="5" t="s">
        <v>289</v>
      </c>
      <c r="D35" s="5" t="s">
        <v>1560</v>
      </c>
    </row>
    <row r="36" ht="15.75" hidden="1" customHeight="1">
      <c r="A36" s="5" t="s">
        <v>121</v>
      </c>
      <c r="B36" s="5" t="s">
        <v>296</v>
      </c>
      <c r="C36" s="5" t="s">
        <v>297</v>
      </c>
      <c r="D36" s="5" t="s">
        <v>1560</v>
      </c>
    </row>
    <row r="37" ht="15.75" hidden="1" customHeight="1">
      <c r="A37" s="5" t="s">
        <v>121</v>
      </c>
      <c r="B37" s="5" t="s">
        <v>304</v>
      </c>
      <c r="C37" s="5" t="s">
        <v>305</v>
      </c>
      <c r="D37" s="5" t="s">
        <v>1560</v>
      </c>
    </row>
    <row r="38" ht="15.75" customHeight="1">
      <c r="A38" s="5" t="s">
        <v>121</v>
      </c>
      <c r="B38" s="5" t="s">
        <v>313</v>
      </c>
      <c r="C38" s="5" t="s">
        <v>314</v>
      </c>
      <c r="D38" s="5" t="s">
        <v>944</v>
      </c>
      <c r="E38" s="5" t="s">
        <v>2487</v>
      </c>
      <c r="F38" s="5" t="s">
        <v>2519</v>
      </c>
      <c r="G38" s="5" t="s">
        <v>2520</v>
      </c>
      <c r="H38" s="5" t="s">
        <v>2521</v>
      </c>
      <c r="I38" s="5" t="s">
        <v>2522</v>
      </c>
    </row>
    <row r="39" ht="15.75" hidden="1" customHeight="1">
      <c r="A39" s="5" t="s">
        <v>121</v>
      </c>
      <c r="B39" s="5" t="s">
        <v>321</v>
      </c>
      <c r="C39" s="5" t="s">
        <v>322</v>
      </c>
      <c r="D39" s="5" t="s">
        <v>1560</v>
      </c>
    </row>
    <row r="40" ht="15.75" hidden="1" customHeight="1">
      <c r="A40" s="5" t="s">
        <v>121</v>
      </c>
      <c r="B40" s="5" t="s">
        <v>330</v>
      </c>
      <c r="C40" s="5" t="s">
        <v>331</v>
      </c>
      <c r="D40" s="5" t="s">
        <v>1560</v>
      </c>
    </row>
    <row r="41" ht="15.75" hidden="1" customHeight="1">
      <c r="A41" s="5" t="s">
        <v>121</v>
      </c>
      <c r="B41" s="5" t="s">
        <v>338</v>
      </c>
      <c r="C41" s="5" t="s">
        <v>339</v>
      </c>
      <c r="D41" s="5" t="s">
        <v>1560</v>
      </c>
    </row>
    <row r="42" ht="15.75" hidden="1" customHeight="1">
      <c r="A42" s="5" t="s">
        <v>121</v>
      </c>
      <c r="B42" s="5" t="s">
        <v>348</v>
      </c>
      <c r="C42" s="5" t="s">
        <v>349</v>
      </c>
      <c r="D42" s="5" t="s">
        <v>1560</v>
      </c>
    </row>
    <row r="43" ht="15.75" hidden="1" customHeight="1">
      <c r="A43" s="5" t="s">
        <v>121</v>
      </c>
      <c r="B43" s="5" t="s">
        <v>355</v>
      </c>
      <c r="C43" s="5" t="s">
        <v>356</v>
      </c>
      <c r="D43" s="5" t="s">
        <v>1560</v>
      </c>
    </row>
    <row r="44" ht="15.75" customHeight="1">
      <c r="A44" s="5" t="s">
        <v>121</v>
      </c>
      <c r="B44" s="5" t="s">
        <v>365</v>
      </c>
      <c r="C44" s="5" t="s">
        <v>366</v>
      </c>
      <c r="D44" s="5" t="s">
        <v>944</v>
      </c>
      <c r="E44" s="5" t="s">
        <v>2482</v>
      </c>
      <c r="F44" s="5" t="s">
        <v>2523</v>
      </c>
      <c r="G44" s="5" t="s">
        <v>2524</v>
      </c>
      <c r="H44" s="5" t="s">
        <v>2525</v>
      </c>
    </row>
    <row r="45" ht="15.75" hidden="1" customHeight="1">
      <c r="A45" s="5" t="s">
        <v>121</v>
      </c>
      <c r="B45" s="5" t="s">
        <v>375</v>
      </c>
      <c r="C45" s="5" t="s">
        <v>376</v>
      </c>
      <c r="D45" s="5" t="s">
        <v>1560</v>
      </c>
    </row>
    <row r="46" ht="15.75" hidden="1" customHeight="1">
      <c r="A46" s="5" t="s">
        <v>121</v>
      </c>
      <c r="B46" s="5" t="s">
        <v>375</v>
      </c>
      <c r="C46" s="5" t="s">
        <v>376</v>
      </c>
      <c r="D46" s="5" t="s">
        <v>1560</v>
      </c>
    </row>
    <row r="47" ht="15.75" hidden="1" customHeight="1">
      <c r="A47" s="5" t="s">
        <v>121</v>
      </c>
      <c r="B47" s="5" t="s">
        <v>387</v>
      </c>
      <c r="C47" s="5" t="s">
        <v>388</v>
      </c>
      <c r="D47" s="5" t="s">
        <v>1560</v>
      </c>
    </row>
    <row r="48" ht="15.75" hidden="1" customHeight="1">
      <c r="A48" s="5" t="s">
        <v>121</v>
      </c>
      <c r="B48" s="5" t="s">
        <v>395</v>
      </c>
      <c r="C48" s="5" t="s">
        <v>396</v>
      </c>
      <c r="D48" s="5" t="s">
        <v>1560</v>
      </c>
    </row>
    <row r="49" ht="15.75" customHeight="1">
      <c r="A49" s="5" t="s">
        <v>121</v>
      </c>
      <c r="B49" s="5" t="s">
        <v>405</v>
      </c>
      <c r="C49" s="5" t="s">
        <v>406</v>
      </c>
      <c r="D49" s="5" t="s">
        <v>944</v>
      </c>
      <c r="E49" s="5" t="s">
        <v>2482</v>
      </c>
      <c r="F49" s="5" t="s">
        <v>2526</v>
      </c>
      <c r="G49" s="5" t="s">
        <v>2527</v>
      </c>
      <c r="H49" s="5" t="s">
        <v>2528</v>
      </c>
      <c r="I49" s="5" t="s">
        <v>2529</v>
      </c>
    </row>
    <row r="50" ht="15.75" customHeight="1">
      <c r="A50" s="5" t="s">
        <v>121</v>
      </c>
      <c r="B50" s="5" t="s">
        <v>405</v>
      </c>
      <c r="C50" s="5" t="s">
        <v>406</v>
      </c>
      <c r="D50" s="5" t="s">
        <v>944</v>
      </c>
      <c r="E50" s="5" t="s">
        <v>2482</v>
      </c>
      <c r="F50" s="5" t="s">
        <v>2530</v>
      </c>
      <c r="G50" s="5" t="s">
        <v>2531</v>
      </c>
      <c r="H50" s="5" t="s">
        <v>2532</v>
      </c>
      <c r="I50" s="5" t="s">
        <v>2533</v>
      </c>
    </row>
    <row r="51" ht="15.75" customHeight="1">
      <c r="A51" s="5" t="s">
        <v>121</v>
      </c>
      <c r="B51" s="5" t="s">
        <v>412</v>
      </c>
      <c r="C51" s="5" t="s">
        <v>413</v>
      </c>
      <c r="D51" s="5" t="s">
        <v>944</v>
      </c>
      <c r="E51" s="5" t="s">
        <v>2482</v>
      </c>
      <c r="F51" s="5" t="s">
        <v>2534</v>
      </c>
      <c r="G51" s="5" t="s">
        <v>2535</v>
      </c>
      <c r="H51" s="5" t="s">
        <v>2536</v>
      </c>
    </row>
    <row r="52" ht="15.75" hidden="1" customHeight="1">
      <c r="A52" s="5" t="s">
        <v>419</v>
      </c>
      <c r="B52" s="5" t="s">
        <v>420</v>
      </c>
      <c r="C52" s="5" t="s">
        <v>421</v>
      </c>
      <c r="D52" s="5" t="s">
        <v>1560</v>
      </c>
    </row>
    <row r="53" ht="15.75" hidden="1" customHeight="1">
      <c r="A53" s="5" t="s">
        <v>419</v>
      </c>
      <c r="B53" s="5" t="s">
        <v>430</v>
      </c>
      <c r="C53" s="5" t="s">
        <v>431</v>
      </c>
      <c r="D53" s="5" t="s">
        <v>1560</v>
      </c>
    </row>
    <row r="54" ht="15.75" hidden="1" customHeight="1">
      <c r="A54" s="5" t="s">
        <v>419</v>
      </c>
      <c r="B54" s="5" t="s">
        <v>438</v>
      </c>
      <c r="C54" s="5" t="s">
        <v>439</v>
      </c>
      <c r="D54" s="5" t="s">
        <v>1560</v>
      </c>
    </row>
    <row r="55" ht="15.75" hidden="1" customHeight="1">
      <c r="A55" s="5" t="s">
        <v>419</v>
      </c>
      <c r="B55" s="5" t="s">
        <v>446</v>
      </c>
      <c r="C55" s="5" t="s">
        <v>447</v>
      </c>
      <c r="D55" s="5" t="s">
        <v>1560</v>
      </c>
    </row>
    <row r="56" ht="15.75" hidden="1" customHeight="1">
      <c r="A56" s="5" t="s">
        <v>419</v>
      </c>
      <c r="B56" s="5" t="s">
        <v>453</v>
      </c>
      <c r="C56" s="5" t="s">
        <v>454</v>
      </c>
      <c r="D56" s="5" t="s">
        <v>1560</v>
      </c>
    </row>
    <row r="57" ht="15.75" customHeight="1">
      <c r="A57" s="5" t="s">
        <v>419</v>
      </c>
      <c r="B57" s="5" t="s">
        <v>461</v>
      </c>
      <c r="C57" s="5" t="s">
        <v>462</v>
      </c>
      <c r="D57" s="5" t="s">
        <v>944</v>
      </c>
      <c r="E57" s="5" t="s">
        <v>2537</v>
      </c>
      <c r="F57" s="5" t="s">
        <v>2538</v>
      </c>
      <c r="G57" s="5" t="s">
        <v>2539</v>
      </c>
      <c r="H57" s="5" t="s">
        <v>2540</v>
      </c>
    </row>
    <row r="58" ht="15.75" hidden="1" customHeight="1">
      <c r="A58" s="5" t="s">
        <v>419</v>
      </c>
      <c r="B58" s="5" t="s">
        <v>469</v>
      </c>
      <c r="C58" s="5" t="s">
        <v>470</v>
      </c>
      <c r="D58" s="5" t="s">
        <v>1560</v>
      </c>
    </row>
    <row r="59" ht="15.75" hidden="1" customHeight="1">
      <c r="A59" s="5" t="s">
        <v>419</v>
      </c>
      <c r="B59" s="5" t="s">
        <v>477</v>
      </c>
      <c r="C59" s="5" t="s">
        <v>478</v>
      </c>
      <c r="D59" s="5" t="s">
        <v>1560</v>
      </c>
    </row>
    <row r="60" ht="15.75" hidden="1" customHeight="1">
      <c r="A60" s="5" t="s">
        <v>419</v>
      </c>
      <c r="B60" s="5" t="s">
        <v>477</v>
      </c>
      <c r="C60" s="5" t="s">
        <v>478</v>
      </c>
      <c r="D60" s="5" t="s">
        <v>1560</v>
      </c>
    </row>
    <row r="61" ht="15.75" hidden="1" customHeight="1">
      <c r="A61" s="5" t="s">
        <v>419</v>
      </c>
      <c r="B61" s="5" t="s">
        <v>488</v>
      </c>
      <c r="C61" s="5" t="s">
        <v>489</v>
      </c>
      <c r="D61" s="5" t="s">
        <v>1560</v>
      </c>
    </row>
    <row r="62" ht="15.75" hidden="1" customHeight="1">
      <c r="A62" s="5" t="s">
        <v>419</v>
      </c>
      <c r="B62" s="5" t="s">
        <v>498</v>
      </c>
      <c r="C62" s="5" t="s">
        <v>499</v>
      </c>
      <c r="D62" s="5" t="s">
        <v>1560</v>
      </c>
    </row>
    <row r="63" ht="15.75" hidden="1" customHeight="1">
      <c r="A63" s="5" t="s">
        <v>419</v>
      </c>
      <c r="B63" s="5" t="s">
        <v>507</v>
      </c>
      <c r="C63" s="5" t="s">
        <v>508</v>
      </c>
      <c r="D63" s="5" t="s">
        <v>1560</v>
      </c>
    </row>
    <row r="64" ht="15.75" customHeight="1">
      <c r="A64" s="5" t="s">
        <v>419</v>
      </c>
      <c r="B64" s="5" t="s">
        <v>517</v>
      </c>
      <c r="C64" s="5" t="s">
        <v>518</v>
      </c>
      <c r="D64" s="5" t="s">
        <v>944</v>
      </c>
      <c r="E64" s="5" t="s">
        <v>2537</v>
      </c>
      <c r="F64" s="5" t="s">
        <v>2541</v>
      </c>
      <c r="G64" s="5" t="s">
        <v>2542</v>
      </c>
      <c r="H64" s="5" t="s">
        <v>2543</v>
      </c>
    </row>
    <row r="65" ht="15.75" hidden="1" customHeight="1">
      <c r="A65" s="5" t="s">
        <v>419</v>
      </c>
      <c r="B65" s="5" t="s">
        <v>527</v>
      </c>
      <c r="C65" s="5" t="s">
        <v>528</v>
      </c>
      <c r="D65" s="5" t="s">
        <v>1560</v>
      </c>
    </row>
    <row r="66" ht="15.75" hidden="1" customHeight="1">
      <c r="A66" s="5" t="s">
        <v>419</v>
      </c>
      <c r="B66" s="5" t="s">
        <v>533</v>
      </c>
      <c r="C66" s="5" t="s">
        <v>534</v>
      </c>
      <c r="D66" s="5" t="s">
        <v>1560</v>
      </c>
    </row>
    <row r="67" ht="15.75" hidden="1" customHeight="1">
      <c r="A67" s="5" t="s">
        <v>419</v>
      </c>
      <c r="B67" s="5" t="s">
        <v>541</v>
      </c>
      <c r="C67" s="5" t="s">
        <v>542</v>
      </c>
      <c r="D67" s="5" t="s">
        <v>1560</v>
      </c>
    </row>
    <row r="68" ht="15.75" hidden="1" customHeight="1">
      <c r="A68" s="5" t="s">
        <v>419</v>
      </c>
      <c r="B68" s="5" t="s">
        <v>550</v>
      </c>
      <c r="C68" s="5" t="s">
        <v>551</v>
      </c>
      <c r="D68" s="5" t="s">
        <v>1560</v>
      </c>
    </row>
    <row r="69" ht="15.75" hidden="1" customHeight="1">
      <c r="A69" s="5" t="s">
        <v>419</v>
      </c>
      <c r="B69" s="5" t="s">
        <v>559</v>
      </c>
      <c r="C69" s="5" t="s">
        <v>560</v>
      </c>
      <c r="D69" s="5" t="s">
        <v>1560</v>
      </c>
    </row>
    <row r="70" ht="15.75" hidden="1" customHeight="1">
      <c r="A70" s="5" t="s">
        <v>567</v>
      </c>
      <c r="B70" s="5" t="s">
        <v>568</v>
      </c>
      <c r="C70" s="5" t="s">
        <v>569</v>
      </c>
      <c r="D70" s="5" t="s">
        <v>1560</v>
      </c>
    </row>
    <row r="71" ht="15.75" hidden="1" customHeight="1">
      <c r="A71" s="5" t="s">
        <v>567</v>
      </c>
      <c r="B71" s="5" t="s">
        <v>577</v>
      </c>
      <c r="C71" s="5" t="s">
        <v>578</v>
      </c>
      <c r="D71" s="5" t="s">
        <v>1560</v>
      </c>
    </row>
    <row r="72" ht="15.75" hidden="1" customHeight="1">
      <c r="A72" s="5" t="s">
        <v>567</v>
      </c>
      <c r="B72" s="5" t="s">
        <v>586</v>
      </c>
      <c r="C72" s="5" t="s">
        <v>587</v>
      </c>
      <c r="D72" s="5" t="s">
        <v>1560</v>
      </c>
    </row>
    <row r="73" ht="15.75" hidden="1" customHeight="1">
      <c r="A73" s="5" t="s">
        <v>567</v>
      </c>
      <c r="B73" s="5" t="s">
        <v>597</v>
      </c>
      <c r="C73" s="5" t="s">
        <v>598</v>
      </c>
      <c r="D73" s="5" t="s">
        <v>1560</v>
      </c>
    </row>
    <row r="74" ht="15.75" hidden="1" customHeight="1">
      <c r="A74" s="5" t="s">
        <v>567</v>
      </c>
      <c r="B74" s="5" t="s">
        <v>606</v>
      </c>
      <c r="C74" s="5" t="s">
        <v>607</v>
      </c>
      <c r="D74" s="5" t="s">
        <v>1560</v>
      </c>
    </row>
    <row r="75" ht="15.75" hidden="1" customHeight="1">
      <c r="A75" s="5" t="s">
        <v>567</v>
      </c>
      <c r="B75" s="5" t="s">
        <v>606</v>
      </c>
      <c r="C75" s="5" t="s">
        <v>607</v>
      </c>
      <c r="D75" s="5" t="s">
        <v>1560</v>
      </c>
    </row>
    <row r="76" ht="15.75" hidden="1" customHeight="1">
      <c r="A76" s="5" t="s">
        <v>567</v>
      </c>
      <c r="B76" s="5" t="s">
        <v>614</v>
      </c>
      <c r="C76" s="5" t="s">
        <v>615</v>
      </c>
      <c r="D76" s="5" t="s">
        <v>1560</v>
      </c>
    </row>
    <row r="77" ht="15.75" hidden="1" customHeight="1">
      <c r="A77" s="5" t="s">
        <v>567</v>
      </c>
      <c r="B77" s="5" t="s">
        <v>624</v>
      </c>
      <c r="C77" s="5" t="s">
        <v>625</v>
      </c>
      <c r="D77" s="5" t="s">
        <v>1560</v>
      </c>
    </row>
    <row r="78" ht="15.75" hidden="1" customHeight="1">
      <c r="A78" s="5" t="s">
        <v>567</v>
      </c>
      <c r="B78" s="5" t="s">
        <v>634</v>
      </c>
      <c r="C78" s="5" t="s">
        <v>635</v>
      </c>
      <c r="D78" s="5" t="s">
        <v>1560</v>
      </c>
    </row>
    <row r="79" ht="15.75" hidden="1" customHeight="1">
      <c r="A79" s="5" t="s">
        <v>567</v>
      </c>
      <c r="B79" s="5" t="s">
        <v>643</v>
      </c>
      <c r="C79" s="5" t="s">
        <v>644</v>
      </c>
      <c r="D79" s="5" t="s">
        <v>1560</v>
      </c>
    </row>
    <row r="80" ht="15.75" hidden="1" customHeight="1">
      <c r="A80" s="5" t="s">
        <v>567</v>
      </c>
      <c r="B80" s="5" t="s">
        <v>651</v>
      </c>
      <c r="C80" s="5" t="s">
        <v>652</v>
      </c>
      <c r="D80" s="5" t="s">
        <v>1560</v>
      </c>
    </row>
    <row r="81" ht="15.75" hidden="1" customHeight="1">
      <c r="A81" s="5" t="s">
        <v>567</v>
      </c>
      <c r="B81" s="5" t="s">
        <v>659</v>
      </c>
      <c r="C81" s="5" t="s">
        <v>660</v>
      </c>
      <c r="D81" s="5" t="s">
        <v>1560</v>
      </c>
    </row>
    <row r="82" ht="15.75" hidden="1" customHeight="1">
      <c r="A82" s="5" t="s">
        <v>567</v>
      </c>
      <c r="B82" s="5" t="s">
        <v>667</v>
      </c>
      <c r="C82" s="5" t="s">
        <v>668</v>
      </c>
      <c r="D82" s="5" t="s">
        <v>1560</v>
      </c>
    </row>
    <row r="83" ht="15.75" hidden="1" customHeight="1">
      <c r="A83" s="5" t="s">
        <v>567</v>
      </c>
      <c r="B83" s="5" t="s">
        <v>674</v>
      </c>
      <c r="C83" s="5" t="s">
        <v>675</v>
      </c>
      <c r="D83" s="5" t="s">
        <v>1560</v>
      </c>
    </row>
    <row r="84" ht="15.75" hidden="1" customHeight="1">
      <c r="A84" s="5" t="s">
        <v>682</v>
      </c>
      <c r="B84" s="5" t="s">
        <v>683</v>
      </c>
      <c r="C84" s="5" t="s">
        <v>684</v>
      </c>
      <c r="D84" s="5" t="s">
        <v>1560</v>
      </c>
    </row>
    <row r="85" ht="15.75" hidden="1" customHeight="1">
      <c r="A85" s="5" t="s">
        <v>682</v>
      </c>
      <c r="B85" s="5" t="s">
        <v>691</v>
      </c>
      <c r="C85" s="5" t="s">
        <v>692</v>
      </c>
      <c r="D85" s="5" t="s">
        <v>1560</v>
      </c>
    </row>
    <row r="86" ht="15.75" hidden="1" customHeight="1">
      <c r="A86" s="5" t="s">
        <v>682</v>
      </c>
      <c r="B86" s="5" t="s">
        <v>699</v>
      </c>
      <c r="C86" s="5" t="s">
        <v>700</v>
      </c>
      <c r="D86" s="5" t="s">
        <v>1560</v>
      </c>
    </row>
    <row r="87" ht="15.75" hidden="1" customHeight="1">
      <c r="A87" s="5" t="s">
        <v>682</v>
      </c>
      <c r="B87" s="5" t="s">
        <v>707</v>
      </c>
      <c r="C87" s="5" t="s">
        <v>708</v>
      </c>
      <c r="D87" s="5" t="s">
        <v>1560</v>
      </c>
    </row>
    <row r="88" ht="15.75" hidden="1" customHeight="1">
      <c r="A88" s="5" t="s">
        <v>682</v>
      </c>
      <c r="B88" s="5" t="s">
        <v>715</v>
      </c>
      <c r="C88" s="5" t="s">
        <v>716</v>
      </c>
      <c r="D88" s="5" t="s">
        <v>1560</v>
      </c>
    </row>
    <row r="89" ht="15.75" hidden="1" customHeight="1">
      <c r="A89" s="5" t="s">
        <v>682</v>
      </c>
      <c r="B89" s="5" t="s">
        <v>725</v>
      </c>
      <c r="C89" s="5" t="s">
        <v>726</v>
      </c>
      <c r="D89" s="5" t="s">
        <v>1560</v>
      </c>
    </row>
    <row r="90" ht="15.75" hidden="1" customHeight="1">
      <c r="A90" s="5" t="s">
        <v>682</v>
      </c>
      <c r="B90" s="5" t="s">
        <v>732</v>
      </c>
      <c r="C90" s="5" t="s">
        <v>733</v>
      </c>
      <c r="D90" s="5" t="s">
        <v>1560</v>
      </c>
    </row>
    <row r="91" ht="15.75" hidden="1" customHeight="1">
      <c r="A91" s="5" t="s">
        <v>682</v>
      </c>
      <c r="B91" s="5" t="s">
        <v>739</v>
      </c>
      <c r="C91" s="5" t="s">
        <v>740</v>
      </c>
      <c r="D91" s="5" t="s">
        <v>1560</v>
      </c>
    </row>
    <row r="92" ht="15.75" hidden="1" customHeight="1">
      <c r="A92" s="5" t="s">
        <v>682</v>
      </c>
      <c r="B92" s="5" t="s">
        <v>749</v>
      </c>
      <c r="C92" s="5" t="s">
        <v>750</v>
      </c>
      <c r="D92" s="5" t="s">
        <v>1560</v>
      </c>
    </row>
    <row r="93" ht="15.75" hidden="1" customHeight="1">
      <c r="A93" s="5" t="s">
        <v>682</v>
      </c>
      <c r="B93" s="5" t="s">
        <v>757</v>
      </c>
      <c r="C93" s="5" t="s">
        <v>758</v>
      </c>
      <c r="D93" s="5" t="s">
        <v>1560</v>
      </c>
    </row>
    <row r="94" ht="15.75" hidden="1" customHeight="1">
      <c r="A94" s="5" t="s">
        <v>682</v>
      </c>
      <c r="B94" s="5" t="s">
        <v>765</v>
      </c>
      <c r="C94" s="5" t="s">
        <v>766</v>
      </c>
      <c r="D94" s="5" t="s">
        <v>1560</v>
      </c>
    </row>
    <row r="95" ht="15.75" hidden="1" customHeight="1">
      <c r="A95" s="5" t="s">
        <v>682</v>
      </c>
      <c r="B95" s="5" t="s">
        <v>773</v>
      </c>
      <c r="C95" s="5" t="s">
        <v>774</v>
      </c>
      <c r="D95" s="5" t="s">
        <v>1560</v>
      </c>
    </row>
    <row r="96" ht="15.75" hidden="1" customHeight="1">
      <c r="A96" s="5" t="s">
        <v>682</v>
      </c>
      <c r="B96" s="5" t="s">
        <v>782</v>
      </c>
      <c r="C96" s="5" t="s">
        <v>783</v>
      </c>
      <c r="D96" s="5" t="s">
        <v>1560</v>
      </c>
    </row>
    <row r="97" ht="15.75" hidden="1" customHeight="1">
      <c r="A97" s="5" t="s">
        <v>682</v>
      </c>
      <c r="B97" s="5" t="s">
        <v>791</v>
      </c>
      <c r="C97" s="5" t="s">
        <v>792</v>
      </c>
      <c r="D97" s="5" t="s">
        <v>1560</v>
      </c>
    </row>
    <row r="98" ht="15.75" hidden="1" customHeight="1">
      <c r="A98" s="5" t="s">
        <v>801</v>
      </c>
      <c r="B98" s="5" t="s">
        <v>802</v>
      </c>
      <c r="C98" s="5" t="s">
        <v>803</v>
      </c>
      <c r="D98" s="5" t="s">
        <v>1560</v>
      </c>
    </row>
    <row r="99" ht="15.75" hidden="1" customHeight="1">
      <c r="A99" s="5" t="s">
        <v>801</v>
      </c>
      <c r="B99" s="5" t="s">
        <v>810</v>
      </c>
      <c r="C99" s="5" t="s">
        <v>811</v>
      </c>
      <c r="D99" s="5" t="s">
        <v>1560</v>
      </c>
    </row>
    <row r="100" ht="15.75" hidden="1" customHeight="1">
      <c r="A100" s="5" t="s">
        <v>801</v>
      </c>
      <c r="B100" s="5" t="s">
        <v>818</v>
      </c>
      <c r="C100" s="5" t="s">
        <v>819</v>
      </c>
      <c r="D100" s="5" t="s">
        <v>1560</v>
      </c>
    </row>
    <row r="101" ht="15.75" hidden="1" customHeight="1">
      <c r="A101" s="5" t="s">
        <v>801</v>
      </c>
      <c r="B101" s="5" t="s">
        <v>826</v>
      </c>
      <c r="C101" s="5" t="s">
        <v>827</v>
      </c>
      <c r="D101" s="5" t="s">
        <v>1560</v>
      </c>
    </row>
    <row r="102" ht="15.75" hidden="1" customHeight="1">
      <c r="A102" s="5" t="s">
        <v>801</v>
      </c>
      <c r="B102" s="5" t="s">
        <v>836</v>
      </c>
      <c r="C102" s="5" t="s">
        <v>837</v>
      </c>
      <c r="D102" s="5" t="s">
        <v>1560</v>
      </c>
    </row>
    <row r="103" ht="15.75" hidden="1" customHeight="1">
      <c r="A103" s="5" t="s">
        <v>801</v>
      </c>
      <c r="B103" s="5" t="s">
        <v>844</v>
      </c>
      <c r="C103" s="5" t="s">
        <v>845</v>
      </c>
      <c r="D103" s="5" t="s">
        <v>1560</v>
      </c>
    </row>
    <row r="104" ht="15.75" hidden="1" customHeight="1">
      <c r="A104" s="5" t="s">
        <v>801</v>
      </c>
      <c r="B104" s="5" t="s">
        <v>853</v>
      </c>
      <c r="C104" s="5" t="s">
        <v>854</v>
      </c>
      <c r="D104" s="5" t="s">
        <v>1560</v>
      </c>
    </row>
    <row r="105" ht="15.75" hidden="1" customHeight="1">
      <c r="A105" s="5" t="s">
        <v>801</v>
      </c>
      <c r="B105" s="5" t="s">
        <v>860</v>
      </c>
      <c r="C105" s="5" t="s">
        <v>861</v>
      </c>
      <c r="D105" s="5" t="s">
        <v>1560</v>
      </c>
    </row>
    <row r="106" ht="15.75" hidden="1" customHeight="1">
      <c r="A106" s="5" t="s">
        <v>801</v>
      </c>
      <c r="B106" s="5" t="s">
        <v>867</v>
      </c>
      <c r="C106" s="5" t="s">
        <v>868</v>
      </c>
      <c r="D106" s="5" t="s">
        <v>1560</v>
      </c>
    </row>
    <row r="107" ht="15.75" hidden="1" customHeight="1">
      <c r="A107" s="5" t="s">
        <v>801</v>
      </c>
      <c r="B107" s="5" t="s">
        <v>875</v>
      </c>
      <c r="C107" s="5" t="s">
        <v>876</v>
      </c>
      <c r="D107" s="5" t="s">
        <v>1560</v>
      </c>
    </row>
    <row r="108" ht="15.75" hidden="1" customHeight="1">
      <c r="A108" s="5" t="s">
        <v>801</v>
      </c>
      <c r="B108" s="5" t="s">
        <v>883</v>
      </c>
      <c r="C108" s="5" t="s">
        <v>884</v>
      </c>
      <c r="D108" s="5" t="s">
        <v>1560</v>
      </c>
    </row>
    <row r="109" ht="15.75" hidden="1" customHeight="1">
      <c r="A109" s="5" t="s">
        <v>801</v>
      </c>
      <c r="B109" s="5" t="s">
        <v>890</v>
      </c>
      <c r="C109" s="5" t="s">
        <v>891</v>
      </c>
      <c r="D109" s="5" t="s">
        <v>1560</v>
      </c>
    </row>
    <row r="110" ht="15.75" hidden="1" customHeight="1">
      <c r="A110" s="5" t="s">
        <v>801</v>
      </c>
      <c r="B110" s="5" t="s">
        <v>890</v>
      </c>
      <c r="C110" s="5" t="s">
        <v>891</v>
      </c>
      <c r="D110" s="5" t="s">
        <v>1560</v>
      </c>
    </row>
    <row r="111" ht="15.75" hidden="1" customHeight="1">
      <c r="A111" s="5" t="s">
        <v>801</v>
      </c>
      <c r="B111" s="5" t="s">
        <v>898</v>
      </c>
      <c r="C111" s="5" t="s">
        <v>899</v>
      </c>
      <c r="D111" s="5" t="s">
        <v>1560</v>
      </c>
    </row>
    <row r="112" ht="15.75" hidden="1" customHeight="1">
      <c r="A112" s="5" t="s">
        <v>801</v>
      </c>
      <c r="B112" s="5" t="s">
        <v>906</v>
      </c>
      <c r="C112" s="5" t="s">
        <v>907</v>
      </c>
      <c r="D112" s="5" t="s">
        <v>1560</v>
      </c>
    </row>
    <row r="113" ht="15.75" hidden="1" customHeight="1"/>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sheetData>
  <autoFilter ref="$A$1:$Z$1000">
    <filterColumn colId="3">
      <filters>
        <filter val="SI"/>
      </filters>
    </filterColumn>
  </autoFilter>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30.0"/>
    <col customWidth="1" min="4" max="4" width="26.57"/>
    <col customWidth="1" min="5" max="5" width="27.0"/>
    <col customWidth="1" min="6" max="26" width="8.71"/>
  </cols>
  <sheetData>
    <row r="1">
      <c r="A1" s="1" t="s">
        <v>0</v>
      </c>
      <c r="B1" s="1" t="s">
        <v>1</v>
      </c>
      <c r="C1" s="1" t="s">
        <v>2</v>
      </c>
      <c r="D1" s="1" t="s">
        <v>2544</v>
      </c>
      <c r="E1" s="1" t="s">
        <v>2545</v>
      </c>
      <c r="F1" s="1" t="s">
        <v>2124</v>
      </c>
      <c r="G1" s="1" t="s">
        <v>16</v>
      </c>
    </row>
    <row r="2">
      <c r="A2" s="5" t="s">
        <v>26</v>
      </c>
      <c r="B2" s="5" t="s">
        <v>27</v>
      </c>
      <c r="C2" s="5" t="s">
        <v>28</v>
      </c>
      <c r="D2" s="5" t="s">
        <v>944</v>
      </c>
      <c r="E2" s="5" t="s">
        <v>2350</v>
      </c>
      <c r="F2" s="5" t="s">
        <v>968</v>
      </c>
    </row>
    <row r="3">
      <c r="A3" s="5" t="s">
        <v>26</v>
      </c>
      <c r="B3" s="5" t="s">
        <v>27</v>
      </c>
      <c r="C3" s="5" t="s">
        <v>28</v>
      </c>
      <c r="D3" s="5" t="s">
        <v>944</v>
      </c>
      <c r="E3" s="5" t="s">
        <v>2280</v>
      </c>
      <c r="F3" s="5" t="s">
        <v>1110</v>
      </c>
    </row>
    <row r="4">
      <c r="A4" s="5" t="s">
        <v>26</v>
      </c>
      <c r="B4" s="5" t="s">
        <v>39</v>
      </c>
      <c r="C4" s="5" t="s">
        <v>40</v>
      </c>
      <c r="D4" s="5" t="s">
        <v>944</v>
      </c>
      <c r="E4" s="5" t="s">
        <v>2546</v>
      </c>
      <c r="F4" s="5" t="s">
        <v>974</v>
      </c>
    </row>
    <row r="5" hidden="1">
      <c r="A5" s="5" t="s">
        <v>26</v>
      </c>
      <c r="B5" s="5" t="s">
        <v>50</v>
      </c>
      <c r="C5" s="5" t="s">
        <v>51</v>
      </c>
      <c r="D5" s="5" t="s">
        <v>1560</v>
      </c>
    </row>
    <row r="6">
      <c r="A6" s="5" t="s">
        <v>26</v>
      </c>
      <c r="B6" s="5" t="s">
        <v>60</v>
      </c>
      <c r="C6" s="5" t="s">
        <v>61</v>
      </c>
      <c r="D6" s="5" t="s">
        <v>944</v>
      </c>
      <c r="E6" s="5" t="s">
        <v>2547</v>
      </c>
      <c r="F6" s="5" t="s">
        <v>950</v>
      </c>
    </row>
    <row r="7">
      <c r="A7" s="5" t="s">
        <v>26</v>
      </c>
      <c r="B7" s="5" t="s">
        <v>60</v>
      </c>
      <c r="C7" s="5" t="s">
        <v>61</v>
      </c>
      <c r="D7" s="5" t="s">
        <v>944</v>
      </c>
      <c r="E7" s="5" t="s">
        <v>2548</v>
      </c>
      <c r="F7" s="5" t="s">
        <v>974</v>
      </c>
    </row>
    <row r="8">
      <c r="A8" s="5" t="s">
        <v>26</v>
      </c>
      <c r="B8" s="5" t="s">
        <v>71</v>
      </c>
      <c r="C8" s="5" t="s">
        <v>72</v>
      </c>
      <c r="D8" s="5" t="s">
        <v>944</v>
      </c>
      <c r="E8" s="5" t="s">
        <v>2355</v>
      </c>
      <c r="F8" s="5" t="s">
        <v>1111</v>
      </c>
    </row>
    <row r="9" hidden="1">
      <c r="A9" s="5" t="s">
        <v>26</v>
      </c>
      <c r="B9" s="5" t="s">
        <v>80</v>
      </c>
      <c r="C9" s="5" t="s">
        <v>81</v>
      </c>
      <c r="D9" s="5" t="s">
        <v>1560</v>
      </c>
    </row>
    <row r="10" hidden="1">
      <c r="A10" s="5" t="s">
        <v>26</v>
      </c>
      <c r="B10" s="5" t="s">
        <v>91</v>
      </c>
      <c r="C10" s="5" t="s">
        <v>92</v>
      </c>
      <c r="D10" s="5" t="s">
        <v>1560</v>
      </c>
    </row>
    <row r="11" hidden="1">
      <c r="A11" s="5" t="s">
        <v>26</v>
      </c>
      <c r="B11" s="5" t="s">
        <v>100</v>
      </c>
      <c r="C11" s="5" t="s">
        <v>101</v>
      </c>
      <c r="D11" s="5" t="s">
        <v>1560</v>
      </c>
    </row>
    <row r="12" hidden="1">
      <c r="A12" s="5" t="s">
        <v>26</v>
      </c>
      <c r="B12" s="5" t="s">
        <v>110</v>
      </c>
      <c r="C12" s="5" t="s">
        <v>111</v>
      </c>
      <c r="D12" s="5" t="s">
        <v>1560</v>
      </c>
    </row>
    <row r="13">
      <c r="A13" s="5" t="s">
        <v>121</v>
      </c>
      <c r="B13" s="5" t="s">
        <v>122</v>
      </c>
      <c r="C13" s="5" t="s">
        <v>123</v>
      </c>
      <c r="D13" s="5" t="s">
        <v>944</v>
      </c>
      <c r="E13" s="5" t="s">
        <v>2369</v>
      </c>
      <c r="F13" s="5" t="s">
        <v>1111</v>
      </c>
    </row>
    <row r="14">
      <c r="A14" s="5" t="s">
        <v>121</v>
      </c>
      <c r="B14" s="5" t="s">
        <v>133</v>
      </c>
      <c r="C14" s="5" t="s">
        <v>134</v>
      </c>
      <c r="D14" s="5" t="s">
        <v>944</v>
      </c>
      <c r="E14" s="5" t="s">
        <v>2369</v>
      </c>
      <c r="F14" s="5" t="s">
        <v>1128</v>
      </c>
    </row>
    <row r="15" hidden="1">
      <c r="A15" s="5" t="s">
        <v>121</v>
      </c>
      <c r="B15" s="5" t="s">
        <v>142</v>
      </c>
      <c r="C15" s="5" t="s">
        <v>143</v>
      </c>
      <c r="D15" s="5" t="s">
        <v>1560</v>
      </c>
    </row>
    <row r="16" hidden="1">
      <c r="A16" s="5" t="s">
        <v>121</v>
      </c>
      <c r="B16" s="5" t="s">
        <v>153</v>
      </c>
      <c r="C16" s="5" t="s">
        <v>154</v>
      </c>
      <c r="D16" s="5" t="s">
        <v>1560</v>
      </c>
    </row>
    <row r="17">
      <c r="A17" s="5" t="s">
        <v>121</v>
      </c>
      <c r="B17" s="5" t="s">
        <v>161</v>
      </c>
      <c r="C17" s="5" t="s">
        <v>162</v>
      </c>
      <c r="D17" s="5" t="s">
        <v>944</v>
      </c>
      <c r="E17" s="5" t="s">
        <v>2359</v>
      </c>
      <c r="F17" s="5" t="s">
        <v>1235</v>
      </c>
    </row>
    <row r="18">
      <c r="A18" s="5" t="s">
        <v>121</v>
      </c>
      <c r="B18" s="5" t="s">
        <v>170</v>
      </c>
      <c r="C18" s="5" t="s">
        <v>171</v>
      </c>
      <c r="D18" s="5" t="s">
        <v>944</v>
      </c>
      <c r="E18" s="5" t="s">
        <v>2549</v>
      </c>
      <c r="F18" s="5" t="s">
        <v>1235</v>
      </c>
    </row>
    <row r="19" hidden="1">
      <c r="A19" s="5" t="s">
        <v>121</v>
      </c>
      <c r="B19" s="5" t="s">
        <v>180</v>
      </c>
      <c r="C19" s="5" t="s">
        <v>181</v>
      </c>
      <c r="D19" s="5" t="s">
        <v>1560</v>
      </c>
    </row>
    <row r="20">
      <c r="A20" s="5" t="s">
        <v>121</v>
      </c>
      <c r="B20" s="5" t="s">
        <v>190</v>
      </c>
      <c r="C20" s="5" t="s">
        <v>191</v>
      </c>
      <c r="D20" s="5" t="s">
        <v>944</v>
      </c>
      <c r="E20" s="5" t="s">
        <v>2550</v>
      </c>
      <c r="F20" s="5" t="s">
        <v>968</v>
      </c>
    </row>
    <row r="21" ht="15.75" customHeight="1">
      <c r="A21" s="5" t="s">
        <v>121</v>
      </c>
      <c r="B21" s="5" t="s">
        <v>190</v>
      </c>
      <c r="C21" s="5" t="s">
        <v>191</v>
      </c>
      <c r="D21" s="5" t="s">
        <v>944</v>
      </c>
      <c r="E21" s="5" t="s">
        <v>2551</v>
      </c>
      <c r="F21" s="5" t="s">
        <v>974</v>
      </c>
    </row>
    <row r="22" ht="15.75" hidden="1" customHeight="1">
      <c r="A22" s="5" t="s">
        <v>121</v>
      </c>
      <c r="B22" s="5" t="s">
        <v>201</v>
      </c>
      <c r="C22" s="5" t="s">
        <v>202</v>
      </c>
      <c r="D22" s="5" t="s">
        <v>1560</v>
      </c>
    </row>
    <row r="23" ht="15.75" customHeight="1">
      <c r="A23" s="5" t="s">
        <v>121</v>
      </c>
      <c r="B23" s="5" t="s">
        <v>211</v>
      </c>
      <c r="C23" s="5" t="s">
        <v>212</v>
      </c>
      <c r="D23" s="5" t="s">
        <v>944</v>
      </c>
      <c r="E23" s="5" t="s">
        <v>2369</v>
      </c>
      <c r="F23" s="5" t="s">
        <v>1128</v>
      </c>
    </row>
    <row r="24" ht="15.75" customHeight="1">
      <c r="A24" s="5" t="s">
        <v>121</v>
      </c>
      <c r="B24" s="5" t="s">
        <v>211</v>
      </c>
      <c r="C24" s="5" t="s">
        <v>212</v>
      </c>
      <c r="D24" s="5" t="s">
        <v>944</v>
      </c>
      <c r="E24" s="5" t="s">
        <v>2549</v>
      </c>
      <c r="F24" s="5" t="s">
        <v>1113</v>
      </c>
    </row>
    <row r="25" ht="15.75" hidden="1" customHeight="1">
      <c r="A25" s="5" t="s">
        <v>121</v>
      </c>
      <c r="B25" s="5" t="s">
        <v>219</v>
      </c>
      <c r="C25" s="5" t="s">
        <v>220</v>
      </c>
      <c r="D25" s="5" t="s">
        <v>1560</v>
      </c>
    </row>
    <row r="26" ht="15.75" customHeight="1">
      <c r="A26" s="5" t="s">
        <v>121</v>
      </c>
      <c r="B26" s="5" t="s">
        <v>227</v>
      </c>
      <c r="C26" s="5" t="s">
        <v>228</v>
      </c>
      <c r="D26" s="5" t="s">
        <v>944</v>
      </c>
      <c r="E26" s="5" t="s">
        <v>2369</v>
      </c>
      <c r="F26" s="5" t="s">
        <v>1111</v>
      </c>
    </row>
    <row r="27" ht="15.75" hidden="1" customHeight="1">
      <c r="A27" s="5" t="s">
        <v>121</v>
      </c>
      <c r="B27" s="5" t="s">
        <v>236</v>
      </c>
      <c r="C27" s="5" t="s">
        <v>237</v>
      </c>
      <c r="D27" s="5" t="s">
        <v>1560</v>
      </c>
    </row>
    <row r="28" ht="15.75" customHeight="1">
      <c r="A28" s="5" t="s">
        <v>121</v>
      </c>
      <c r="B28" s="5" t="s">
        <v>244</v>
      </c>
      <c r="C28" s="5" t="s">
        <v>245</v>
      </c>
      <c r="D28" s="5" t="s">
        <v>944</v>
      </c>
      <c r="E28" s="5" t="s">
        <v>2552</v>
      </c>
      <c r="F28" s="5" t="s">
        <v>1110</v>
      </c>
      <c r="G28" s="5" t="s">
        <v>2553</v>
      </c>
    </row>
    <row r="29" ht="15.75" hidden="1" customHeight="1">
      <c r="A29" s="5" t="s">
        <v>121</v>
      </c>
      <c r="B29" s="5" t="s">
        <v>253</v>
      </c>
      <c r="C29" s="5" t="s">
        <v>254</v>
      </c>
      <c r="D29" s="5" t="s">
        <v>1560</v>
      </c>
    </row>
    <row r="30" ht="15.75" hidden="1" customHeight="1">
      <c r="A30" s="5" t="s">
        <v>121</v>
      </c>
      <c r="B30" s="5" t="s">
        <v>261</v>
      </c>
      <c r="C30" s="5" t="s">
        <v>262</v>
      </c>
      <c r="D30" s="5" t="s">
        <v>1560</v>
      </c>
    </row>
    <row r="31" ht="15.75" hidden="1" customHeight="1">
      <c r="A31" s="5" t="s">
        <v>121</v>
      </c>
      <c r="B31" s="5" t="s">
        <v>270</v>
      </c>
      <c r="C31" s="5" t="s">
        <v>271</v>
      </c>
      <c r="D31" s="5" t="s">
        <v>1560</v>
      </c>
    </row>
    <row r="32" ht="15.75" hidden="1" customHeight="1">
      <c r="A32" s="5" t="s">
        <v>121</v>
      </c>
      <c r="B32" s="5" t="s">
        <v>279</v>
      </c>
      <c r="C32" s="5" t="s">
        <v>280</v>
      </c>
      <c r="D32" s="5" t="s">
        <v>1560</v>
      </c>
    </row>
    <row r="33" ht="15.75" customHeight="1">
      <c r="A33" s="5" t="s">
        <v>121</v>
      </c>
      <c r="B33" s="5" t="s">
        <v>288</v>
      </c>
      <c r="C33" s="5" t="s">
        <v>289</v>
      </c>
      <c r="D33" s="5" t="s">
        <v>944</v>
      </c>
      <c r="E33" s="5" t="s">
        <v>2554</v>
      </c>
      <c r="F33" s="5" t="s">
        <v>956</v>
      </c>
    </row>
    <row r="34" ht="15.75" customHeight="1">
      <c r="A34" s="5" t="s">
        <v>121</v>
      </c>
      <c r="B34" s="5" t="s">
        <v>288</v>
      </c>
      <c r="C34" s="5" t="s">
        <v>289</v>
      </c>
      <c r="D34" s="5" t="s">
        <v>944</v>
      </c>
      <c r="E34" s="5" t="s">
        <v>2555</v>
      </c>
      <c r="F34" s="5" t="s">
        <v>974</v>
      </c>
    </row>
    <row r="35" ht="15.75" customHeight="1">
      <c r="A35" s="5" t="s">
        <v>121</v>
      </c>
      <c r="B35" s="5" t="s">
        <v>296</v>
      </c>
      <c r="C35" s="5" t="s">
        <v>297</v>
      </c>
      <c r="D35" s="5" t="s">
        <v>944</v>
      </c>
      <c r="E35" s="5" t="s">
        <v>2306</v>
      </c>
      <c r="F35" s="5" t="s">
        <v>1623</v>
      </c>
      <c r="G35" s="5" t="s">
        <v>2556</v>
      </c>
    </row>
    <row r="36" ht="15.75" hidden="1" customHeight="1">
      <c r="A36" s="5" t="s">
        <v>121</v>
      </c>
      <c r="B36" s="5" t="s">
        <v>304</v>
      </c>
      <c r="C36" s="5" t="s">
        <v>305</v>
      </c>
      <c r="D36" s="5" t="s">
        <v>1560</v>
      </c>
    </row>
    <row r="37" ht="15.75" hidden="1" customHeight="1">
      <c r="A37" s="5" t="s">
        <v>121</v>
      </c>
      <c r="B37" s="5" t="s">
        <v>313</v>
      </c>
      <c r="C37" s="5" t="s">
        <v>314</v>
      </c>
      <c r="D37" s="5" t="s">
        <v>1560</v>
      </c>
    </row>
    <row r="38" ht="15.75" customHeight="1">
      <c r="A38" s="5" t="s">
        <v>121</v>
      </c>
      <c r="B38" s="5" t="s">
        <v>321</v>
      </c>
      <c r="C38" s="5" t="s">
        <v>322</v>
      </c>
      <c r="D38" s="5" t="s">
        <v>944</v>
      </c>
      <c r="E38" s="5" t="s">
        <v>2344</v>
      </c>
      <c r="F38" s="5" t="s">
        <v>1661</v>
      </c>
    </row>
    <row r="39" ht="15.75" hidden="1" customHeight="1">
      <c r="A39" s="5" t="s">
        <v>121</v>
      </c>
      <c r="B39" s="5" t="s">
        <v>330</v>
      </c>
      <c r="C39" s="5" t="s">
        <v>331</v>
      </c>
      <c r="D39" s="5" t="s">
        <v>1560</v>
      </c>
    </row>
    <row r="40" ht="15.75" hidden="1" customHeight="1">
      <c r="A40" s="5" t="s">
        <v>121</v>
      </c>
      <c r="B40" s="5" t="s">
        <v>338</v>
      </c>
      <c r="C40" s="5" t="s">
        <v>339</v>
      </c>
      <c r="D40" s="5" t="s">
        <v>1560</v>
      </c>
    </row>
    <row r="41" ht="15.75" customHeight="1">
      <c r="A41" s="5" t="s">
        <v>121</v>
      </c>
      <c r="B41" s="5" t="s">
        <v>348</v>
      </c>
      <c r="C41" s="5" t="s">
        <v>349</v>
      </c>
      <c r="D41" s="5" t="s">
        <v>944</v>
      </c>
      <c r="E41" s="5" t="s">
        <v>2557</v>
      </c>
      <c r="F41" s="5" t="s">
        <v>1006</v>
      </c>
    </row>
    <row r="42" ht="15.75" hidden="1" customHeight="1">
      <c r="A42" s="5" t="s">
        <v>121</v>
      </c>
      <c r="B42" s="5" t="s">
        <v>355</v>
      </c>
      <c r="C42" s="5" t="s">
        <v>356</v>
      </c>
      <c r="D42" s="5" t="s">
        <v>1560</v>
      </c>
    </row>
    <row r="43" ht="15.75" customHeight="1">
      <c r="A43" s="5" t="s">
        <v>121</v>
      </c>
      <c r="B43" s="5" t="s">
        <v>365</v>
      </c>
      <c r="C43" s="5" t="s">
        <v>366</v>
      </c>
      <c r="D43" s="5" t="s">
        <v>944</v>
      </c>
      <c r="E43" s="5" t="s">
        <v>2558</v>
      </c>
      <c r="F43" s="5" t="s">
        <v>968</v>
      </c>
    </row>
    <row r="44" ht="15.75" customHeight="1">
      <c r="A44" s="5" t="s">
        <v>121</v>
      </c>
      <c r="B44" s="5" t="s">
        <v>365</v>
      </c>
      <c r="C44" s="5" t="s">
        <v>366</v>
      </c>
      <c r="D44" s="5" t="s">
        <v>944</v>
      </c>
      <c r="E44" s="5" t="s">
        <v>2344</v>
      </c>
      <c r="F44" s="5" t="s">
        <v>968</v>
      </c>
    </row>
    <row r="45" ht="15.75" hidden="1" customHeight="1">
      <c r="A45" s="5" t="s">
        <v>121</v>
      </c>
      <c r="B45" s="5" t="s">
        <v>375</v>
      </c>
      <c r="C45" s="5" t="s">
        <v>376</v>
      </c>
      <c r="D45" s="5" t="s">
        <v>1560</v>
      </c>
    </row>
    <row r="46" ht="15.75" hidden="1" customHeight="1">
      <c r="A46" s="5" t="s">
        <v>121</v>
      </c>
      <c r="B46" s="5" t="s">
        <v>375</v>
      </c>
      <c r="C46" s="5" t="s">
        <v>376</v>
      </c>
      <c r="D46" s="5" t="s">
        <v>1560</v>
      </c>
    </row>
    <row r="47" ht="15.75" customHeight="1">
      <c r="A47" s="5" t="s">
        <v>121</v>
      </c>
      <c r="B47" s="5" t="s">
        <v>387</v>
      </c>
      <c r="C47" s="5" t="s">
        <v>388</v>
      </c>
      <c r="D47" s="5" t="s">
        <v>944</v>
      </c>
      <c r="E47" s="5" t="s">
        <v>2318</v>
      </c>
      <c r="F47" s="5" t="s">
        <v>1110</v>
      </c>
    </row>
    <row r="48" ht="15.75" hidden="1" customHeight="1">
      <c r="A48" s="5" t="s">
        <v>121</v>
      </c>
      <c r="B48" s="5" t="s">
        <v>395</v>
      </c>
      <c r="C48" s="5" t="s">
        <v>396</v>
      </c>
      <c r="D48" s="5" t="s">
        <v>1560</v>
      </c>
    </row>
    <row r="49" ht="15.75" customHeight="1">
      <c r="A49" s="5" t="s">
        <v>121</v>
      </c>
      <c r="B49" s="5" t="s">
        <v>405</v>
      </c>
      <c r="C49" s="5" t="s">
        <v>406</v>
      </c>
      <c r="D49" s="5" t="s">
        <v>944</v>
      </c>
      <c r="E49" s="5" t="s">
        <v>2559</v>
      </c>
      <c r="F49" s="5" t="s">
        <v>1006</v>
      </c>
    </row>
    <row r="50" ht="15.75" customHeight="1">
      <c r="A50" s="5" t="s">
        <v>121</v>
      </c>
      <c r="B50" s="5" t="s">
        <v>405</v>
      </c>
      <c r="C50" s="5" t="s">
        <v>406</v>
      </c>
      <c r="D50" s="5" t="s">
        <v>944</v>
      </c>
      <c r="E50" s="5" t="s">
        <v>2344</v>
      </c>
      <c r="F50" s="5" t="s">
        <v>968</v>
      </c>
    </row>
    <row r="51" ht="15.75" customHeight="1">
      <c r="A51" s="5" t="s">
        <v>121</v>
      </c>
      <c r="B51" s="5" t="s">
        <v>412</v>
      </c>
      <c r="C51" s="5" t="s">
        <v>413</v>
      </c>
      <c r="D51" s="5" t="s">
        <v>944</v>
      </c>
      <c r="E51" s="5" t="s">
        <v>2560</v>
      </c>
      <c r="F51" s="5" t="s">
        <v>950</v>
      </c>
    </row>
    <row r="52" ht="15.75" customHeight="1">
      <c r="A52" s="5" t="s">
        <v>121</v>
      </c>
      <c r="B52" s="5" t="s">
        <v>412</v>
      </c>
      <c r="C52" s="5" t="s">
        <v>413</v>
      </c>
      <c r="D52" s="5" t="s">
        <v>944</v>
      </c>
      <c r="E52" s="5" t="s">
        <v>2319</v>
      </c>
      <c r="F52" s="5" t="s">
        <v>1128</v>
      </c>
    </row>
    <row r="53" ht="15.75" customHeight="1">
      <c r="A53" s="5" t="s">
        <v>419</v>
      </c>
      <c r="B53" s="5" t="s">
        <v>420</v>
      </c>
      <c r="C53" s="5" t="s">
        <v>421</v>
      </c>
      <c r="D53" s="5" t="s">
        <v>944</v>
      </c>
      <c r="E53" s="5" t="s">
        <v>2561</v>
      </c>
      <c r="F53" s="5" t="s">
        <v>957</v>
      </c>
    </row>
    <row r="54" ht="15.75" customHeight="1">
      <c r="A54" s="5" t="s">
        <v>419</v>
      </c>
      <c r="B54" s="5" t="s">
        <v>420</v>
      </c>
      <c r="C54" s="5" t="s">
        <v>421</v>
      </c>
      <c r="D54" s="5" t="s">
        <v>944</v>
      </c>
      <c r="E54" s="5" t="s">
        <v>2562</v>
      </c>
      <c r="F54" s="5" t="s">
        <v>968</v>
      </c>
    </row>
    <row r="55" ht="15.75" hidden="1" customHeight="1">
      <c r="A55" s="5" t="s">
        <v>419</v>
      </c>
      <c r="B55" s="5" t="s">
        <v>430</v>
      </c>
      <c r="C55" s="5" t="s">
        <v>431</v>
      </c>
      <c r="D55" s="5" t="s">
        <v>1560</v>
      </c>
    </row>
    <row r="56" ht="15.75" customHeight="1">
      <c r="A56" s="5" t="s">
        <v>419</v>
      </c>
      <c r="B56" s="5" t="s">
        <v>438</v>
      </c>
      <c r="C56" s="5" t="s">
        <v>439</v>
      </c>
      <c r="D56" s="5" t="s">
        <v>944</v>
      </c>
      <c r="E56" s="5" t="s">
        <v>2563</v>
      </c>
      <c r="F56" s="5" t="s">
        <v>1636</v>
      </c>
    </row>
    <row r="57" ht="15.75" customHeight="1">
      <c r="A57" s="5" t="s">
        <v>419</v>
      </c>
      <c r="B57" s="5" t="s">
        <v>438</v>
      </c>
      <c r="C57" s="5" t="s">
        <v>439</v>
      </c>
      <c r="D57" s="5" t="s">
        <v>944</v>
      </c>
      <c r="E57" s="5" t="s">
        <v>2564</v>
      </c>
      <c r="F57" s="5" t="s">
        <v>1094</v>
      </c>
    </row>
    <row r="58" ht="15.75" hidden="1" customHeight="1">
      <c r="A58" s="5" t="s">
        <v>419</v>
      </c>
      <c r="B58" s="5" t="s">
        <v>446</v>
      </c>
      <c r="C58" s="5" t="s">
        <v>447</v>
      </c>
      <c r="D58" s="5" t="s">
        <v>1560</v>
      </c>
    </row>
    <row r="59" ht="15.75" customHeight="1">
      <c r="A59" s="5" t="s">
        <v>419</v>
      </c>
      <c r="B59" s="5" t="s">
        <v>453</v>
      </c>
      <c r="C59" s="5" t="s">
        <v>454</v>
      </c>
      <c r="D59" s="5" t="s">
        <v>944</v>
      </c>
      <c r="E59" s="5" t="s">
        <v>2355</v>
      </c>
      <c r="F59" s="5" t="s">
        <v>949</v>
      </c>
    </row>
    <row r="60" ht="15.75" hidden="1" customHeight="1">
      <c r="A60" s="5" t="s">
        <v>419</v>
      </c>
      <c r="B60" s="5" t="s">
        <v>461</v>
      </c>
      <c r="C60" s="5" t="s">
        <v>462</v>
      </c>
      <c r="D60" s="5" t="s">
        <v>1560</v>
      </c>
    </row>
    <row r="61" ht="15.75" customHeight="1">
      <c r="A61" s="5" t="s">
        <v>419</v>
      </c>
      <c r="B61" s="5" t="s">
        <v>469</v>
      </c>
      <c r="C61" s="5" t="s">
        <v>470</v>
      </c>
      <c r="D61" s="5" t="s">
        <v>944</v>
      </c>
      <c r="E61" s="5" t="s">
        <v>2565</v>
      </c>
      <c r="F61" s="5" t="s">
        <v>1636</v>
      </c>
    </row>
    <row r="62" ht="15.75" hidden="1" customHeight="1">
      <c r="A62" s="5" t="s">
        <v>419</v>
      </c>
      <c r="B62" s="5" t="s">
        <v>477</v>
      </c>
      <c r="C62" s="5" t="s">
        <v>478</v>
      </c>
      <c r="D62" s="5" t="s">
        <v>1560</v>
      </c>
    </row>
    <row r="63" ht="15.75" hidden="1" customHeight="1">
      <c r="A63" s="5" t="s">
        <v>419</v>
      </c>
      <c r="B63" s="5" t="s">
        <v>477</v>
      </c>
      <c r="C63" s="5" t="s">
        <v>478</v>
      </c>
      <c r="D63" s="5" t="s">
        <v>1560</v>
      </c>
    </row>
    <row r="64" ht="15.75" customHeight="1">
      <c r="A64" s="5" t="s">
        <v>419</v>
      </c>
      <c r="B64" s="5" t="s">
        <v>488</v>
      </c>
      <c r="C64" s="5" t="s">
        <v>489</v>
      </c>
      <c r="D64" s="5" t="s">
        <v>944</v>
      </c>
      <c r="E64" s="5" t="s">
        <v>2564</v>
      </c>
      <c r="F64" s="5" t="s">
        <v>1036</v>
      </c>
    </row>
    <row r="65" ht="15.75" customHeight="1">
      <c r="A65" s="5" t="s">
        <v>419</v>
      </c>
      <c r="B65" s="5" t="s">
        <v>488</v>
      </c>
      <c r="C65" s="5" t="s">
        <v>489</v>
      </c>
      <c r="D65" s="5" t="s">
        <v>944</v>
      </c>
      <c r="E65" s="5" t="s">
        <v>2566</v>
      </c>
      <c r="F65" s="5" t="s">
        <v>950</v>
      </c>
    </row>
    <row r="66" ht="15.75" customHeight="1">
      <c r="A66" s="5" t="s">
        <v>419</v>
      </c>
      <c r="B66" s="5" t="s">
        <v>498</v>
      </c>
      <c r="C66" s="5" t="s">
        <v>499</v>
      </c>
      <c r="D66" s="5" t="s">
        <v>944</v>
      </c>
      <c r="E66" s="5" t="s">
        <v>2567</v>
      </c>
      <c r="F66" s="5" t="s">
        <v>968</v>
      </c>
    </row>
    <row r="67" ht="15.75" hidden="1" customHeight="1">
      <c r="A67" s="5" t="s">
        <v>419</v>
      </c>
      <c r="B67" s="5" t="s">
        <v>507</v>
      </c>
      <c r="C67" s="5" t="s">
        <v>508</v>
      </c>
      <c r="D67" s="5" t="s">
        <v>1560</v>
      </c>
    </row>
    <row r="68" ht="15.75" customHeight="1">
      <c r="A68" s="5" t="s">
        <v>419</v>
      </c>
      <c r="B68" s="5" t="s">
        <v>517</v>
      </c>
      <c r="C68" s="5" t="s">
        <v>518</v>
      </c>
      <c r="D68" s="5" t="s">
        <v>944</v>
      </c>
      <c r="E68" s="5" t="s">
        <v>2568</v>
      </c>
      <c r="F68" s="5" t="s">
        <v>956</v>
      </c>
    </row>
    <row r="69" ht="15.75" customHeight="1">
      <c r="A69" s="5" t="s">
        <v>419</v>
      </c>
      <c r="B69" s="5" t="s">
        <v>517</v>
      </c>
      <c r="C69" s="5" t="s">
        <v>518</v>
      </c>
      <c r="D69" s="5" t="s">
        <v>944</v>
      </c>
      <c r="E69" s="5" t="s">
        <v>2569</v>
      </c>
      <c r="F69" s="5" t="s">
        <v>974</v>
      </c>
    </row>
    <row r="70" ht="15.75" hidden="1" customHeight="1">
      <c r="A70" s="5" t="s">
        <v>419</v>
      </c>
      <c r="B70" s="5" t="s">
        <v>527</v>
      </c>
      <c r="C70" s="5" t="s">
        <v>528</v>
      </c>
      <c r="D70" s="5" t="s">
        <v>1560</v>
      </c>
    </row>
    <row r="71" ht="15.75" hidden="1" customHeight="1">
      <c r="A71" s="5" t="s">
        <v>419</v>
      </c>
      <c r="B71" s="5" t="s">
        <v>533</v>
      </c>
      <c r="C71" s="5" t="s">
        <v>534</v>
      </c>
      <c r="D71" s="5" t="s">
        <v>1560</v>
      </c>
    </row>
    <row r="72" ht="15.75" hidden="1" customHeight="1">
      <c r="A72" s="5" t="s">
        <v>419</v>
      </c>
      <c r="B72" s="5" t="s">
        <v>541</v>
      </c>
      <c r="C72" s="5" t="s">
        <v>542</v>
      </c>
      <c r="D72" s="5" t="s">
        <v>1560</v>
      </c>
    </row>
    <row r="73" ht="15.75" hidden="1" customHeight="1">
      <c r="A73" s="5" t="s">
        <v>419</v>
      </c>
      <c r="B73" s="5" t="s">
        <v>550</v>
      </c>
      <c r="C73" s="5" t="s">
        <v>551</v>
      </c>
      <c r="D73" s="5" t="s">
        <v>1560</v>
      </c>
    </row>
    <row r="74" ht="15.75" hidden="1" customHeight="1">
      <c r="A74" s="5" t="s">
        <v>419</v>
      </c>
      <c r="B74" s="5" t="s">
        <v>559</v>
      </c>
      <c r="C74" s="5" t="s">
        <v>560</v>
      </c>
      <c r="D74" s="5" t="s">
        <v>1560</v>
      </c>
    </row>
    <row r="75" ht="15.75" customHeight="1">
      <c r="A75" s="5" t="s">
        <v>567</v>
      </c>
      <c r="B75" s="5" t="s">
        <v>568</v>
      </c>
      <c r="C75" s="5" t="s">
        <v>569</v>
      </c>
      <c r="D75" s="5" t="s">
        <v>944</v>
      </c>
      <c r="E75" s="5" t="s">
        <v>2570</v>
      </c>
      <c r="F75" s="5" t="s">
        <v>968</v>
      </c>
    </row>
    <row r="76" ht="15.75" customHeight="1">
      <c r="A76" s="5" t="s">
        <v>567</v>
      </c>
      <c r="B76" s="5" t="s">
        <v>577</v>
      </c>
      <c r="C76" s="5" t="s">
        <v>578</v>
      </c>
      <c r="D76" s="5" t="s">
        <v>944</v>
      </c>
      <c r="E76" s="5" t="s">
        <v>2390</v>
      </c>
      <c r="F76" s="5" t="s">
        <v>1145</v>
      </c>
    </row>
    <row r="77" ht="15.75" customHeight="1">
      <c r="A77" s="5" t="s">
        <v>567</v>
      </c>
      <c r="B77" s="5" t="s">
        <v>577</v>
      </c>
      <c r="C77" s="5" t="s">
        <v>578</v>
      </c>
      <c r="D77" s="5" t="s">
        <v>944</v>
      </c>
      <c r="E77" s="5" t="s">
        <v>2570</v>
      </c>
      <c r="F77" s="5" t="s">
        <v>968</v>
      </c>
    </row>
    <row r="78" ht="15.75" hidden="1" customHeight="1">
      <c r="A78" s="5" t="s">
        <v>567</v>
      </c>
      <c r="B78" s="5" t="s">
        <v>586</v>
      </c>
      <c r="C78" s="5" t="s">
        <v>587</v>
      </c>
      <c r="D78" s="5" t="s">
        <v>1560</v>
      </c>
    </row>
    <row r="79" ht="15.75" customHeight="1">
      <c r="A79" s="5" t="s">
        <v>567</v>
      </c>
      <c r="B79" s="5" t="s">
        <v>597</v>
      </c>
      <c r="C79" s="5" t="s">
        <v>598</v>
      </c>
      <c r="D79" s="5" t="s">
        <v>944</v>
      </c>
      <c r="E79" s="5" t="s">
        <v>2569</v>
      </c>
      <c r="F79" s="5" t="s">
        <v>956</v>
      </c>
    </row>
    <row r="80" ht="15.75" customHeight="1">
      <c r="A80" s="5" t="s">
        <v>567</v>
      </c>
      <c r="B80" s="5" t="s">
        <v>597</v>
      </c>
      <c r="C80" s="5" t="s">
        <v>598</v>
      </c>
      <c r="D80" s="5" t="s">
        <v>944</v>
      </c>
      <c r="E80" s="5" t="s">
        <v>2359</v>
      </c>
      <c r="F80" s="5" t="s">
        <v>1036</v>
      </c>
    </row>
    <row r="81" ht="15.75" customHeight="1">
      <c r="A81" s="5" t="s">
        <v>567</v>
      </c>
      <c r="B81" s="5" t="s">
        <v>606</v>
      </c>
      <c r="C81" s="5" t="s">
        <v>607</v>
      </c>
      <c r="D81" s="5" t="s">
        <v>944</v>
      </c>
      <c r="E81" s="5" t="s">
        <v>2372</v>
      </c>
      <c r="F81" s="5" t="s">
        <v>1006</v>
      </c>
    </row>
    <row r="82" ht="15.75" customHeight="1">
      <c r="A82" s="5" t="s">
        <v>567</v>
      </c>
      <c r="B82" s="5" t="s">
        <v>606</v>
      </c>
      <c r="C82" s="5" t="s">
        <v>607</v>
      </c>
      <c r="D82" s="5" t="s">
        <v>944</v>
      </c>
      <c r="E82" s="5" t="s">
        <v>2359</v>
      </c>
      <c r="F82" s="5" t="s">
        <v>974</v>
      </c>
    </row>
    <row r="83" ht="15.75" customHeight="1">
      <c r="A83" s="5" t="s">
        <v>567</v>
      </c>
      <c r="B83" s="5" t="s">
        <v>606</v>
      </c>
      <c r="C83" s="5" t="s">
        <v>607</v>
      </c>
      <c r="D83" s="5" t="s">
        <v>944</v>
      </c>
      <c r="E83" s="5" t="s">
        <v>2372</v>
      </c>
      <c r="F83" s="5" t="s">
        <v>1006</v>
      </c>
    </row>
    <row r="84" ht="15.75" customHeight="1">
      <c r="A84" s="5" t="s">
        <v>567</v>
      </c>
      <c r="B84" s="5" t="s">
        <v>606</v>
      </c>
      <c r="C84" s="5" t="s">
        <v>607</v>
      </c>
      <c r="D84" s="5" t="s">
        <v>944</v>
      </c>
      <c r="E84" s="5" t="s">
        <v>2359</v>
      </c>
      <c r="F84" s="5" t="s">
        <v>974</v>
      </c>
    </row>
    <row r="85" ht="15.75" hidden="1" customHeight="1">
      <c r="A85" s="5" t="s">
        <v>567</v>
      </c>
      <c r="B85" s="5" t="s">
        <v>614</v>
      </c>
      <c r="C85" s="5" t="s">
        <v>615</v>
      </c>
      <c r="D85" s="5" t="s">
        <v>1560</v>
      </c>
    </row>
    <row r="86" ht="15.75" customHeight="1">
      <c r="A86" s="5" t="s">
        <v>567</v>
      </c>
      <c r="B86" s="5" t="s">
        <v>624</v>
      </c>
      <c r="C86" s="5" t="s">
        <v>625</v>
      </c>
      <c r="D86" s="5" t="s">
        <v>944</v>
      </c>
      <c r="E86" s="5" t="s">
        <v>2344</v>
      </c>
      <c r="F86" s="5" t="s">
        <v>956</v>
      </c>
    </row>
    <row r="87" ht="15.75" customHeight="1">
      <c r="A87" s="5" t="s">
        <v>567</v>
      </c>
      <c r="B87" s="5" t="s">
        <v>624</v>
      </c>
      <c r="C87" s="5" t="s">
        <v>625</v>
      </c>
      <c r="D87" s="5" t="s">
        <v>944</v>
      </c>
      <c r="E87" s="5" t="s">
        <v>2571</v>
      </c>
      <c r="F87" s="5" t="s">
        <v>956</v>
      </c>
    </row>
    <row r="88" ht="15.75" customHeight="1">
      <c r="A88" s="5" t="s">
        <v>567</v>
      </c>
      <c r="B88" s="5" t="s">
        <v>634</v>
      </c>
      <c r="C88" s="5" t="s">
        <v>635</v>
      </c>
      <c r="D88" s="5" t="s">
        <v>944</v>
      </c>
      <c r="E88" s="5" t="s">
        <v>2359</v>
      </c>
      <c r="F88" s="5" t="s">
        <v>974</v>
      </c>
    </row>
    <row r="89" ht="15.75" hidden="1" customHeight="1">
      <c r="A89" s="5" t="s">
        <v>567</v>
      </c>
      <c r="B89" s="5" t="s">
        <v>643</v>
      </c>
      <c r="C89" s="5" t="s">
        <v>644</v>
      </c>
      <c r="D89" s="5" t="s">
        <v>1560</v>
      </c>
    </row>
    <row r="90" ht="15.75" hidden="1" customHeight="1">
      <c r="A90" s="5" t="s">
        <v>567</v>
      </c>
      <c r="B90" s="5" t="s">
        <v>651</v>
      </c>
      <c r="C90" s="5" t="s">
        <v>652</v>
      </c>
      <c r="D90" s="5" t="s">
        <v>1560</v>
      </c>
    </row>
    <row r="91" ht="15.75" customHeight="1">
      <c r="A91" s="5" t="s">
        <v>567</v>
      </c>
      <c r="B91" s="5" t="s">
        <v>659</v>
      </c>
      <c r="C91" s="5" t="s">
        <v>660</v>
      </c>
      <c r="D91" s="5" t="s">
        <v>944</v>
      </c>
      <c r="E91" s="5" t="s">
        <v>801</v>
      </c>
      <c r="F91" s="5" t="s">
        <v>1145</v>
      </c>
    </row>
    <row r="92" ht="15.75" customHeight="1">
      <c r="A92" s="5" t="s">
        <v>567</v>
      </c>
      <c r="B92" s="5" t="s">
        <v>667</v>
      </c>
      <c r="C92" s="5" t="s">
        <v>668</v>
      </c>
      <c r="D92" s="5" t="s">
        <v>944</v>
      </c>
      <c r="E92" s="5" t="s">
        <v>2572</v>
      </c>
      <c r="F92" s="5" t="s">
        <v>974</v>
      </c>
    </row>
    <row r="93" ht="15.75" customHeight="1">
      <c r="A93" s="5" t="s">
        <v>567</v>
      </c>
      <c r="B93" s="5" t="s">
        <v>674</v>
      </c>
      <c r="C93" s="5" t="s">
        <v>675</v>
      </c>
      <c r="D93" s="5" t="s">
        <v>944</v>
      </c>
      <c r="E93" s="5" t="s">
        <v>2569</v>
      </c>
      <c r="F93" s="5" t="s">
        <v>950</v>
      </c>
    </row>
    <row r="94" ht="15.75" customHeight="1">
      <c r="A94" s="5" t="s">
        <v>567</v>
      </c>
      <c r="B94" s="5" t="s">
        <v>674</v>
      </c>
      <c r="C94" s="5" t="s">
        <v>675</v>
      </c>
      <c r="D94" s="5" t="s">
        <v>944</v>
      </c>
      <c r="E94" s="5" t="s">
        <v>2573</v>
      </c>
      <c r="F94" s="5" t="s">
        <v>1036</v>
      </c>
    </row>
    <row r="95" ht="15.75" customHeight="1">
      <c r="A95" s="5" t="s">
        <v>682</v>
      </c>
      <c r="B95" s="5" t="s">
        <v>683</v>
      </c>
      <c r="C95" s="5" t="s">
        <v>684</v>
      </c>
      <c r="D95" s="5" t="s">
        <v>944</v>
      </c>
      <c r="E95" s="5" t="s">
        <v>2571</v>
      </c>
      <c r="F95" s="5" t="s">
        <v>1094</v>
      </c>
    </row>
    <row r="96" ht="15.75" customHeight="1">
      <c r="A96" s="5" t="s">
        <v>682</v>
      </c>
      <c r="B96" s="5" t="s">
        <v>691</v>
      </c>
      <c r="C96" s="5" t="s">
        <v>692</v>
      </c>
      <c r="D96" s="5" t="s">
        <v>944</v>
      </c>
      <c r="E96" s="5" t="s">
        <v>2565</v>
      </c>
      <c r="F96" s="5" t="s">
        <v>974</v>
      </c>
    </row>
    <row r="97" ht="15.75" customHeight="1">
      <c r="A97" s="5" t="s">
        <v>682</v>
      </c>
      <c r="B97" s="5" t="s">
        <v>699</v>
      </c>
      <c r="C97" s="5" t="s">
        <v>700</v>
      </c>
      <c r="D97" s="5" t="s">
        <v>944</v>
      </c>
      <c r="E97" s="5" t="s">
        <v>2574</v>
      </c>
      <c r="F97" s="5" t="s">
        <v>956</v>
      </c>
    </row>
    <row r="98" ht="15.75" customHeight="1">
      <c r="A98" s="5" t="s">
        <v>682</v>
      </c>
      <c r="B98" s="5" t="s">
        <v>699</v>
      </c>
      <c r="C98" s="5" t="s">
        <v>700</v>
      </c>
      <c r="D98" s="5" t="s">
        <v>944</v>
      </c>
      <c r="E98" s="5" t="s">
        <v>2575</v>
      </c>
      <c r="F98" s="5" t="s">
        <v>974</v>
      </c>
    </row>
    <row r="99" ht="15.75" hidden="1" customHeight="1">
      <c r="A99" s="5" t="s">
        <v>682</v>
      </c>
      <c r="B99" s="5" t="s">
        <v>707</v>
      </c>
      <c r="C99" s="5" t="s">
        <v>708</v>
      </c>
      <c r="D99" s="5" t="s">
        <v>1560</v>
      </c>
    </row>
    <row r="100" ht="15.75" hidden="1" customHeight="1">
      <c r="A100" s="5" t="s">
        <v>682</v>
      </c>
      <c r="B100" s="5" t="s">
        <v>715</v>
      </c>
      <c r="C100" s="5" t="s">
        <v>716</v>
      </c>
      <c r="D100" s="5" t="s">
        <v>1560</v>
      </c>
    </row>
    <row r="101" ht="15.75" customHeight="1">
      <c r="A101" s="5" t="s">
        <v>682</v>
      </c>
      <c r="B101" s="5" t="s">
        <v>725</v>
      </c>
      <c r="C101" s="5" t="s">
        <v>726</v>
      </c>
      <c r="D101" s="5" t="s">
        <v>944</v>
      </c>
      <c r="E101" s="5" t="s">
        <v>2372</v>
      </c>
      <c r="F101" s="5" t="s">
        <v>968</v>
      </c>
    </row>
    <row r="102" ht="15.75" customHeight="1">
      <c r="A102" s="5" t="s">
        <v>682</v>
      </c>
      <c r="B102" s="5" t="s">
        <v>725</v>
      </c>
      <c r="C102" s="5" t="s">
        <v>726</v>
      </c>
      <c r="D102" s="5" t="s">
        <v>944</v>
      </c>
      <c r="E102" s="5" t="s">
        <v>2334</v>
      </c>
      <c r="F102" s="5" t="s">
        <v>1128</v>
      </c>
    </row>
    <row r="103" ht="15.75" customHeight="1">
      <c r="A103" s="5" t="s">
        <v>682</v>
      </c>
      <c r="B103" s="5" t="s">
        <v>732</v>
      </c>
      <c r="C103" s="5" t="s">
        <v>733</v>
      </c>
      <c r="D103" s="5" t="s">
        <v>944</v>
      </c>
      <c r="E103" s="5" t="s">
        <v>2392</v>
      </c>
      <c r="F103" s="5" t="s">
        <v>956</v>
      </c>
    </row>
    <row r="104" ht="15.75" customHeight="1">
      <c r="A104" s="5" t="s">
        <v>682</v>
      </c>
      <c r="B104" s="5" t="s">
        <v>732</v>
      </c>
      <c r="C104" s="5" t="s">
        <v>733</v>
      </c>
      <c r="D104" s="5" t="s">
        <v>944</v>
      </c>
      <c r="E104" s="5" t="s">
        <v>2390</v>
      </c>
      <c r="F104" s="5" t="s">
        <v>1220</v>
      </c>
    </row>
    <row r="105" ht="15.75" hidden="1" customHeight="1">
      <c r="A105" s="5" t="s">
        <v>682</v>
      </c>
      <c r="B105" s="5" t="s">
        <v>739</v>
      </c>
      <c r="C105" s="5" t="s">
        <v>740</v>
      </c>
      <c r="D105" s="5" t="s">
        <v>1560</v>
      </c>
    </row>
    <row r="106" ht="15.75" hidden="1" customHeight="1">
      <c r="A106" s="5" t="s">
        <v>682</v>
      </c>
      <c r="B106" s="5" t="s">
        <v>749</v>
      </c>
      <c r="C106" s="5" t="s">
        <v>750</v>
      </c>
      <c r="D106" s="5" t="s">
        <v>1560</v>
      </c>
    </row>
    <row r="107" ht="15.75" hidden="1" customHeight="1">
      <c r="A107" s="5" t="s">
        <v>682</v>
      </c>
      <c r="B107" s="5" t="s">
        <v>757</v>
      </c>
      <c r="C107" s="5" t="s">
        <v>758</v>
      </c>
      <c r="D107" s="5" t="s">
        <v>1560</v>
      </c>
    </row>
    <row r="108" ht="15.75" hidden="1" customHeight="1">
      <c r="A108" s="5" t="s">
        <v>682</v>
      </c>
      <c r="B108" s="5" t="s">
        <v>765</v>
      </c>
      <c r="C108" s="5" t="s">
        <v>766</v>
      </c>
      <c r="D108" s="5" t="s">
        <v>1560</v>
      </c>
    </row>
    <row r="109" ht="15.75" hidden="1" customHeight="1">
      <c r="A109" s="5" t="s">
        <v>682</v>
      </c>
      <c r="B109" s="5" t="s">
        <v>773</v>
      </c>
      <c r="C109" s="5" t="s">
        <v>774</v>
      </c>
      <c r="D109" s="5" t="s">
        <v>1560</v>
      </c>
    </row>
    <row r="110" ht="15.75" customHeight="1">
      <c r="A110" s="5" t="s">
        <v>682</v>
      </c>
      <c r="B110" s="5" t="s">
        <v>782</v>
      </c>
      <c r="C110" s="5" t="s">
        <v>783</v>
      </c>
      <c r="D110" s="5" t="s">
        <v>944</v>
      </c>
      <c r="E110" s="5" t="s">
        <v>2576</v>
      </c>
      <c r="F110" s="5" t="s">
        <v>956</v>
      </c>
    </row>
    <row r="111" ht="15.75" hidden="1" customHeight="1">
      <c r="A111" s="5" t="s">
        <v>682</v>
      </c>
      <c r="B111" s="5" t="s">
        <v>791</v>
      </c>
      <c r="C111" s="5" t="s">
        <v>792</v>
      </c>
      <c r="D111" s="5" t="s">
        <v>1560</v>
      </c>
    </row>
    <row r="112" ht="15.75" customHeight="1">
      <c r="A112" s="5" t="s">
        <v>801</v>
      </c>
      <c r="B112" s="5" t="s">
        <v>802</v>
      </c>
      <c r="C112" s="5" t="s">
        <v>803</v>
      </c>
      <c r="D112" s="5" t="s">
        <v>944</v>
      </c>
      <c r="E112" s="5" t="s">
        <v>2369</v>
      </c>
      <c r="F112" s="5" t="s">
        <v>974</v>
      </c>
    </row>
    <row r="113" ht="15.75" customHeight="1">
      <c r="A113" s="5" t="s">
        <v>801</v>
      </c>
      <c r="B113" s="5" t="s">
        <v>802</v>
      </c>
      <c r="C113" s="5" t="s">
        <v>803</v>
      </c>
      <c r="D113" s="5" t="s">
        <v>944</v>
      </c>
      <c r="E113" s="5" t="s">
        <v>2577</v>
      </c>
      <c r="F113" s="5" t="s">
        <v>950</v>
      </c>
    </row>
    <row r="114" ht="15.75" hidden="1" customHeight="1">
      <c r="A114" s="5" t="s">
        <v>801</v>
      </c>
      <c r="B114" s="5" t="s">
        <v>810</v>
      </c>
      <c r="C114" s="5" t="s">
        <v>811</v>
      </c>
      <c r="D114" s="5" t="s">
        <v>1560</v>
      </c>
    </row>
    <row r="115" ht="15.75" customHeight="1">
      <c r="A115" s="5" t="s">
        <v>801</v>
      </c>
      <c r="B115" s="5" t="s">
        <v>818</v>
      </c>
      <c r="C115" s="5" t="s">
        <v>819</v>
      </c>
      <c r="D115" s="5" t="s">
        <v>944</v>
      </c>
      <c r="E115" s="5" t="s">
        <v>2578</v>
      </c>
      <c r="F115" s="5" t="s">
        <v>1145</v>
      </c>
    </row>
    <row r="116" ht="15.75" customHeight="1">
      <c r="A116" s="5" t="s">
        <v>801</v>
      </c>
      <c r="B116" s="5" t="s">
        <v>818</v>
      </c>
      <c r="C116" s="5" t="s">
        <v>819</v>
      </c>
      <c r="D116" s="5" t="s">
        <v>944</v>
      </c>
      <c r="E116" s="5" t="s">
        <v>2579</v>
      </c>
      <c r="F116" s="5" t="s">
        <v>950</v>
      </c>
      <c r="G116" s="5" t="s">
        <v>2580</v>
      </c>
    </row>
    <row r="117" ht="15.75" customHeight="1">
      <c r="A117" s="5" t="s">
        <v>801</v>
      </c>
      <c r="B117" s="5" t="s">
        <v>826</v>
      </c>
      <c r="C117" s="5" t="s">
        <v>827</v>
      </c>
      <c r="D117" s="5" t="s">
        <v>944</v>
      </c>
      <c r="E117" s="5" t="s">
        <v>2372</v>
      </c>
      <c r="F117" s="5" t="s">
        <v>968</v>
      </c>
    </row>
    <row r="118" ht="15.75" customHeight="1">
      <c r="A118" s="5" t="s">
        <v>801</v>
      </c>
      <c r="B118" s="5" t="s">
        <v>826</v>
      </c>
      <c r="C118" s="5" t="s">
        <v>827</v>
      </c>
      <c r="D118" s="5" t="s">
        <v>944</v>
      </c>
      <c r="E118" s="5" t="s">
        <v>2581</v>
      </c>
      <c r="F118" s="5" t="s">
        <v>974</v>
      </c>
    </row>
    <row r="119" ht="15.75" customHeight="1">
      <c r="A119" s="5" t="s">
        <v>801</v>
      </c>
      <c r="B119" s="5" t="s">
        <v>836</v>
      </c>
      <c r="C119" s="5" t="s">
        <v>837</v>
      </c>
      <c r="D119" s="5" t="s">
        <v>944</v>
      </c>
      <c r="E119" s="5" t="s">
        <v>2576</v>
      </c>
      <c r="F119" s="5" t="s">
        <v>968</v>
      </c>
    </row>
    <row r="120" ht="15.75" customHeight="1">
      <c r="A120" s="5" t="s">
        <v>801</v>
      </c>
      <c r="B120" s="5" t="s">
        <v>836</v>
      </c>
      <c r="C120" s="5" t="s">
        <v>837</v>
      </c>
      <c r="D120" s="5" t="s">
        <v>944</v>
      </c>
      <c r="E120" s="5" t="s">
        <v>2550</v>
      </c>
      <c r="F120" s="5" t="s">
        <v>974</v>
      </c>
    </row>
    <row r="121" ht="15.75" customHeight="1">
      <c r="A121" s="5" t="s">
        <v>801</v>
      </c>
      <c r="B121" s="5" t="s">
        <v>844</v>
      </c>
      <c r="C121" s="5" t="s">
        <v>845</v>
      </c>
      <c r="D121" s="5" t="s">
        <v>944</v>
      </c>
      <c r="E121" s="5" t="s">
        <v>2390</v>
      </c>
      <c r="F121" s="5" t="s">
        <v>1145</v>
      </c>
    </row>
    <row r="122" ht="15.75" hidden="1" customHeight="1">
      <c r="A122" s="5" t="s">
        <v>801</v>
      </c>
      <c r="B122" s="5" t="s">
        <v>853</v>
      </c>
      <c r="C122" s="5" t="s">
        <v>854</v>
      </c>
      <c r="D122" s="5" t="s">
        <v>1560</v>
      </c>
    </row>
    <row r="123" ht="15.75" hidden="1" customHeight="1">
      <c r="A123" s="5" t="s">
        <v>801</v>
      </c>
      <c r="B123" s="5" t="s">
        <v>860</v>
      </c>
      <c r="C123" s="5" t="s">
        <v>861</v>
      </c>
      <c r="D123" s="5" t="s">
        <v>1560</v>
      </c>
    </row>
    <row r="124" ht="15.75" customHeight="1">
      <c r="A124" s="5" t="s">
        <v>801</v>
      </c>
      <c r="B124" s="5" t="s">
        <v>867</v>
      </c>
      <c r="C124" s="5" t="s">
        <v>868</v>
      </c>
      <c r="D124" s="5" t="s">
        <v>944</v>
      </c>
      <c r="E124" s="5" t="s">
        <v>2344</v>
      </c>
      <c r="F124" s="5" t="s">
        <v>1220</v>
      </c>
    </row>
    <row r="125" ht="15.75" hidden="1" customHeight="1">
      <c r="A125" s="5" t="s">
        <v>801</v>
      </c>
      <c r="B125" s="5" t="s">
        <v>875</v>
      </c>
      <c r="C125" s="5" t="s">
        <v>876</v>
      </c>
      <c r="D125" s="5" t="s">
        <v>1560</v>
      </c>
    </row>
    <row r="126" ht="15.75" customHeight="1">
      <c r="A126" s="5" t="s">
        <v>801</v>
      </c>
      <c r="B126" s="5" t="s">
        <v>883</v>
      </c>
      <c r="C126" s="5" t="s">
        <v>884</v>
      </c>
      <c r="D126" s="5" t="s">
        <v>944</v>
      </c>
      <c r="E126" s="5" t="s">
        <v>2396</v>
      </c>
      <c r="F126" s="5" t="s">
        <v>968</v>
      </c>
    </row>
    <row r="127" ht="15.75" customHeight="1">
      <c r="A127" s="5" t="s">
        <v>801</v>
      </c>
      <c r="B127" s="5" t="s">
        <v>883</v>
      </c>
      <c r="C127" s="5" t="s">
        <v>884</v>
      </c>
      <c r="D127" s="5" t="s">
        <v>944</v>
      </c>
      <c r="E127" s="5" t="s">
        <v>2369</v>
      </c>
      <c r="F127" s="5" t="s">
        <v>974</v>
      </c>
    </row>
    <row r="128" ht="15.75" customHeight="1">
      <c r="A128" s="5" t="s">
        <v>801</v>
      </c>
      <c r="B128" s="5" t="s">
        <v>890</v>
      </c>
      <c r="C128" s="5" t="s">
        <v>891</v>
      </c>
      <c r="D128" s="5" t="s">
        <v>944</v>
      </c>
      <c r="E128" s="5" t="s">
        <v>2582</v>
      </c>
      <c r="F128" s="5" t="s">
        <v>1094</v>
      </c>
      <c r="G128" s="5" t="s">
        <v>2583</v>
      </c>
    </row>
    <row r="129" ht="15.75" customHeight="1">
      <c r="A129" s="5" t="s">
        <v>801</v>
      </c>
      <c r="B129" s="5" t="s">
        <v>890</v>
      </c>
      <c r="C129" s="5" t="s">
        <v>891</v>
      </c>
      <c r="D129" s="5" t="s">
        <v>944</v>
      </c>
      <c r="E129" s="5" t="s">
        <v>2582</v>
      </c>
      <c r="F129" s="5" t="s">
        <v>1094</v>
      </c>
      <c r="G129" s="5" t="s">
        <v>2583</v>
      </c>
    </row>
    <row r="130" ht="15.75" hidden="1" customHeight="1">
      <c r="A130" s="5" t="s">
        <v>801</v>
      </c>
      <c r="B130" s="5" t="s">
        <v>898</v>
      </c>
      <c r="C130" s="5" t="s">
        <v>899</v>
      </c>
      <c r="D130" s="5" t="s">
        <v>1560</v>
      </c>
    </row>
    <row r="131" ht="15.75" hidden="1" customHeight="1">
      <c r="A131" s="5" t="s">
        <v>801</v>
      </c>
      <c r="B131" s="5" t="s">
        <v>906</v>
      </c>
      <c r="C131" s="5" t="s">
        <v>907</v>
      </c>
      <c r="D131" s="5" t="s">
        <v>1560</v>
      </c>
    </row>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sheetData>
  <autoFilter ref="$A$1:$Z$1000">
    <filterColumn colId="3">
      <filters>
        <filter val="SI"/>
      </filters>
    </filterColumn>
  </autoFilter>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1.57"/>
    <col customWidth="1" min="4" max="4" width="23.14"/>
    <col customWidth="1" min="5" max="5" width="8.71"/>
    <col customWidth="1" min="6" max="6" width="42.43"/>
    <col customWidth="1" min="7" max="7" width="38.29"/>
    <col customWidth="1" min="8" max="8" width="30.14"/>
    <col customWidth="1" min="9" max="9" width="31.57"/>
    <col customWidth="1" min="10" max="10" width="20.29"/>
    <col customWidth="1" min="11" max="11" width="26.14"/>
    <col customWidth="1" min="12" max="12" width="21.0"/>
    <col customWidth="1" min="13" max="26" width="8.71"/>
  </cols>
  <sheetData>
    <row r="1">
      <c r="A1" s="1" t="s">
        <v>0</v>
      </c>
      <c r="B1" s="1" t="s">
        <v>1</v>
      </c>
      <c r="C1" s="1" t="s">
        <v>2</v>
      </c>
      <c r="D1" s="1" t="s">
        <v>2584</v>
      </c>
      <c r="E1" s="1" t="s">
        <v>2124</v>
      </c>
      <c r="F1" s="1" t="s">
        <v>2585</v>
      </c>
      <c r="G1" s="1" t="s">
        <v>2586</v>
      </c>
      <c r="H1" s="1" t="s">
        <v>2587</v>
      </c>
      <c r="I1" s="1" t="s">
        <v>2588</v>
      </c>
      <c r="J1" s="1" t="s">
        <v>2589</v>
      </c>
      <c r="K1" s="1" t="s">
        <v>2590</v>
      </c>
      <c r="L1" s="6" t="s">
        <v>2591</v>
      </c>
      <c r="M1" s="5" t="s">
        <v>2592</v>
      </c>
      <c r="N1" s="5" t="s">
        <v>2592</v>
      </c>
      <c r="O1" s="5" t="s">
        <v>2592</v>
      </c>
      <c r="P1" s="5" t="s">
        <v>2592</v>
      </c>
      <c r="Q1" s="5" t="s">
        <v>2592</v>
      </c>
      <c r="R1" s="5" t="s">
        <v>2592</v>
      </c>
      <c r="S1" s="5" t="s">
        <v>2592</v>
      </c>
      <c r="T1" s="5" t="s">
        <v>2592</v>
      </c>
      <c r="U1" s="5" t="s">
        <v>2592</v>
      </c>
      <c r="V1" s="5" t="s">
        <v>2592</v>
      </c>
      <c r="W1" s="5" t="s">
        <v>2592</v>
      </c>
      <c r="X1" s="5" t="s">
        <v>2592</v>
      </c>
      <c r="Y1" s="5" t="s">
        <v>2592</v>
      </c>
      <c r="Z1" s="5" t="s">
        <v>2592</v>
      </c>
    </row>
    <row r="2" hidden="1">
      <c r="A2" s="5" t="s">
        <v>26</v>
      </c>
      <c r="B2" s="5" t="s">
        <v>27</v>
      </c>
      <c r="C2" s="5" t="s">
        <v>28</v>
      </c>
      <c r="D2" s="5" t="s">
        <v>944</v>
      </c>
      <c r="E2" s="5" t="s">
        <v>968</v>
      </c>
      <c r="F2" s="5">
        <v>0.0</v>
      </c>
      <c r="G2" s="5">
        <v>0.0</v>
      </c>
      <c r="H2" s="5">
        <v>0.0</v>
      </c>
      <c r="I2" s="5">
        <v>0.0</v>
      </c>
      <c r="J2" s="5">
        <v>51480.0</v>
      </c>
      <c r="K2" s="5">
        <v>11200.0</v>
      </c>
      <c r="L2" s="4">
        <f t="shared" ref="L2:L105" si="1">SUM(F2:K2)</f>
        <v>62680</v>
      </c>
    </row>
    <row r="3" hidden="1">
      <c r="A3" s="5" t="s">
        <v>26</v>
      </c>
      <c r="B3" s="5" t="s">
        <v>39</v>
      </c>
      <c r="C3" s="5" t="s">
        <v>40</v>
      </c>
      <c r="D3" s="5" t="s">
        <v>944</v>
      </c>
      <c r="E3" s="5" t="s">
        <v>968</v>
      </c>
      <c r="F3" s="5">
        <v>0.0</v>
      </c>
      <c r="G3" s="5">
        <v>18000.0</v>
      </c>
      <c r="H3" s="5">
        <v>0.0</v>
      </c>
      <c r="I3" s="5">
        <v>12000.0</v>
      </c>
      <c r="J3" s="5">
        <v>0.0</v>
      </c>
      <c r="K3" s="5">
        <v>0.0</v>
      </c>
      <c r="L3" s="4">
        <f t="shared" si="1"/>
        <v>30000</v>
      </c>
    </row>
    <row r="4" hidden="1">
      <c r="A4" s="5" t="s">
        <v>26</v>
      </c>
      <c r="B4" s="5" t="s">
        <v>50</v>
      </c>
      <c r="C4" s="5" t="s">
        <v>51</v>
      </c>
      <c r="D4" s="5" t="s">
        <v>944</v>
      </c>
      <c r="E4" s="5" t="s">
        <v>968</v>
      </c>
      <c r="F4" s="5">
        <v>119920.0</v>
      </c>
      <c r="G4" s="5">
        <v>0.0</v>
      </c>
      <c r="H4" s="5">
        <v>0.0</v>
      </c>
      <c r="I4" s="5">
        <v>0.0</v>
      </c>
      <c r="J4" s="5">
        <v>0.0</v>
      </c>
      <c r="K4" s="5">
        <v>5200.0</v>
      </c>
      <c r="L4" s="4">
        <f t="shared" si="1"/>
        <v>125120</v>
      </c>
    </row>
    <row r="5" hidden="1">
      <c r="A5" s="5" t="s">
        <v>26</v>
      </c>
      <c r="B5" s="5" t="s">
        <v>60</v>
      </c>
      <c r="C5" s="5" t="s">
        <v>61</v>
      </c>
      <c r="D5" s="5" t="s">
        <v>944</v>
      </c>
      <c r="E5" s="5" t="s">
        <v>968</v>
      </c>
      <c r="F5" s="5">
        <v>0.0</v>
      </c>
      <c r="G5" s="5">
        <v>26643.0</v>
      </c>
      <c r="H5" s="5">
        <v>0.0</v>
      </c>
      <c r="I5" s="5">
        <v>44000.0</v>
      </c>
      <c r="J5" s="5">
        <v>0.0</v>
      </c>
      <c r="K5" s="5">
        <v>0.0</v>
      </c>
      <c r="L5" s="4">
        <f t="shared" si="1"/>
        <v>70643</v>
      </c>
    </row>
    <row r="6" hidden="1">
      <c r="A6" s="5" t="s">
        <v>26</v>
      </c>
      <c r="B6" s="5" t="s">
        <v>71</v>
      </c>
      <c r="C6" s="5" t="s">
        <v>72</v>
      </c>
      <c r="D6" s="5" t="s">
        <v>944</v>
      </c>
      <c r="E6" s="5" t="s">
        <v>968</v>
      </c>
      <c r="F6" s="5">
        <v>0.0</v>
      </c>
      <c r="G6" s="5">
        <v>0.0</v>
      </c>
      <c r="H6" s="5">
        <v>0.0</v>
      </c>
      <c r="I6" s="5">
        <v>14799.0</v>
      </c>
      <c r="J6" s="5">
        <v>0.0</v>
      </c>
      <c r="K6" s="5">
        <v>0.0</v>
      </c>
      <c r="L6" s="4">
        <f t="shared" si="1"/>
        <v>14799</v>
      </c>
    </row>
    <row r="7" hidden="1">
      <c r="A7" s="5" t="s">
        <v>26</v>
      </c>
      <c r="B7" s="5" t="s">
        <v>80</v>
      </c>
      <c r="C7" s="5" t="s">
        <v>81</v>
      </c>
      <c r="D7" s="5" t="s">
        <v>944</v>
      </c>
      <c r="E7" s="5" t="s">
        <v>968</v>
      </c>
      <c r="F7" s="5">
        <v>0.0</v>
      </c>
      <c r="G7" s="5">
        <v>0.0</v>
      </c>
      <c r="H7" s="5">
        <v>0.0</v>
      </c>
      <c r="I7" s="5">
        <v>70000.0</v>
      </c>
      <c r="J7" s="5">
        <v>0.0</v>
      </c>
      <c r="K7" s="5">
        <v>0.0</v>
      </c>
      <c r="L7" s="4">
        <f t="shared" si="1"/>
        <v>70000</v>
      </c>
    </row>
    <row r="8" hidden="1">
      <c r="A8" s="5" t="s">
        <v>26</v>
      </c>
      <c r="B8" s="5" t="s">
        <v>91</v>
      </c>
      <c r="C8" s="5" t="s">
        <v>92</v>
      </c>
      <c r="D8" s="5" t="s">
        <v>944</v>
      </c>
      <c r="E8" s="5" t="s">
        <v>968</v>
      </c>
      <c r="F8" s="5">
        <v>0.0</v>
      </c>
      <c r="G8" s="5">
        <v>0.0</v>
      </c>
      <c r="H8" s="5">
        <v>76000.0</v>
      </c>
      <c r="I8" s="5">
        <v>0.0</v>
      </c>
      <c r="J8" s="5">
        <v>0.0</v>
      </c>
      <c r="K8" s="5">
        <v>0.0</v>
      </c>
      <c r="L8" s="4">
        <f t="shared" si="1"/>
        <v>76000</v>
      </c>
    </row>
    <row r="9" hidden="1">
      <c r="A9" s="5" t="s">
        <v>26</v>
      </c>
      <c r="B9" s="5" t="s">
        <v>100</v>
      </c>
      <c r="C9" s="5" t="s">
        <v>101</v>
      </c>
      <c r="D9" s="5" t="s">
        <v>944</v>
      </c>
      <c r="E9" s="5" t="s">
        <v>968</v>
      </c>
      <c r="F9" s="5">
        <v>0.0</v>
      </c>
      <c r="G9" s="5">
        <v>20000.0</v>
      </c>
      <c r="H9" s="5">
        <v>0.0</v>
      </c>
      <c r="I9" s="5">
        <v>30000.0</v>
      </c>
      <c r="J9" s="5">
        <v>0.0</v>
      </c>
      <c r="K9" s="5">
        <v>10000.0</v>
      </c>
      <c r="L9" s="4">
        <f t="shared" si="1"/>
        <v>60000</v>
      </c>
    </row>
    <row r="10" hidden="1">
      <c r="A10" s="5" t="s">
        <v>26</v>
      </c>
      <c r="B10" s="5" t="s">
        <v>110</v>
      </c>
      <c r="C10" s="5" t="s">
        <v>111</v>
      </c>
      <c r="D10" s="5" t="s">
        <v>944</v>
      </c>
      <c r="E10" s="5" t="s">
        <v>968</v>
      </c>
      <c r="F10" s="5">
        <v>0.0</v>
      </c>
      <c r="G10" s="5">
        <v>0.0</v>
      </c>
      <c r="H10" s="5">
        <v>0.0</v>
      </c>
      <c r="I10" s="5">
        <v>24000.0</v>
      </c>
      <c r="J10" s="5">
        <v>0.0</v>
      </c>
      <c r="K10" s="5">
        <v>0.0</v>
      </c>
      <c r="L10" s="4">
        <f t="shared" si="1"/>
        <v>24000</v>
      </c>
    </row>
    <row r="11" hidden="1">
      <c r="A11" s="5" t="s">
        <v>121</v>
      </c>
      <c r="B11" s="5" t="s">
        <v>122</v>
      </c>
      <c r="C11" s="5" t="s">
        <v>123</v>
      </c>
      <c r="D11" s="5" t="s">
        <v>944</v>
      </c>
      <c r="E11" s="5" t="s">
        <v>968</v>
      </c>
      <c r="F11" s="5">
        <v>286851.01</v>
      </c>
      <c r="G11" s="5">
        <v>0.0</v>
      </c>
      <c r="H11" s="5">
        <v>0.0</v>
      </c>
      <c r="I11" s="5">
        <v>0.0</v>
      </c>
      <c r="J11" s="5">
        <v>164983.22</v>
      </c>
      <c r="K11" s="5">
        <v>0.0</v>
      </c>
      <c r="L11" s="4">
        <f t="shared" si="1"/>
        <v>451834.23</v>
      </c>
    </row>
    <row r="12" hidden="1">
      <c r="A12" s="5" t="s">
        <v>121</v>
      </c>
      <c r="B12" s="5" t="s">
        <v>133</v>
      </c>
      <c r="C12" s="5" t="s">
        <v>134</v>
      </c>
      <c r="D12" s="5" t="s">
        <v>944</v>
      </c>
      <c r="E12" s="5" t="s">
        <v>968</v>
      </c>
      <c r="F12" s="5">
        <v>419852.12</v>
      </c>
      <c r="G12" s="5">
        <v>0.0</v>
      </c>
      <c r="H12" s="5">
        <v>0.0</v>
      </c>
      <c r="I12" s="5">
        <v>0.0</v>
      </c>
      <c r="J12" s="5">
        <v>0.0</v>
      </c>
      <c r="K12" s="5">
        <v>0.0</v>
      </c>
      <c r="L12" s="4">
        <f t="shared" si="1"/>
        <v>419852.12</v>
      </c>
    </row>
    <row r="13" hidden="1">
      <c r="A13" s="5" t="s">
        <v>121</v>
      </c>
      <c r="B13" s="5" t="s">
        <v>142</v>
      </c>
      <c r="C13" s="5" t="s">
        <v>143</v>
      </c>
      <c r="D13" s="5" t="s">
        <v>944</v>
      </c>
      <c r="E13" s="5" t="s">
        <v>968</v>
      </c>
      <c r="F13" s="5">
        <v>105730.94</v>
      </c>
      <c r="G13" s="5">
        <v>0.0</v>
      </c>
      <c r="H13" s="5">
        <v>0.0</v>
      </c>
      <c r="I13" s="5">
        <v>25850.0</v>
      </c>
      <c r="J13" s="5">
        <v>0.0</v>
      </c>
      <c r="K13" s="5">
        <v>0.0</v>
      </c>
      <c r="L13" s="4">
        <f t="shared" si="1"/>
        <v>131580.94</v>
      </c>
    </row>
    <row r="14" hidden="1">
      <c r="A14" s="5" t="s">
        <v>121</v>
      </c>
      <c r="B14" s="5" t="s">
        <v>153</v>
      </c>
      <c r="C14" s="5" t="s">
        <v>154</v>
      </c>
      <c r="D14" s="5" t="s">
        <v>944</v>
      </c>
      <c r="E14" s="5" t="s">
        <v>968</v>
      </c>
      <c r="F14" s="5">
        <v>312206.4</v>
      </c>
      <c r="G14" s="5">
        <v>0.0</v>
      </c>
      <c r="H14" s="5">
        <v>0.0</v>
      </c>
      <c r="I14" s="5">
        <v>0.0</v>
      </c>
      <c r="J14" s="5">
        <v>0.0</v>
      </c>
      <c r="K14" s="5">
        <v>0.0</v>
      </c>
      <c r="L14" s="4">
        <f t="shared" si="1"/>
        <v>312206.4</v>
      </c>
    </row>
    <row r="15" hidden="1">
      <c r="A15" s="5" t="s">
        <v>121</v>
      </c>
      <c r="B15" s="5" t="s">
        <v>161</v>
      </c>
      <c r="C15" s="5" t="s">
        <v>162</v>
      </c>
      <c r="D15" s="5" t="s">
        <v>944</v>
      </c>
      <c r="E15" s="5" t="s">
        <v>968</v>
      </c>
      <c r="F15" s="5">
        <v>389981.98</v>
      </c>
      <c r="G15" s="5">
        <v>0.0</v>
      </c>
      <c r="H15" s="5">
        <v>0.0</v>
      </c>
      <c r="I15" s="5">
        <v>0.0</v>
      </c>
      <c r="J15" s="5">
        <v>0.0</v>
      </c>
      <c r="K15" s="5">
        <v>244068.0</v>
      </c>
      <c r="L15" s="4">
        <f t="shared" si="1"/>
        <v>634049.98</v>
      </c>
    </row>
    <row r="16" hidden="1">
      <c r="A16" s="5" t="s">
        <v>121</v>
      </c>
      <c r="B16" s="5" t="s">
        <v>170</v>
      </c>
      <c r="C16" s="5" t="s">
        <v>171</v>
      </c>
      <c r="D16" s="5" t="s">
        <v>944</v>
      </c>
      <c r="E16" s="5" t="s">
        <v>968</v>
      </c>
      <c r="F16" s="5">
        <v>0.0</v>
      </c>
      <c r="G16" s="5">
        <v>0.0</v>
      </c>
      <c r="H16" s="5">
        <v>60000.0</v>
      </c>
      <c r="I16" s="5">
        <v>0.0</v>
      </c>
      <c r="J16" s="5">
        <v>0.0</v>
      </c>
      <c r="K16" s="5">
        <v>0.0</v>
      </c>
      <c r="L16" s="4">
        <f t="shared" si="1"/>
        <v>60000</v>
      </c>
    </row>
    <row r="17" hidden="1">
      <c r="A17" s="5" t="s">
        <v>121</v>
      </c>
      <c r="B17" s="5" t="s">
        <v>180</v>
      </c>
      <c r="C17" s="5" t="s">
        <v>181</v>
      </c>
      <c r="D17" s="5" t="s">
        <v>944</v>
      </c>
      <c r="E17" s="5" t="s">
        <v>968</v>
      </c>
      <c r="F17" s="5">
        <v>427249.6</v>
      </c>
      <c r="G17" s="5">
        <v>0.0</v>
      </c>
      <c r="H17" s="5">
        <v>0.0</v>
      </c>
      <c r="I17" s="5">
        <v>0.0</v>
      </c>
      <c r="J17" s="5">
        <v>0.0</v>
      </c>
      <c r="K17" s="5">
        <v>0.0</v>
      </c>
      <c r="L17" s="4">
        <f t="shared" si="1"/>
        <v>427249.6</v>
      </c>
    </row>
    <row r="18" hidden="1">
      <c r="A18" s="5" t="s">
        <v>121</v>
      </c>
      <c r="B18" s="5" t="s">
        <v>190</v>
      </c>
      <c r="C18" s="5" t="s">
        <v>191</v>
      </c>
      <c r="D18" s="5" t="s">
        <v>944</v>
      </c>
      <c r="E18" s="5" t="s">
        <v>968</v>
      </c>
      <c r="F18" s="5">
        <v>0.0</v>
      </c>
      <c r="G18" s="5">
        <v>6150.0</v>
      </c>
      <c r="H18" s="5">
        <v>0.0</v>
      </c>
      <c r="I18" s="5">
        <v>37862.0</v>
      </c>
      <c r="J18" s="5">
        <v>0.0</v>
      </c>
      <c r="K18" s="5">
        <v>0.0</v>
      </c>
      <c r="L18" s="4">
        <f t="shared" si="1"/>
        <v>44012</v>
      </c>
    </row>
    <row r="19" hidden="1">
      <c r="A19" s="5" t="s">
        <v>121</v>
      </c>
      <c r="B19" s="5" t="s">
        <v>201</v>
      </c>
      <c r="C19" s="5" t="s">
        <v>202</v>
      </c>
      <c r="D19" s="5" t="s">
        <v>944</v>
      </c>
      <c r="E19" s="5" t="s">
        <v>968</v>
      </c>
      <c r="F19" s="5">
        <v>0.0</v>
      </c>
      <c r="G19" s="5">
        <v>22550.0</v>
      </c>
      <c r="H19" s="5">
        <v>0.0</v>
      </c>
      <c r="I19" s="5">
        <v>0.0</v>
      </c>
      <c r="J19" s="5">
        <v>0.0</v>
      </c>
      <c r="K19" s="5">
        <v>63200.0</v>
      </c>
      <c r="L19" s="4">
        <f t="shared" si="1"/>
        <v>85750</v>
      </c>
    </row>
    <row r="20" hidden="1">
      <c r="A20" s="5" t="s">
        <v>121</v>
      </c>
      <c r="B20" s="5" t="s">
        <v>211</v>
      </c>
      <c r="C20" s="5" t="s">
        <v>212</v>
      </c>
      <c r="D20" s="5" t="s">
        <v>944</v>
      </c>
      <c r="E20" s="5" t="s">
        <v>968</v>
      </c>
      <c r="F20" s="5">
        <v>234043.22</v>
      </c>
      <c r="G20" s="5">
        <v>0.0</v>
      </c>
      <c r="H20" s="5">
        <v>0.0</v>
      </c>
      <c r="I20" s="5">
        <v>0.0</v>
      </c>
      <c r="J20" s="5">
        <v>0.0</v>
      </c>
      <c r="K20" s="5">
        <v>0.0</v>
      </c>
      <c r="L20" s="4">
        <f t="shared" si="1"/>
        <v>234043.22</v>
      </c>
    </row>
    <row r="21" ht="15.75" hidden="1" customHeight="1">
      <c r="A21" s="5" t="s">
        <v>121</v>
      </c>
      <c r="B21" s="5" t="s">
        <v>219</v>
      </c>
      <c r="C21" s="5" t="s">
        <v>220</v>
      </c>
      <c r="D21" s="5" t="s">
        <v>944</v>
      </c>
      <c r="E21" s="5" t="s">
        <v>968</v>
      </c>
      <c r="F21" s="5">
        <v>0.0</v>
      </c>
      <c r="G21" s="5">
        <v>56958.0</v>
      </c>
      <c r="H21" s="5">
        <v>0.0</v>
      </c>
      <c r="I21" s="5">
        <v>66511.0</v>
      </c>
      <c r="J21" s="5">
        <v>0.0</v>
      </c>
      <c r="K21" s="5">
        <v>0.0</v>
      </c>
      <c r="L21" s="4">
        <f t="shared" si="1"/>
        <v>123469</v>
      </c>
    </row>
    <row r="22" ht="15.75" hidden="1" customHeight="1">
      <c r="A22" s="5" t="s">
        <v>121</v>
      </c>
      <c r="B22" s="5" t="s">
        <v>227</v>
      </c>
      <c r="C22" s="5" t="s">
        <v>228</v>
      </c>
      <c r="D22" s="5" t="s">
        <v>944</v>
      </c>
      <c r="E22" s="5" t="s">
        <v>968</v>
      </c>
      <c r="F22" s="5">
        <v>302919.79</v>
      </c>
      <c r="G22" s="5">
        <v>55458.21</v>
      </c>
      <c r="H22" s="5">
        <v>0.0</v>
      </c>
      <c r="I22" s="5">
        <v>2274.0</v>
      </c>
      <c r="J22" s="5">
        <v>0.0</v>
      </c>
      <c r="K22" s="5">
        <v>0.0</v>
      </c>
      <c r="L22" s="4">
        <f t="shared" si="1"/>
        <v>360652</v>
      </c>
    </row>
    <row r="23" ht="15.75" hidden="1" customHeight="1">
      <c r="A23" s="5" t="s">
        <v>121</v>
      </c>
      <c r="B23" s="5" t="s">
        <v>236</v>
      </c>
      <c r="C23" s="5" t="s">
        <v>237</v>
      </c>
      <c r="D23" s="5" t="s">
        <v>944</v>
      </c>
      <c r="E23" s="5" t="s">
        <v>968</v>
      </c>
      <c r="F23" s="5">
        <v>0.0</v>
      </c>
      <c r="G23" s="5">
        <v>0.0</v>
      </c>
      <c r="H23" s="5">
        <v>0.0</v>
      </c>
      <c r="I23" s="5">
        <v>8508.0</v>
      </c>
      <c r="J23" s="5">
        <v>0.0</v>
      </c>
      <c r="K23" s="5">
        <v>0.0</v>
      </c>
      <c r="L23" s="4">
        <f t="shared" si="1"/>
        <v>8508</v>
      </c>
    </row>
    <row r="24" ht="15.75" hidden="1" customHeight="1">
      <c r="A24" s="5" t="s">
        <v>121</v>
      </c>
      <c r="B24" s="5" t="s">
        <v>244</v>
      </c>
      <c r="C24" s="5" t="s">
        <v>245</v>
      </c>
      <c r="D24" s="5" t="s">
        <v>944</v>
      </c>
      <c r="E24" s="5" t="s">
        <v>968</v>
      </c>
      <c r="F24" s="5">
        <v>0.0</v>
      </c>
      <c r="G24" s="5">
        <v>48000.0</v>
      </c>
      <c r="H24" s="5">
        <v>0.0</v>
      </c>
      <c r="I24" s="5">
        <v>36848.0</v>
      </c>
      <c r="J24" s="5">
        <v>0.0</v>
      </c>
      <c r="K24" s="5">
        <v>0.0</v>
      </c>
      <c r="L24" s="4">
        <f t="shared" si="1"/>
        <v>84848</v>
      </c>
    </row>
    <row r="25" ht="15.75" hidden="1" customHeight="1">
      <c r="A25" s="5" t="s">
        <v>121</v>
      </c>
      <c r="B25" s="5" t="s">
        <v>253</v>
      </c>
      <c r="C25" s="5" t="s">
        <v>254</v>
      </c>
      <c r="D25" s="5" t="s">
        <v>944</v>
      </c>
      <c r="E25" s="5" t="s">
        <v>968</v>
      </c>
      <c r="F25" s="5">
        <v>0.0</v>
      </c>
      <c r="G25" s="5">
        <v>19230.0</v>
      </c>
      <c r="H25" s="5">
        <v>0.0</v>
      </c>
      <c r="I25" s="5">
        <v>0.0</v>
      </c>
      <c r="J25" s="5">
        <v>0.0</v>
      </c>
      <c r="K25" s="5">
        <v>0.0</v>
      </c>
      <c r="L25" s="4">
        <f t="shared" si="1"/>
        <v>19230</v>
      </c>
    </row>
    <row r="26" ht="15.75" hidden="1" customHeight="1">
      <c r="A26" s="5" t="s">
        <v>121</v>
      </c>
      <c r="B26" s="5" t="s">
        <v>261</v>
      </c>
      <c r="C26" s="5" t="s">
        <v>262</v>
      </c>
      <c r="D26" s="5" t="s">
        <v>944</v>
      </c>
      <c r="E26" s="5" t="s">
        <v>968</v>
      </c>
      <c r="F26" s="5">
        <v>187200.0</v>
      </c>
      <c r="G26" s="5">
        <v>0.0</v>
      </c>
      <c r="H26" s="5">
        <v>0.0</v>
      </c>
      <c r="I26" s="5">
        <v>0.0</v>
      </c>
      <c r="J26" s="5">
        <v>250256.64</v>
      </c>
      <c r="K26" s="5">
        <v>0.0</v>
      </c>
      <c r="L26" s="4">
        <f t="shared" si="1"/>
        <v>437456.64</v>
      </c>
    </row>
    <row r="27" ht="15.75" hidden="1" customHeight="1">
      <c r="A27" s="5" t="s">
        <v>121</v>
      </c>
      <c r="B27" s="5" t="s">
        <v>270</v>
      </c>
      <c r="C27" s="5" t="s">
        <v>271</v>
      </c>
      <c r="D27" s="5" t="s">
        <v>944</v>
      </c>
      <c r="E27" s="5" t="s">
        <v>968</v>
      </c>
      <c r="F27" s="5">
        <v>191612.38</v>
      </c>
      <c r="G27" s="5">
        <v>0.0</v>
      </c>
      <c r="H27" s="5">
        <v>0.0</v>
      </c>
      <c r="I27" s="5">
        <v>0.0</v>
      </c>
      <c r="J27" s="5">
        <v>0.0</v>
      </c>
      <c r="K27" s="5">
        <v>0.0</v>
      </c>
      <c r="L27" s="4">
        <f t="shared" si="1"/>
        <v>191612.38</v>
      </c>
    </row>
    <row r="28" ht="15.75" hidden="1" customHeight="1">
      <c r="A28" s="15" t="s">
        <v>121</v>
      </c>
      <c r="B28" s="15" t="s">
        <v>279</v>
      </c>
      <c r="C28" s="15" t="s">
        <v>280</v>
      </c>
      <c r="D28" s="15" t="s">
        <v>1560</v>
      </c>
      <c r="E28" s="15"/>
      <c r="F28" s="15"/>
      <c r="G28" s="15"/>
      <c r="H28" s="15"/>
      <c r="I28" s="15"/>
      <c r="J28" s="15"/>
      <c r="K28" s="15"/>
      <c r="L28" s="15">
        <f t="shared" si="1"/>
        <v>0</v>
      </c>
      <c r="M28" s="15"/>
      <c r="N28" s="15"/>
      <c r="O28" s="15"/>
      <c r="P28" s="15"/>
      <c r="Q28" s="15"/>
      <c r="R28" s="15"/>
      <c r="S28" s="15"/>
      <c r="T28" s="15"/>
      <c r="U28" s="15"/>
      <c r="V28" s="15"/>
      <c r="W28" s="15"/>
      <c r="X28" s="15"/>
      <c r="Y28" s="15"/>
      <c r="Z28" s="15"/>
    </row>
    <row r="29" ht="15.75" hidden="1" customHeight="1">
      <c r="A29" s="5" t="s">
        <v>121</v>
      </c>
      <c r="B29" s="5" t="s">
        <v>288</v>
      </c>
      <c r="C29" s="5" t="s">
        <v>289</v>
      </c>
      <c r="D29" s="5" t="s">
        <v>944</v>
      </c>
      <c r="E29" s="5" t="s">
        <v>968</v>
      </c>
      <c r="F29" s="5">
        <v>1098.0</v>
      </c>
      <c r="G29" s="5">
        <v>0.0</v>
      </c>
      <c r="H29" s="5">
        <v>112256.09</v>
      </c>
      <c r="I29" s="5">
        <v>0.0</v>
      </c>
      <c r="J29" s="5">
        <v>2792.0</v>
      </c>
      <c r="K29" s="5">
        <v>0.0</v>
      </c>
      <c r="L29" s="4">
        <f t="shared" si="1"/>
        <v>116146.09</v>
      </c>
    </row>
    <row r="30" ht="15.75" hidden="1" customHeight="1">
      <c r="A30" s="5" t="s">
        <v>121</v>
      </c>
      <c r="B30" s="5" t="s">
        <v>296</v>
      </c>
      <c r="C30" s="5" t="s">
        <v>297</v>
      </c>
      <c r="D30" s="5" t="s">
        <v>944</v>
      </c>
      <c r="E30" s="5" t="s">
        <v>968</v>
      </c>
      <c r="F30" s="5">
        <v>411650.0</v>
      </c>
      <c r="G30" s="5">
        <v>0.0</v>
      </c>
      <c r="H30" s="5">
        <v>0.0</v>
      </c>
      <c r="I30" s="5">
        <v>0.0</v>
      </c>
      <c r="J30" s="5">
        <v>0.0</v>
      </c>
      <c r="K30" s="5">
        <v>30946.0</v>
      </c>
      <c r="L30" s="4">
        <f t="shared" si="1"/>
        <v>442596</v>
      </c>
    </row>
    <row r="31" ht="15.75" hidden="1" customHeight="1">
      <c r="A31" s="5" t="s">
        <v>121</v>
      </c>
      <c r="B31" s="5" t="s">
        <v>304</v>
      </c>
      <c r="C31" s="5" t="s">
        <v>305</v>
      </c>
      <c r="D31" s="5" t="s">
        <v>944</v>
      </c>
      <c r="E31" s="5" t="s">
        <v>968</v>
      </c>
      <c r="F31" s="5">
        <v>121208.44</v>
      </c>
      <c r="G31" s="5">
        <v>0.0</v>
      </c>
      <c r="H31" s="5">
        <v>0.0</v>
      </c>
      <c r="I31" s="5">
        <v>0.0</v>
      </c>
      <c r="J31" s="5">
        <v>52400.0</v>
      </c>
      <c r="K31" s="5">
        <v>0.0</v>
      </c>
      <c r="L31" s="4">
        <f t="shared" si="1"/>
        <v>173608.44</v>
      </c>
    </row>
    <row r="32" ht="15.75" hidden="1" customHeight="1">
      <c r="A32" s="5" t="s">
        <v>121</v>
      </c>
      <c r="B32" s="5" t="s">
        <v>313</v>
      </c>
      <c r="C32" s="5" t="s">
        <v>314</v>
      </c>
      <c r="D32" s="5" t="s">
        <v>944</v>
      </c>
      <c r="E32" s="5" t="s">
        <v>968</v>
      </c>
      <c r="F32" s="5">
        <v>0.0</v>
      </c>
      <c r="G32" s="5">
        <v>21270.0</v>
      </c>
      <c r="H32" s="5">
        <v>0.0</v>
      </c>
      <c r="I32" s="5">
        <v>0.0</v>
      </c>
      <c r="J32" s="5">
        <v>0.0</v>
      </c>
      <c r="K32" s="5">
        <v>93500.0</v>
      </c>
      <c r="L32" s="4">
        <f t="shared" si="1"/>
        <v>114770</v>
      </c>
    </row>
    <row r="33" ht="15.75" hidden="1" customHeight="1">
      <c r="A33" s="5" t="s">
        <v>121</v>
      </c>
      <c r="B33" s="5" t="s">
        <v>321</v>
      </c>
      <c r="C33" s="5" t="s">
        <v>322</v>
      </c>
      <c r="D33" s="5" t="s">
        <v>944</v>
      </c>
      <c r="E33" s="5" t="s">
        <v>968</v>
      </c>
      <c r="F33" s="5">
        <v>0.0</v>
      </c>
      <c r="G33" s="5">
        <v>0.0</v>
      </c>
      <c r="H33" s="5">
        <v>253500.0</v>
      </c>
      <c r="I33" s="5">
        <v>0.0</v>
      </c>
      <c r="J33" s="5">
        <v>0.0</v>
      </c>
      <c r="K33" s="5">
        <v>0.0</v>
      </c>
      <c r="L33" s="4">
        <f t="shared" si="1"/>
        <v>253500</v>
      </c>
    </row>
    <row r="34" ht="15.75" hidden="1" customHeight="1">
      <c r="A34" s="5" t="s">
        <v>121</v>
      </c>
      <c r="B34" s="5" t="s">
        <v>330</v>
      </c>
      <c r="C34" s="5" t="s">
        <v>331</v>
      </c>
      <c r="D34" s="5" t="s">
        <v>944</v>
      </c>
      <c r="E34" s="5" t="s">
        <v>968</v>
      </c>
      <c r="F34" s="5">
        <v>168165.0</v>
      </c>
      <c r="G34" s="5">
        <v>0.0</v>
      </c>
      <c r="H34" s="5">
        <v>0.0</v>
      </c>
      <c r="I34" s="5">
        <v>0.0</v>
      </c>
      <c r="J34" s="5">
        <v>0.0</v>
      </c>
      <c r="K34" s="5">
        <v>0.0</v>
      </c>
      <c r="L34" s="4">
        <f t="shared" si="1"/>
        <v>168165</v>
      </c>
    </row>
    <row r="35" ht="15.75" hidden="1" customHeight="1">
      <c r="A35" s="5" t="s">
        <v>121</v>
      </c>
      <c r="B35" s="5" t="s">
        <v>338</v>
      </c>
      <c r="C35" s="5" t="s">
        <v>339</v>
      </c>
      <c r="D35" s="5" t="s">
        <v>944</v>
      </c>
      <c r="E35" s="5" t="s">
        <v>968</v>
      </c>
      <c r="F35" s="5">
        <v>0.0</v>
      </c>
      <c r="G35" s="5">
        <v>27990.0</v>
      </c>
      <c r="H35" s="5">
        <v>0.0</v>
      </c>
      <c r="I35" s="5">
        <v>8000.0</v>
      </c>
      <c r="J35" s="5">
        <v>0.0</v>
      </c>
      <c r="K35" s="5">
        <v>111720.0</v>
      </c>
      <c r="L35" s="4">
        <f t="shared" si="1"/>
        <v>147710</v>
      </c>
    </row>
    <row r="36" ht="15.75" hidden="1" customHeight="1">
      <c r="A36" s="5" t="s">
        <v>121</v>
      </c>
      <c r="B36" s="5" t="s">
        <v>348</v>
      </c>
      <c r="C36" s="5" t="s">
        <v>349</v>
      </c>
      <c r="D36" s="5" t="s">
        <v>944</v>
      </c>
      <c r="E36" s="5" t="s">
        <v>968</v>
      </c>
      <c r="F36" s="5">
        <v>499484.0</v>
      </c>
      <c r="G36" s="5">
        <v>0.0</v>
      </c>
      <c r="H36" s="5">
        <v>0.0</v>
      </c>
      <c r="I36" s="5">
        <v>0.0</v>
      </c>
      <c r="J36" s="5">
        <v>0.0</v>
      </c>
      <c r="K36" s="5">
        <v>0.0</v>
      </c>
      <c r="L36" s="4">
        <f t="shared" si="1"/>
        <v>499484</v>
      </c>
    </row>
    <row r="37" ht="15.75" hidden="1" customHeight="1">
      <c r="A37" s="5" t="s">
        <v>121</v>
      </c>
      <c r="B37" s="5" t="s">
        <v>355</v>
      </c>
      <c r="C37" s="5" t="s">
        <v>356</v>
      </c>
      <c r="D37" s="5" t="s">
        <v>944</v>
      </c>
      <c r="E37" s="5" t="s">
        <v>968</v>
      </c>
      <c r="F37" s="5">
        <v>0.0</v>
      </c>
      <c r="G37" s="5">
        <v>0.0</v>
      </c>
      <c r="H37" s="5">
        <v>0.0</v>
      </c>
      <c r="I37" s="5">
        <v>41200.0</v>
      </c>
      <c r="J37" s="5">
        <v>0.0</v>
      </c>
      <c r="K37" s="5">
        <v>0.0</v>
      </c>
      <c r="L37" s="4">
        <f t="shared" si="1"/>
        <v>41200</v>
      </c>
    </row>
    <row r="38" ht="15.75" hidden="1" customHeight="1">
      <c r="A38" s="5" t="s">
        <v>121</v>
      </c>
      <c r="B38" s="5" t="s">
        <v>365</v>
      </c>
      <c r="C38" s="5" t="s">
        <v>366</v>
      </c>
      <c r="D38" s="5" t="s">
        <v>944</v>
      </c>
      <c r="E38" s="5" t="s">
        <v>968</v>
      </c>
      <c r="F38" s="5">
        <v>0.0</v>
      </c>
      <c r="G38" s="5">
        <v>13500.0</v>
      </c>
      <c r="H38" s="5">
        <v>0.0</v>
      </c>
      <c r="I38" s="5">
        <v>0.0</v>
      </c>
      <c r="J38" s="5">
        <v>108000.0</v>
      </c>
      <c r="K38" s="5">
        <v>0.0</v>
      </c>
      <c r="L38" s="4">
        <f t="shared" si="1"/>
        <v>121500</v>
      </c>
    </row>
    <row r="39" ht="15.75" hidden="1" customHeight="1">
      <c r="A39" s="5" t="s">
        <v>121</v>
      </c>
      <c r="B39" s="5" t="s">
        <v>375</v>
      </c>
      <c r="C39" s="5" t="s">
        <v>376</v>
      </c>
      <c r="D39" s="5" t="s">
        <v>944</v>
      </c>
      <c r="E39" s="5" t="s">
        <v>968</v>
      </c>
      <c r="F39" s="5">
        <v>319383.9</v>
      </c>
      <c r="G39" s="5">
        <v>263509.97</v>
      </c>
      <c r="H39" s="5">
        <v>0.0</v>
      </c>
      <c r="I39" s="5">
        <v>30700.0</v>
      </c>
      <c r="J39" s="5">
        <v>0.0</v>
      </c>
      <c r="K39" s="5">
        <v>0.0</v>
      </c>
      <c r="L39" s="4">
        <f t="shared" si="1"/>
        <v>613593.87</v>
      </c>
    </row>
    <row r="40" ht="15.75" hidden="1" customHeight="1">
      <c r="A40" s="5" t="s">
        <v>121</v>
      </c>
      <c r="B40" s="5" t="s">
        <v>375</v>
      </c>
      <c r="C40" s="5" t="s">
        <v>376</v>
      </c>
      <c r="D40" s="5" t="s">
        <v>944</v>
      </c>
      <c r="E40" s="5" t="s">
        <v>968</v>
      </c>
      <c r="F40" s="5">
        <v>319383.9</v>
      </c>
      <c r="G40" s="5">
        <v>263509.97</v>
      </c>
      <c r="H40" s="5">
        <v>0.0</v>
      </c>
      <c r="I40" s="5">
        <v>30700.0</v>
      </c>
      <c r="J40" s="5">
        <v>0.0</v>
      </c>
      <c r="K40" s="5">
        <v>0.0</v>
      </c>
      <c r="L40" s="4">
        <f t="shared" si="1"/>
        <v>613593.87</v>
      </c>
    </row>
    <row r="41" ht="15.75" hidden="1" customHeight="1">
      <c r="A41" s="5" t="s">
        <v>121</v>
      </c>
      <c r="B41" s="5" t="s">
        <v>387</v>
      </c>
      <c r="C41" s="5" t="s">
        <v>388</v>
      </c>
      <c r="D41" s="5" t="s">
        <v>944</v>
      </c>
      <c r="E41" s="5" t="s">
        <v>968</v>
      </c>
      <c r="F41" s="5">
        <v>248592.18</v>
      </c>
      <c r="G41" s="5">
        <v>0.0</v>
      </c>
      <c r="H41" s="5">
        <v>0.0</v>
      </c>
      <c r="I41" s="5">
        <v>0.0</v>
      </c>
      <c r="J41" s="5">
        <v>0.0</v>
      </c>
      <c r="K41" s="5">
        <v>11200.0</v>
      </c>
      <c r="L41" s="4">
        <f t="shared" si="1"/>
        <v>259792.18</v>
      </c>
    </row>
    <row r="42" ht="15.75" hidden="1" customHeight="1">
      <c r="A42" s="5" t="s">
        <v>121</v>
      </c>
      <c r="B42" s="5" t="s">
        <v>395</v>
      </c>
      <c r="C42" s="5" t="s">
        <v>396</v>
      </c>
      <c r="D42" s="5" t="s">
        <v>944</v>
      </c>
      <c r="E42" s="5" t="s">
        <v>968</v>
      </c>
      <c r="F42" s="5">
        <v>0.0</v>
      </c>
      <c r="G42" s="5">
        <v>0.0</v>
      </c>
      <c r="H42" s="5">
        <v>54000.0</v>
      </c>
      <c r="I42" s="5">
        <v>48000.0</v>
      </c>
      <c r="J42" s="5">
        <v>0.0</v>
      </c>
      <c r="K42" s="5">
        <v>0.0</v>
      </c>
      <c r="L42" s="4">
        <f t="shared" si="1"/>
        <v>102000</v>
      </c>
    </row>
    <row r="43" ht="15.75" hidden="1" customHeight="1">
      <c r="A43" s="5" t="s">
        <v>121</v>
      </c>
      <c r="B43" s="5" t="s">
        <v>405</v>
      </c>
      <c r="C43" s="5" t="s">
        <v>406</v>
      </c>
      <c r="D43" s="5" t="s">
        <v>944</v>
      </c>
      <c r="E43" s="5" t="s">
        <v>968</v>
      </c>
      <c r="F43" s="5">
        <v>136500.0</v>
      </c>
      <c r="G43" s="5">
        <v>0.0</v>
      </c>
      <c r="H43" s="5">
        <v>0.0</v>
      </c>
      <c r="I43" s="5">
        <v>0.0</v>
      </c>
      <c r="J43" s="5">
        <v>0.0</v>
      </c>
      <c r="K43" s="5">
        <v>0.0</v>
      </c>
      <c r="L43" s="4">
        <f t="shared" si="1"/>
        <v>136500</v>
      </c>
    </row>
    <row r="44" ht="15.75" hidden="1" customHeight="1">
      <c r="A44" s="5" t="s">
        <v>121</v>
      </c>
      <c r="B44" s="5" t="s">
        <v>412</v>
      </c>
      <c r="C44" s="5" t="s">
        <v>413</v>
      </c>
      <c r="D44" s="5" t="s">
        <v>944</v>
      </c>
      <c r="E44" s="5" t="s">
        <v>968</v>
      </c>
      <c r="F44" s="5">
        <v>120000.0</v>
      </c>
      <c r="G44" s="5">
        <v>0.0</v>
      </c>
      <c r="H44" s="5">
        <v>0.0</v>
      </c>
      <c r="I44" s="5">
        <v>0.0</v>
      </c>
      <c r="J44" s="5">
        <v>0.0</v>
      </c>
      <c r="K44" s="5">
        <v>0.0</v>
      </c>
      <c r="L44" s="4">
        <f t="shared" si="1"/>
        <v>120000</v>
      </c>
    </row>
    <row r="45" ht="15.75" hidden="1" customHeight="1">
      <c r="A45" s="5" t="s">
        <v>419</v>
      </c>
      <c r="B45" s="5" t="s">
        <v>420</v>
      </c>
      <c r="C45" s="5" t="s">
        <v>421</v>
      </c>
      <c r="D45" s="5" t="s">
        <v>944</v>
      </c>
      <c r="E45" s="5" t="s">
        <v>968</v>
      </c>
      <c r="F45" s="5">
        <v>0.0</v>
      </c>
      <c r="G45" s="5">
        <v>61500.0</v>
      </c>
      <c r="H45" s="5">
        <v>0.0</v>
      </c>
      <c r="I45" s="5">
        <v>80000.0</v>
      </c>
      <c r="J45" s="5">
        <v>0.0</v>
      </c>
      <c r="K45" s="5">
        <v>0.0</v>
      </c>
      <c r="L45" s="4">
        <f t="shared" si="1"/>
        <v>141500</v>
      </c>
    </row>
    <row r="46" ht="15.75" hidden="1" customHeight="1">
      <c r="A46" s="5" t="s">
        <v>419</v>
      </c>
      <c r="B46" s="5" t="s">
        <v>430</v>
      </c>
      <c r="C46" s="5" t="s">
        <v>431</v>
      </c>
      <c r="D46" s="5" t="s">
        <v>1560</v>
      </c>
      <c r="L46" s="4">
        <f t="shared" si="1"/>
        <v>0</v>
      </c>
    </row>
    <row r="47" ht="15.75" hidden="1" customHeight="1">
      <c r="A47" s="5" t="s">
        <v>419</v>
      </c>
      <c r="B47" s="5" t="s">
        <v>438</v>
      </c>
      <c r="C47" s="5" t="s">
        <v>439</v>
      </c>
      <c r="D47" s="5" t="s">
        <v>944</v>
      </c>
      <c r="E47" s="5" t="s">
        <v>968</v>
      </c>
      <c r="F47" s="5">
        <v>138000.0</v>
      </c>
      <c r="G47" s="5">
        <v>0.0</v>
      </c>
      <c r="H47" s="5">
        <v>0.0</v>
      </c>
      <c r="I47" s="5">
        <v>0.0</v>
      </c>
      <c r="J47" s="5">
        <v>0.0</v>
      </c>
      <c r="K47" s="5">
        <v>0.0</v>
      </c>
      <c r="L47" s="4">
        <f t="shared" si="1"/>
        <v>138000</v>
      </c>
    </row>
    <row r="48" ht="15.75" hidden="1" customHeight="1">
      <c r="A48" s="5" t="s">
        <v>419</v>
      </c>
      <c r="B48" s="5" t="s">
        <v>446</v>
      </c>
      <c r="C48" s="5" t="s">
        <v>447</v>
      </c>
      <c r="D48" s="5" t="s">
        <v>944</v>
      </c>
      <c r="E48" s="5" t="s">
        <v>968</v>
      </c>
      <c r="F48" s="5">
        <v>0.0</v>
      </c>
      <c r="G48" s="5">
        <v>24000.0</v>
      </c>
      <c r="H48" s="5">
        <v>0.0</v>
      </c>
      <c r="I48" s="5">
        <v>0.0</v>
      </c>
      <c r="J48" s="5">
        <v>0.0</v>
      </c>
      <c r="K48" s="5">
        <v>0.0</v>
      </c>
      <c r="L48" s="4">
        <f t="shared" si="1"/>
        <v>24000</v>
      </c>
    </row>
    <row r="49" ht="15.75" hidden="1" customHeight="1">
      <c r="A49" s="5" t="s">
        <v>419</v>
      </c>
      <c r="B49" s="5" t="s">
        <v>453</v>
      </c>
      <c r="C49" s="5" t="s">
        <v>454</v>
      </c>
      <c r="D49" s="5" t="s">
        <v>1560</v>
      </c>
      <c r="L49" s="4">
        <f t="shared" si="1"/>
        <v>0</v>
      </c>
    </row>
    <row r="50" ht="15.75" hidden="1" customHeight="1">
      <c r="A50" s="5" t="s">
        <v>419</v>
      </c>
      <c r="B50" s="5" t="s">
        <v>461</v>
      </c>
      <c r="C50" s="5" t="s">
        <v>462</v>
      </c>
      <c r="D50" s="5" t="s">
        <v>944</v>
      </c>
      <c r="E50" s="5" t="s">
        <v>968</v>
      </c>
      <c r="F50" s="5">
        <v>0.0</v>
      </c>
      <c r="G50" s="5">
        <v>0.0</v>
      </c>
      <c r="H50" s="5">
        <v>60166.33</v>
      </c>
      <c r="I50" s="5">
        <v>7000.0</v>
      </c>
      <c r="J50" s="5">
        <v>0.0</v>
      </c>
      <c r="K50" s="5">
        <v>0.0</v>
      </c>
      <c r="L50" s="4">
        <f t="shared" si="1"/>
        <v>67166.33</v>
      </c>
    </row>
    <row r="51" ht="15.75" hidden="1" customHeight="1">
      <c r="A51" s="5" t="s">
        <v>419</v>
      </c>
      <c r="B51" s="5" t="s">
        <v>469</v>
      </c>
      <c r="C51" s="5" t="s">
        <v>470</v>
      </c>
      <c r="D51" s="5" t="s">
        <v>944</v>
      </c>
      <c r="E51" s="5" t="s">
        <v>968</v>
      </c>
      <c r="F51" s="5">
        <v>11363.0</v>
      </c>
      <c r="G51" s="5">
        <v>0.0</v>
      </c>
      <c r="H51" s="5">
        <v>0.0</v>
      </c>
      <c r="I51" s="5">
        <v>0.0</v>
      </c>
      <c r="J51" s="5">
        <v>0.0</v>
      </c>
      <c r="K51" s="5">
        <v>0.0</v>
      </c>
      <c r="L51" s="4">
        <f t="shared" si="1"/>
        <v>11363</v>
      </c>
    </row>
    <row r="52" ht="15.75" hidden="1" customHeight="1">
      <c r="A52" s="5" t="s">
        <v>419</v>
      </c>
      <c r="B52" s="5" t="s">
        <v>477</v>
      </c>
      <c r="C52" s="5" t="s">
        <v>478</v>
      </c>
      <c r="D52" s="5" t="s">
        <v>944</v>
      </c>
      <c r="E52" s="5" t="s">
        <v>968</v>
      </c>
      <c r="F52" s="5">
        <v>96127.79</v>
      </c>
      <c r="G52" s="5">
        <v>0.0</v>
      </c>
      <c r="H52" s="5">
        <v>0.0</v>
      </c>
      <c r="I52" s="5">
        <v>0.0</v>
      </c>
      <c r="J52" s="5">
        <v>0.0</v>
      </c>
      <c r="K52" s="5">
        <v>0.0</v>
      </c>
      <c r="L52" s="4">
        <f t="shared" si="1"/>
        <v>96127.79</v>
      </c>
    </row>
    <row r="53" ht="15.75" hidden="1" customHeight="1">
      <c r="A53" s="5" t="s">
        <v>419</v>
      </c>
      <c r="B53" s="5" t="s">
        <v>477</v>
      </c>
      <c r="C53" s="5" t="s">
        <v>478</v>
      </c>
      <c r="D53" s="5" t="s">
        <v>944</v>
      </c>
      <c r="E53" s="5" t="s">
        <v>968</v>
      </c>
      <c r="F53" s="5">
        <v>96127.79</v>
      </c>
      <c r="G53" s="5">
        <v>0.0</v>
      </c>
      <c r="H53" s="5">
        <v>0.0</v>
      </c>
      <c r="I53" s="5">
        <v>0.0</v>
      </c>
      <c r="J53" s="5">
        <v>0.0</v>
      </c>
      <c r="K53" s="5">
        <v>0.0</v>
      </c>
      <c r="L53" s="4">
        <f t="shared" si="1"/>
        <v>96127.79</v>
      </c>
    </row>
    <row r="54" ht="15.75" hidden="1" customHeight="1">
      <c r="A54" s="5" t="s">
        <v>419</v>
      </c>
      <c r="B54" s="5" t="s">
        <v>488</v>
      </c>
      <c r="C54" s="5" t="s">
        <v>489</v>
      </c>
      <c r="D54" s="5" t="s">
        <v>944</v>
      </c>
      <c r="E54" s="5" t="s">
        <v>968</v>
      </c>
      <c r="F54" s="5">
        <v>43000.0</v>
      </c>
      <c r="G54" s="5">
        <v>0.0</v>
      </c>
      <c r="H54" s="5">
        <v>0.0</v>
      </c>
      <c r="I54" s="5">
        <v>0.0</v>
      </c>
      <c r="J54" s="5">
        <v>0.0</v>
      </c>
      <c r="K54" s="5">
        <v>0.0</v>
      </c>
      <c r="L54" s="4">
        <f t="shared" si="1"/>
        <v>43000</v>
      </c>
    </row>
    <row r="55" ht="15.75" hidden="1" customHeight="1">
      <c r="A55" s="5" t="s">
        <v>419</v>
      </c>
      <c r="B55" s="5" t="s">
        <v>498</v>
      </c>
      <c r="C55" s="5" t="s">
        <v>499</v>
      </c>
      <c r="D55" s="5" t="s">
        <v>944</v>
      </c>
      <c r="E55" s="5" t="s">
        <v>968</v>
      </c>
      <c r="F55" s="5">
        <v>0.0</v>
      </c>
      <c r="G55" s="5">
        <v>3400.0</v>
      </c>
      <c r="H55" s="5">
        <v>0.0</v>
      </c>
      <c r="I55" s="5">
        <v>0.0</v>
      </c>
      <c r="J55" s="5">
        <v>0.0</v>
      </c>
      <c r="K55" s="5">
        <v>0.0</v>
      </c>
      <c r="L55" s="4">
        <f t="shared" si="1"/>
        <v>3400</v>
      </c>
    </row>
    <row r="56" ht="15.75" hidden="1" customHeight="1">
      <c r="A56" s="5" t="s">
        <v>419</v>
      </c>
      <c r="B56" s="5" t="s">
        <v>507</v>
      </c>
      <c r="C56" s="5" t="s">
        <v>508</v>
      </c>
      <c r="D56" s="5" t="s">
        <v>944</v>
      </c>
      <c r="E56" s="5" t="s">
        <v>968</v>
      </c>
      <c r="F56" s="5">
        <v>44000.0</v>
      </c>
      <c r="G56" s="5">
        <v>0.0</v>
      </c>
      <c r="H56" s="5">
        <v>0.0</v>
      </c>
      <c r="I56" s="5">
        <v>0.0</v>
      </c>
      <c r="J56" s="5">
        <v>1000.0</v>
      </c>
      <c r="K56" s="5">
        <v>0.0</v>
      </c>
      <c r="L56" s="4">
        <f t="shared" si="1"/>
        <v>45000</v>
      </c>
    </row>
    <row r="57" ht="15.75" hidden="1" customHeight="1">
      <c r="A57" s="5" t="s">
        <v>419</v>
      </c>
      <c r="B57" s="5" t="s">
        <v>517</v>
      </c>
      <c r="C57" s="5" t="s">
        <v>518</v>
      </c>
      <c r="D57" s="5" t="s">
        <v>944</v>
      </c>
      <c r="E57" s="5" t="s">
        <v>968</v>
      </c>
      <c r="F57" s="5">
        <v>0.0</v>
      </c>
      <c r="G57" s="5">
        <v>0.0</v>
      </c>
      <c r="H57" s="5">
        <v>0.0</v>
      </c>
      <c r="I57" s="5">
        <v>0.0</v>
      </c>
      <c r="J57" s="5">
        <v>0.0</v>
      </c>
      <c r="K57" s="5">
        <v>40000.0</v>
      </c>
      <c r="L57" s="4">
        <f t="shared" si="1"/>
        <v>40000</v>
      </c>
    </row>
    <row r="58" ht="15.75" hidden="1" customHeight="1">
      <c r="A58" s="5" t="s">
        <v>419</v>
      </c>
      <c r="B58" s="5" t="s">
        <v>527</v>
      </c>
      <c r="C58" s="5" t="s">
        <v>528</v>
      </c>
      <c r="D58" s="5" t="s">
        <v>944</v>
      </c>
      <c r="E58" s="5" t="s">
        <v>968</v>
      </c>
      <c r="F58" s="5">
        <v>0.0</v>
      </c>
      <c r="G58" s="5">
        <v>0.0</v>
      </c>
      <c r="H58" s="5">
        <v>47700.0</v>
      </c>
      <c r="I58" s="5">
        <v>0.0</v>
      </c>
      <c r="J58" s="5">
        <v>0.0</v>
      </c>
      <c r="K58" s="5">
        <v>0.0</v>
      </c>
      <c r="L58" s="4">
        <f t="shared" si="1"/>
        <v>47700</v>
      </c>
    </row>
    <row r="59" ht="15.75" hidden="1" customHeight="1">
      <c r="A59" s="5" t="s">
        <v>419</v>
      </c>
      <c r="B59" s="5" t="s">
        <v>533</v>
      </c>
      <c r="C59" s="5" t="s">
        <v>534</v>
      </c>
      <c r="D59" s="5" t="s">
        <v>944</v>
      </c>
      <c r="E59" s="5" t="s">
        <v>968</v>
      </c>
      <c r="F59" s="5">
        <v>12000.0</v>
      </c>
      <c r="G59" s="5">
        <v>0.0</v>
      </c>
      <c r="H59" s="5">
        <v>0.0</v>
      </c>
      <c r="I59" s="5">
        <v>0.0</v>
      </c>
      <c r="J59" s="5">
        <v>0.0</v>
      </c>
      <c r="K59" s="5">
        <v>0.0</v>
      </c>
      <c r="L59" s="4">
        <f t="shared" si="1"/>
        <v>12000</v>
      </c>
    </row>
    <row r="60" ht="15.75" hidden="1" customHeight="1">
      <c r="A60" s="5" t="s">
        <v>419</v>
      </c>
      <c r="B60" s="5" t="s">
        <v>541</v>
      </c>
      <c r="C60" s="5" t="s">
        <v>542</v>
      </c>
      <c r="D60" s="5" t="s">
        <v>1560</v>
      </c>
      <c r="L60" s="4">
        <f t="shared" si="1"/>
        <v>0</v>
      </c>
    </row>
    <row r="61" ht="15.75" hidden="1" customHeight="1">
      <c r="A61" s="5" t="s">
        <v>419</v>
      </c>
      <c r="B61" s="5" t="s">
        <v>550</v>
      </c>
      <c r="C61" s="5" t="s">
        <v>551</v>
      </c>
      <c r="D61" s="5" t="s">
        <v>944</v>
      </c>
      <c r="E61" s="5" t="s">
        <v>968</v>
      </c>
      <c r="F61" s="5">
        <v>40920.0</v>
      </c>
      <c r="G61" s="5">
        <v>0.0</v>
      </c>
      <c r="H61" s="5">
        <v>0.0</v>
      </c>
      <c r="I61" s="5">
        <v>0.0</v>
      </c>
      <c r="J61" s="5">
        <v>1000.0</v>
      </c>
      <c r="K61" s="5">
        <v>3600.0</v>
      </c>
      <c r="L61" s="4">
        <f t="shared" si="1"/>
        <v>45520</v>
      </c>
    </row>
    <row r="62" ht="15.75" hidden="1" customHeight="1">
      <c r="A62" s="5" t="s">
        <v>419</v>
      </c>
      <c r="B62" s="5" t="s">
        <v>559</v>
      </c>
      <c r="C62" s="5" t="s">
        <v>560</v>
      </c>
      <c r="D62" s="5" t="s">
        <v>944</v>
      </c>
      <c r="E62" s="5" t="s">
        <v>968</v>
      </c>
      <c r="F62" s="5">
        <v>112316.0</v>
      </c>
      <c r="G62" s="5">
        <v>0.0</v>
      </c>
      <c r="H62" s="5">
        <v>0.0</v>
      </c>
      <c r="I62" s="5">
        <v>0.0</v>
      </c>
      <c r="J62" s="5">
        <v>0.0</v>
      </c>
      <c r="K62" s="5">
        <v>0.0</v>
      </c>
      <c r="L62" s="4">
        <f t="shared" si="1"/>
        <v>112316</v>
      </c>
    </row>
    <row r="63" ht="15.75" hidden="1" customHeight="1">
      <c r="A63" s="5" t="s">
        <v>567</v>
      </c>
      <c r="B63" s="5" t="s">
        <v>568</v>
      </c>
      <c r="C63" s="5" t="s">
        <v>569</v>
      </c>
      <c r="D63" s="5" t="s">
        <v>944</v>
      </c>
      <c r="E63" s="5" t="s">
        <v>968</v>
      </c>
      <c r="F63" s="5">
        <v>0.0</v>
      </c>
      <c r="G63" s="5">
        <v>0.0</v>
      </c>
      <c r="H63" s="5">
        <v>21333.0</v>
      </c>
      <c r="I63" s="5">
        <v>20000.0</v>
      </c>
      <c r="J63" s="5">
        <v>0.0</v>
      </c>
      <c r="K63" s="5">
        <v>0.0</v>
      </c>
      <c r="L63" s="4">
        <f t="shared" si="1"/>
        <v>41333</v>
      </c>
    </row>
    <row r="64" ht="15.75" hidden="1" customHeight="1">
      <c r="A64" s="5" t="s">
        <v>567</v>
      </c>
      <c r="B64" s="5" t="s">
        <v>577</v>
      </c>
      <c r="C64" s="5" t="s">
        <v>578</v>
      </c>
      <c r="D64" s="5" t="s">
        <v>944</v>
      </c>
      <c r="E64" s="5" t="s">
        <v>968</v>
      </c>
      <c r="F64" s="5">
        <v>0.0</v>
      </c>
      <c r="G64" s="5">
        <v>0.0</v>
      </c>
      <c r="H64" s="5">
        <v>0.0</v>
      </c>
      <c r="I64" s="5">
        <v>34736.0</v>
      </c>
      <c r="J64" s="5">
        <v>0.0</v>
      </c>
      <c r="K64" s="5">
        <v>0.0</v>
      </c>
      <c r="L64" s="4">
        <f t="shared" si="1"/>
        <v>34736</v>
      </c>
    </row>
    <row r="65" ht="15.75" hidden="1" customHeight="1">
      <c r="A65" s="5" t="s">
        <v>567</v>
      </c>
      <c r="B65" s="5" t="s">
        <v>586</v>
      </c>
      <c r="C65" s="5" t="s">
        <v>587</v>
      </c>
      <c r="D65" s="5" t="s">
        <v>944</v>
      </c>
      <c r="E65" s="5" t="s">
        <v>968</v>
      </c>
      <c r="F65" s="5">
        <v>0.0</v>
      </c>
      <c r="G65" s="5">
        <v>0.0</v>
      </c>
      <c r="H65" s="5">
        <v>0.0</v>
      </c>
      <c r="I65" s="5">
        <v>84000.0</v>
      </c>
      <c r="J65" s="5">
        <v>0.0</v>
      </c>
      <c r="K65" s="5">
        <v>0.0</v>
      </c>
      <c r="L65" s="4">
        <f t="shared" si="1"/>
        <v>84000</v>
      </c>
    </row>
    <row r="66" ht="15.75" hidden="1" customHeight="1">
      <c r="A66" s="5" t="s">
        <v>567</v>
      </c>
      <c r="B66" s="5" t="s">
        <v>597</v>
      </c>
      <c r="C66" s="5" t="s">
        <v>598</v>
      </c>
      <c r="D66" s="5" t="s">
        <v>944</v>
      </c>
      <c r="E66" s="5" t="s">
        <v>968</v>
      </c>
      <c r="F66" s="5">
        <v>0.0</v>
      </c>
      <c r="G66" s="5">
        <v>0.0</v>
      </c>
      <c r="H66" s="5">
        <v>0.0</v>
      </c>
      <c r="I66" s="5">
        <v>97260.0</v>
      </c>
      <c r="J66" s="5">
        <v>0.0</v>
      </c>
      <c r="K66" s="5">
        <v>0.0</v>
      </c>
      <c r="L66" s="4">
        <f t="shared" si="1"/>
        <v>97260</v>
      </c>
    </row>
    <row r="67" ht="15.75" hidden="1" customHeight="1">
      <c r="A67" s="5" t="s">
        <v>567</v>
      </c>
      <c r="B67" s="5" t="s">
        <v>606</v>
      </c>
      <c r="C67" s="5" t="s">
        <v>607</v>
      </c>
      <c r="D67" s="5" t="s">
        <v>944</v>
      </c>
      <c r="E67" s="5" t="s">
        <v>968</v>
      </c>
      <c r="F67" s="5">
        <v>43448.4</v>
      </c>
      <c r="G67" s="5">
        <v>0.0</v>
      </c>
      <c r="H67" s="5">
        <v>0.0</v>
      </c>
      <c r="I67" s="5">
        <v>0.0</v>
      </c>
      <c r="J67" s="5">
        <v>0.0</v>
      </c>
      <c r="K67" s="5">
        <v>15000.0</v>
      </c>
      <c r="L67" s="4">
        <f t="shared" si="1"/>
        <v>58448.4</v>
      </c>
    </row>
    <row r="68" ht="15.75" hidden="1" customHeight="1">
      <c r="A68" s="5" t="s">
        <v>567</v>
      </c>
      <c r="B68" s="5" t="s">
        <v>606</v>
      </c>
      <c r="C68" s="5" t="s">
        <v>607</v>
      </c>
      <c r="D68" s="5" t="s">
        <v>944</v>
      </c>
      <c r="E68" s="5" t="s">
        <v>968</v>
      </c>
      <c r="F68" s="5">
        <v>43448.4</v>
      </c>
      <c r="G68" s="5">
        <v>0.0</v>
      </c>
      <c r="H68" s="5">
        <v>0.0</v>
      </c>
      <c r="I68" s="5">
        <v>0.0</v>
      </c>
      <c r="J68" s="5">
        <v>0.0</v>
      </c>
      <c r="K68" s="5">
        <v>15000.0</v>
      </c>
      <c r="L68" s="4">
        <f t="shared" si="1"/>
        <v>58448.4</v>
      </c>
    </row>
    <row r="69" ht="15.75" hidden="1" customHeight="1">
      <c r="A69" s="5" t="s">
        <v>567</v>
      </c>
      <c r="B69" s="5" t="s">
        <v>614</v>
      </c>
      <c r="C69" s="5" t="s">
        <v>615</v>
      </c>
      <c r="D69" s="5" t="s">
        <v>944</v>
      </c>
      <c r="E69" s="5" t="s">
        <v>968</v>
      </c>
      <c r="F69" s="5">
        <v>0.0</v>
      </c>
      <c r="G69" s="5">
        <v>20100.0</v>
      </c>
      <c r="H69" s="5">
        <v>0.0</v>
      </c>
      <c r="I69" s="5">
        <v>0.0</v>
      </c>
      <c r="J69" s="5">
        <v>0.0</v>
      </c>
      <c r="K69" s="5">
        <v>0.0</v>
      </c>
      <c r="L69" s="4">
        <f t="shared" si="1"/>
        <v>20100</v>
      </c>
    </row>
    <row r="70" ht="15.75" customHeight="1">
      <c r="A70" s="5" t="s">
        <v>567</v>
      </c>
      <c r="B70" s="5" t="s">
        <v>624</v>
      </c>
      <c r="C70" s="5" t="s">
        <v>625</v>
      </c>
      <c r="D70" s="5" t="s">
        <v>944</v>
      </c>
      <c r="E70" s="5" t="s">
        <v>968</v>
      </c>
      <c r="F70" s="5">
        <v>0.0</v>
      </c>
      <c r="G70" s="5">
        <v>18000.0</v>
      </c>
      <c r="H70" s="5">
        <v>0.0</v>
      </c>
      <c r="I70" s="5">
        <v>301000.0</v>
      </c>
      <c r="J70" s="5">
        <v>0.0</v>
      </c>
      <c r="K70" s="5">
        <v>3000000.0</v>
      </c>
      <c r="L70" s="4">
        <f t="shared" si="1"/>
        <v>3319000</v>
      </c>
    </row>
    <row r="71" ht="15.75" hidden="1" customHeight="1">
      <c r="A71" s="5" t="s">
        <v>567</v>
      </c>
      <c r="B71" s="5" t="s">
        <v>634</v>
      </c>
      <c r="C71" s="5" t="s">
        <v>635</v>
      </c>
      <c r="D71" s="5" t="s">
        <v>944</v>
      </c>
      <c r="E71" s="5" t="s">
        <v>968</v>
      </c>
      <c r="F71" s="5">
        <v>0.0</v>
      </c>
      <c r="G71" s="5">
        <v>0.0</v>
      </c>
      <c r="H71" s="5">
        <v>0.0</v>
      </c>
      <c r="I71" s="5">
        <v>50000.0</v>
      </c>
      <c r="J71" s="5">
        <v>0.0</v>
      </c>
      <c r="K71" s="5">
        <v>0.0</v>
      </c>
      <c r="L71" s="4">
        <f t="shared" si="1"/>
        <v>50000</v>
      </c>
    </row>
    <row r="72" ht="15.75" hidden="1" customHeight="1">
      <c r="A72" s="5" t="s">
        <v>567</v>
      </c>
      <c r="B72" s="5" t="s">
        <v>643</v>
      </c>
      <c r="C72" s="5" t="s">
        <v>644</v>
      </c>
      <c r="D72" s="5" t="s">
        <v>944</v>
      </c>
      <c r="E72" s="5" t="s">
        <v>968</v>
      </c>
      <c r="F72" s="5">
        <v>48000.0</v>
      </c>
      <c r="G72" s="5">
        <v>0.0</v>
      </c>
      <c r="H72" s="5">
        <v>0.0</v>
      </c>
      <c r="I72" s="5">
        <v>0.0</v>
      </c>
      <c r="J72" s="5">
        <v>0.0</v>
      </c>
      <c r="K72" s="5">
        <v>0.0</v>
      </c>
      <c r="L72" s="4">
        <f t="shared" si="1"/>
        <v>48000</v>
      </c>
    </row>
    <row r="73" ht="15.75" hidden="1" customHeight="1">
      <c r="A73" s="5" t="s">
        <v>567</v>
      </c>
      <c r="B73" s="5" t="s">
        <v>651</v>
      </c>
      <c r="C73" s="5" t="s">
        <v>652</v>
      </c>
      <c r="D73" s="5" t="s">
        <v>944</v>
      </c>
      <c r="E73" s="5" t="s">
        <v>968</v>
      </c>
      <c r="F73" s="5">
        <v>0.0</v>
      </c>
      <c r="G73" s="5">
        <v>0.0</v>
      </c>
      <c r="H73" s="5">
        <v>0.0</v>
      </c>
      <c r="I73" s="5">
        <v>106676.09</v>
      </c>
      <c r="J73" s="5">
        <v>0.0</v>
      </c>
      <c r="K73" s="5">
        <v>0.0</v>
      </c>
      <c r="L73" s="4">
        <f t="shared" si="1"/>
        <v>106676.09</v>
      </c>
    </row>
    <row r="74" ht="15.75" hidden="1" customHeight="1">
      <c r="A74" s="5" t="s">
        <v>567</v>
      </c>
      <c r="B74" s="5" t="s">
        <v>659</v>
      </c>
      <c r="C74" s="5" t="s">
        <v>660</v>
      </c>
      <c r="D74" s="5" t="s">
        <v>944</v>
      </c>
      <c r="E74" s="5" t="s">
        <v>968</v>
      </c>
      <c r="F74" s="5">
        <v>12000.0</v>
      </c>
      <c r="G74" s="5">
        <v>0.0</v>
      </c>
      <c r="H74" s="5">
        <v>78000.0</v>
      </c>
      <c r="I74" s="5">
        <v>0.0</v>
      </c>
      <c r="J74" s="5">
        <v>0.0</v>
      </c>
      <c r="K74" s="5">
        <v>0.0</v>
      </c>
      <c r="L74" s="4">
        <f t="shared" si="1"/>
        <v>90000</v>
      </c>
    </row>
    <row r="75" ht="15.75" hidden="1" customHeight="1">
      <c r="A75" s="5" t="s">
        <v>567</v>
      </c>
      <c r="B75" s="5" t="s">
        <v>667</v>
      </c>
      <c r="C75" s="5" t="s">
        <v>668</v>
      </c>
      <c r="D75" s="5" t="s">
        <v>944</v>
      </c>
      <c r="E75" s="5" t="s">
        <v>968</v>
      </c>
      <c r="F75" s="5">
        <v>0.0</v>
      </c>
      <c r="G75" s="5">
        <v>0.0</v>
      </c>
      <c r="H75" s="5">
        <v>0.0</v>
      </c>
      <c r="I75" s="5">
        <v>6000.0</v>
      </c>
      <c r="J75" s="5">
        <v>0.0</v>
      </c>
      <c r="K75" s="5">
        <v>0.0</v>
      </c>
      <c r="L75" s="4">
        <f t="shared" si="1"/>
        <v>6000</v>
      </c>
    </row>
    <row r="76" ht="15.75" hidden="1" customHeight="1">
      <c r="A76" s="5" t="s">
        <v>567</v>
      </c>
      <c r="B76" s="5" t="s">
        <v>674</v>
      </c>
      <c r="C76" s="5" t="s">
        <v>675</v>
      </c>
      <c r="D76" s="5" t="s">
        <v>944</v>
      </c>
      <c r="E76" s="5" t="s">
        <v>968</v>
      </c>
      <c r="F76" s="5">
        <v>0.0</v>
      </c>
      <c r="G76" s="5">
        <v>18235.0</v>
      </c>
      <c r="H76" s="5">
        <v>23200.0</v>
      </c>
      <c r="I76" s="5">
        <v>500.0</v>
      </c>
      <c r="J76" s="5">
        <v>0.0</v>
      </c>
      <c r="K76" s="5">
        <v>0.0</v>
      </c>
      <c r="L76" s="4">
        <f t="shared" si="1"/>
        <v>41935</v>
      </c>
    </row>
    <row r="77" ht="15.75" hidden="1" customHeight="1">
      <c r="A77" s="5" t="s">
        <v>682</v>
      </c>
      <c r="B77" s="5" t="s">
        <v>683</v>
      </c>
      <c r="C77" s="5" t="s">
        <v>684</v>
      </c>
      <c r="D77" s="5" t="s">
        <v>944</v>
      </c>
      <c r="E77" s="5" t="s">
        <v>968</v>
      </c>
      <c r="F77" s="5">
        <v>0.0</v>
      </c>
      <c r="G77" s="5">
        <v>40000.0</v>
      </c>
      <c r="H77" s="5">
        <v>0.0</v>
      </c>
      <c r="I77" s="5">
        <v>10000.0</v>
      </c>
      <c r="J77" s="5">
        <v>0.0</v>
      </c>
      <c r="K77" s="5">
        <v>0.0</v>
      </c>
      <c r="L77" s="4">
        <f t="shared" si="1"/>
        <v>50000</v>
      </c>
    </row>
    <row r="78" ht="15.75" hidden="1" customHeight="1">
      <c r="A78" s="5" t="s">
        <v>682</v>
      </c>
      <c r="B78" s="5" t="s">
        <v>691</v>
      </c>
      <c r="C78" s="5" t="s">
        <v>692</v>
      </c>
      <c r="D78" s="5" t="s">
        <v>944</v>
      </c>
      <c r="E78" s="5" t="s">
        <v>968</v>
      </c>
      <c r="F78" s="5">
        <v>66000.0</v>
      </c>
      <c r="G78" s="5">
        <v>5000.0</v>
      </c>
      <c r="H78" s="5">
        <v>0.0</v>
      </c>
      <c r="I78" s="5">
        <v>0.0</v>
      </c>
      <c r="J78" s="5">
        <v>0.0</v>
      </c>
      <c r="K78" s="5">
        <v>0.0</v>
      </c>
      <c r="L78" s="4">
        <f t="shared" si="1"/>
        <v>71000</v>
      </c>
    </row>
    <row r="79" ht="15.75" hidden="1" customHeight="1">
      <c r="A79" s="5" t="s">
        <v>682</v>
      </c>
      <c r="B79" s="5" t="s">
        <v>699</v>
      </c>
      <c r="C79" s="5" t="s">
        <v>700</v>
      </c>
      <c r="D79" s="5" t="s">
        <v>944</v>
      </c>
      <c r="E79" s="5" t="s">
        <v>968</v>
      </c>
      <c r="F79" s="5">
        <v>54000.0</v>
      </c>
      <c r="G79" s="5">
        <v>0.0</v>
      </c>
      <c r="H79" s="5">
        <v>0.0</v>
      </c>
      <c r="I79" s="5">
        <v>3600.0</v>
      </c>
      <c r="J79" s="5">
        <v>0.0</v>
      </c>
      <c r="K79" s="5">
        <v>0.0</v>
      </c>
      <c r="L79" s="4">
        <f t="shared" si="1"/>
        <v>57600</v>
      </c>
    </row>
    <row r="80" ht="15.75" hidden="1" customHeight="1">
      <c r="A80" s="5" t="s">
        <v>682</v>
      </c>
      <c r="B80" s="5" t="s">
        <v>707</v>
      </c>
      <c r="C80" s="5" t="s">
        <v>708</v>
      </c>
      <c r="D80" s="5" t="s">
        <v>944</v>
      </c>
      <c r="E80" s="5" t="s">
        <v>968</v>
      </c>
      <c r="F80" s="5">
        <v>0.0</v>
      </c>
      <c r="G80" s="5">
        <v>0.0</v>
      </c>
      <c r="H80" s="5">
        <v>0.0</v>
      </c>
      <c r="I80" s="5">
        <v>0.0</v>
      </c>
      <c r="J80" s="5">
        <v>0.0</v>
      </c>
      <c r="K80" s="5">
        <v>33600.0</v>
      </c>
      <c r="L80" s="4">
        <f t="shared" si="1"/>
        <v>33600</v>
      </c>
    </row>
    <row r="81" ht="15.75" hidden="1" customHeight="1">
      <c r="A81" s="5" t="s">
        <v>682</v>
      </c>
      <c r="B81" s="5" t="s">
        <v>715</v>
      </c>
      <c r="C81" s="5" t="s">
        <v>716</v>
      </c>
      <c r="D81" s="5" t="s">
        <v>944</v>
      </c>
      <c r="E81" s="5" t="s">
        <v>968</v>
      </c>
      <c r="F81" s="5">
        <v>0.0</v>
      </c>
      <c r="G81" s="5">
        <v>84000.0</v>
      </c>
      <c r="H81" s="5">
        <v>0.0</v>
      </c>
      <c r="I81" s="5">
        <v>0.0</v>
      </c>
      <c r="J81" s="5">
        <v>0.0</v>
      </c>
      <c r="K81" s="5">
        <v>0.0</v>
      </c>
      <c r="L81" s="4">
        <f t="shared" si="1"/>
        <v>84000</v>
      </c>
    </row>
    <row r="82" ht="15.75" hidden="1" customHeight="1">
      <c r="A82" s="5" t="s">
        <v>682</v>
      </c>
      <c r="B82" s="5" t="s">
        <v>725</v>
      </c>
      <c r="C82" s="5" t="s">
        <v>726</v>
      </c>
      <c r="D82" s="5" t="s">
        <v>944</v>
      </c>
      <c r="E82" s="5" t="s">
        <v>968</v>
      </c>
      <c r="F82" s="5">
        <v>0.0</v>
      </c>
      <c r="G82" s="5">
        <v>0.0</v>
      </c>
      <c r="H82" s="5">
        <v>0.0</v>
      </c>
      <c r="I82" s="5">
        <v>0.0</v>
      </c>
      <c r="J82" s="5">
        <v>0.0</v>
      </c>
      <c r="K82" s="5">
        <v>36000.0</v>
      </c>
      <c r="L82" s="4">
        <f t="shared" si="1"/>
        <v>36000</v>
      </c>
    </row>
    <row r="83" ht="15.75" hidden="1" customHeight="1">
      <c r="A83" s="5" t="s">
        <v>682</v>
      </c>
      <c r="B83" s="5" t="s">
        <v>732</v>
      </c>
      <c r="C83" s="5" t="s">
        <v>733</v>
      </c>
      <c r="D83" s="5" t="s">
        <v>944</v>
      </c>
      <c r="E83" s="5" t="s">
        <v>968</v>
      </c>
      <c r="F83" s="5">
        <v>0.0</v>
      </c>
      <c r="G83" s="5">
        <v>0.0</v>
      </c>
      <c r="H83" s="5">
        <v>0.0</v>
      </c>
      <c r="I83" s="5">
        <v>55000.0</v>
      </c>
      <c r="J83" s="5">
        <v>0.0</v>
      </c>
      <c r="K83" s="5">
        <v>12000.0</v>
      </c>
      <c r="L83" s="4">
        <f t="shared" si="1"/>
        <v>67000</v>
      </c>
    </row>
    <row r="84" ht="15.75" hidden="1" customHeight="1">
      <c r="A84" s="5" t="s">
        <v>682</v>
      </c>
      <c r="B84" s="5" t="s">
        <v>739</v>
      </c>
      <c r="C84" s="5" t="s">
        <v>740</v>
      </c>
      <c r="D84" s="5" t="s">
        <v>944</v>
      </c>
      <c r="E84" s="5" t="s">
        <v>968</v>
      </c>
      <c r="F84" s="5">
        <v>0.0</v>
      </c>
      <c r="G84" s="5">
        <v>10338.0</v>
      </c>
      <c r="H84" s="5">
        <v>0.0</v>
      </c>
      <c r="I84" s="5">
        <v>9640.0</v>
      </c>
      <c r="J84" s="5">
        <v>0.0</v>
      </c>
      <c r="K84" s="5">
        <v>0.0</v>
      </c>
      <c r="L84" s="4">
        <f t="shared" si="1"/>
        <v>19978</v>
      </c>
    </row>
    <row r="85" ht="15.75" hidden="1" customHeight="1">
      <c r="A85" s="5" t="s">
        <v>682</v>
      </c>
      <c r="B85" s="5" t="s">
        <v>749</v>
      </c>
      <c r="C85" s="5" t="s">
        <v>750</v>
      </c>
      <c r="D85" s="5" t="s">
        <v>944</v>
      </c>
      <c r="E85" s="5" t="s">
        <v>968</v>
      </c>
      <c r="F85" s="5">
        <v>0.0</v>
      </c>
      <c r="G85" s="5">
        <v>0.0</v>
      </c>
      <c r="H85" s="5">
        <v>0.0</v>
      </c>
      <c r="I85" s="5">
        <v>36000.0</v>
      </c>
      <c r="J85" s="5">
        <v>0.0</v>
      </c>
      <c r="K85" s="5">
        <v>0.0</v>
      </c>
      <c r="L85" s="4">
        <f t="shared" si="1"/>
        <v>36000</v>
      </c>
    </row>
    <row r="86" ht="15.75" hidden="1" customHeight="1">
      <c r="A86" s="5" t="s">
        <v>682</v>
      </c>
      <c r="B86" s="5" t="s">
        <v>757</v>
      </c>
      <c r="C86" s="5" t="s">
        <v>758</v>
      </c>
      <c r="D86" s="5" t="s">
        <v>944</v>
      </c>
      <c r="E86" s="5" t="s">
        <v>968</v>
      </c>
      <c r="F86" s="5">
        <v>0.0</v>
      </c>
      <c r="G86" s="5">
        <v>67500.0</v>
      </c>
      <c r="H86" s="5">
        <v>0.0</v>
      </c>
      <c r="I86" s="5">
        <v>22500.0</v>
      </c>
      <c r="J86" s="5">
        <v>0.0</v>
      </c>
      <c r="K86" s="5">
        <v>20232.0</v>
      </c>
      <c r="L86" s="4">
        <f t="shared" si="1"/>
        <v>110232</v>
      </c>
    </row>
    <row r="87" ht="15.75" hidden="1" customHeight="1">
      <c r="A87" s="5" t="s">
        <v>682</v>
      </c>
      <c r="B87" s="5" t="s">
        <v>765</v>
      </c>
      <c r="C87" s="5" t="s">
        <v>766</v>
      </c>
      <c r="D87" s="5" t="s">
        <v>944</v>
      </c>
      <c r="E87" s="5" t="s">
        <v>968</v>
      </c>
      <c r="F87" s="5">
        <v>0.0</v>
      </c>
      <c r="G87" s="5">
        <v>0.0</v>
      </c>
      <c r="H87" s="5">
        <v>48000.0</v>
      </c>
      <c r="I87" s="5">
        <v>0.0</v>
      </c>
      <c r="J87" s="5">
        <v>0.0</v>
      </c>
      <c r="K87" s="5">
        <v>0.0</v>
      </c>
      <c r="L87" s="4">
        <f t="shared" si="1"/>
        <v>48000</v>
      </c>
    </row>
    <row r="88" ht="15.75" hidden="1" customHeight="1">
      <c r="A88" s="5" t="s">
        <v>682</v>
      </c>
      <c r="B88" s="5" t="s">
        <v>773</v>
      </c>
      <c r="C88" s="5" t="s">
        <v>774</v>
      </c>
      <c r="D88" s="5" t="s">
        <v>944</v>
      </c>
      <c r="E88" s="5" t="s">
        <v>968</v>
      </c>
      <c r="F88" s="5">
        <v>0.0</v>
      </c>
      <c r="G88" s="5">
        <v>0.0</v>
      </c>
      <c r="H88" s="5">
        <v>7500.0</v>
      </c>
      <c r="I88" s="5">
        <v>3000.0</v>
      </c>
      <c r="J88" s="5">
        <v>0.0</v>
      </c>
      <c r="K88" s="5">
        <v>0.0</v>
      </c>
      <c r="L88" s="4">
        <f t="shared" si="1"/>
        <v>10500</v>
      </c>
    </row>
    <row r="89" ht="15.75" hidden="1" customHeight="1">
      <c r="A89" s="5" t="s">
        <v>682</v>
      </c>
      <c r="B89" s="5" t="s">
        <v>782</v>
      </c>
      <c r="C89" s="5" t="s">
        <v>783</v>
      </c>
      <c r="D89" s="5" t="s">
        <v>944</v>
      </c>
      <c r="E89" s="5" t="s">
        <v>968</v>
      </c>
      <c r="F89" s="5">
        <v>60000.0</v>
      </c>
      <c r="G89" s="5">
        <v>0.0</v>
      </c>
      <c r="H89" s="5">
        <v>0.0</v>
      </c>
      <c r="I89" s="5">
        <v>3000.0</v>
      </c>
      <c r="J89" s="5">
        <v>0.0</v>
      </c>
      <c r="K89" s="5">
        <v>0.0</v>
      </c>
      <c r="L89" s="4">
        <f t="shared" si="1"/>
        <v>63000</v>
      </c>
    </row>
    <row r="90" ht="15.75" hidden="1" customHeight="1">
      <c r="A90" s="5" t="s">
        <v>682</v>
      </c>
      <c r="B90" s="5" t="s">
        <v>791</v>
      </c>
      <c r="C90" s="5" t="s">
        <v>792</v>
      </c>
      <c r="D90" s="5" t="s">
        <v>944</v>
      </c>
      <c r="E90" s="5" t="s">
        <v>968</v>
      </c>
      <c r="F90" s="5">
        <v>0.0</v>
      </c>
      <c r="G90" s="5">
        <v>0.0</v>
      </c>
      <c r="H90" s="5">
        <v>0.0</v>
      </c>
      <c r="I90" s="5">
        <v>0.0</v>
      </c>
      <c r="J90" s="5">
        <v>0.0</v>
      </c>
      <c r="K90" s="5">
        <v>168000.0</v>
      </c>
      <c r="L90" s="4">
        <f t="shared" si="1"/>
        <v>168000</v>
      </c>
    </row>
    <row r="91" ht="15.75" hidden="1" customHeight="1">
      <c r="A91" s="5" t="s">
        <v>801</v>
      </c>
      <c r="B91" s="5" t="s">
        <v>802</v>
      </c>
      <c r="C91" s="5" t="s">
        <v>803</v>
      </c>
      <c r="D91" s="5" t="s">
        <v>944</v>
      </c>
      <c r="E91" s="5" t="s">
        <v>968</v>
      </c>
      <c r="F91" s="5">
        <v>26400.0</v>
      </c>
      <c r="G91" s="5">
        <v>12300.0</v>
      </c>
      <c r="H91" s="5">
        <v>0.0</v>
      </c>
      <c r="I91" s="5">
        <v>0.0</v>
      </c>
      <c r="J91" s="5">
        <v>0.0</v>
      </c>
      <c r="K91" s="5">
        <v>0.0</v>
      </c>
      <c r="L91" s="4">
        <f t="shared" si="1"/>
        <v>38700</v>
      </c>
    </row>
    <row r="92" ht="15.75" hidden="1" customHeight="1">
      <c r="A92" s="5" t="s">
        <v>801</v>
      </c>
      <c r="B92" s="5" t="s">
        <v>810</v>
      </c>
      <c r="C92" s="5" t="s">
        <v>811</v>
      </c>
      <c r="D92" s="5" t="s">
        <v>944</v>
      </c>
      <c r="E92" s="5" t="s">
        <v>968</v>
      </c>
      <c r="F92" s="5">
        <v>127560.0</v>
      </c>
      <c r="G92" s="5">
        <v>0.0</v>
      </c>
      <c r="H92" s="5">
        <v>0.0</v>
      </c>
      <c r="I92" s="5">
        <v>0.0</v>
      </c>
      <c r="J92" s="5">
        <v>0.0</v>
      </c>
      <c r="K92" s="5">
        <v>0.0</v>
      </c>
      <c r="L92" s="4">
        <f t="shared" si="1"/>
        <v>127560</v>
      </c>
    </row>
    <row r="93" ht="15.75" hidden="1" customHeight="1">
      <c r="A93" s="5" t="s">
        <v>801</v>
      </c>
      <c r="B93" s="5" t="s">
        <v>818</v>
      </c>
      <c r="C93" s="5" t="s">
        <v>819</v>
      </c>
      <c r="D93" s="5" t="s">
        <v>944</v>
      </c>
      <c r="E93" s="5" t="s">
        <v>968</v>
      </c>
      <c r="F93" s="5">
        <v>187200.0</v>
      </c>
      <c r="G93" s="5">
        <v>0.0</v>
      </c>
      <c r="H93" s="5">
        <v>0.0</v>
      </c>
      <c r="I93" s="5">
        <v>0.0</v>
      </c>
      <c r="J93" s="5">
        <v>249779.97</v>
      </c>
      <c r="K93" s="5">
        <v>19000.0</v>
      </c>
      <c r="L93" s="4">
        <f t="shared" si="1"/>
        <v>455979.97</v>
      </c>
    </row>
    <row r="94" ht="15.75" hidden="1" customHeight="1">
      <c r="A94" s="5" t="s">
        <v>801</v>
      </c>
      <c r="B94" s="5" t="s">
        <v>826</v>
      </c>
      <c r="C94" s="5" t="s">
        <v>827</v>
      </c>
      <c r="D94" s="5" t="s">
        <v>944</v>
      </c>
      <c r="E94" s="5" t="s">
        <v>968</v>
      </c>
      <c r="F94" s="5">
        <v>0.0</v>
      </c>
      <c r="G94" s="5">
        <v>0.0</v>
      </c>
      <c r="H94" s="5">
        <v>0.0</v>
      </c>
      <c r="I94" s="5">
        <v>0.0</v>
      </c>
      <c r="J94" s="5">
        <v>0.0</v>
      </c>
      <c r="K94" s="5">
        <v>90490.0</v>
      </c>
      <c r="L94" s="4">
        <f t="shared" si="1"/>
        <v>90490</v>
      </c>
    </row>
    <row r="95" ht="15.75" hidden="1" customHeight="1">
      <c r="A95" s="5" t="s">
        <v>801</v>
      </c>
      <c r="B95" s="5" t="s">
        <v>836</v>
      </c>
      <c r="C95" s="5" t="s">
        <v>837</v>
      </c>
      <c r="D95" s="5" t="s">
        <v>944</v>
      </c>
      <c r="E95" s="5" t="s">
        <v>968</v>
      </c>
      <c r="F95" s="5">
        <v>0.0</v>
      </c>
      <c r="G95" s="5">
        <v>0.0</v>
      </c>
      <c r="H95" s="5">
        <v>0.0</v>
      </c>
      <c r="I95" s="5">
        <v>212500.0</v>
      </c>
      <c r="J95" s="5">
        <v>0.0</v>
      </c>
      <c r="K95" s="5">
        <v>0.0</v>
      </c>
      <c r="L95" s="4">
        <f t="shared" si="1"/>
        <v>212500</v>
      </c>
    </row>
    <row r="96" ht="15.75" hidden="1" customHeight="1">
      <c r="A96" s="5" t="s">
        <v>801</v>
      </c>
      <c r="B96" s="5" t="s">
        <v>844</v>
      </c>
      <c r="C96" s="5" t="s">
        <v>845</v>
      </c>
      <c r="D96" s="5" t="s">
        <v>944</v>
      </c>
      <c r="E96" s="5" t="s">
        <v>968</v>
      </c>
      <c r="F96" s="5">
        <v>0.0</v>
      </c>
      <c r="G96" s="5">
        <v>0.0</v>
      </c>
      <c r="H96" s="5">
        <v>51480.0</v>
      </c>
      <c r="I96" s="5">
        <v>0.0</v>
      </c>
      <c r="J96" s="5">
        <v>0.0</v>
      </c>
      <c r="K96" s="5">
        <v>0.0</v>
      </c>
      <c r="L96" s="4">
        <f t="shared" si="1"/>
        <v>51480</v>
      </c>
    </row>
    <row r="97" ht="15.75" hidden="1" customHeight="1">
      <c r="A97" s="5" t="s">
        <v>801</v>
      </c>
      <c r="B97" s="5" t="s">
        <v>853</v>
      </c>
      <c r="C97" s="5" t="s">
        <v>854</v>
      </c>
      <c r="D97" s="5" t="s">
        <v>944</v>
      </c>
      <c r="E97" s="5" t="s">
        <v>968</v>
      </c>
      <c r="F97" s="5">
        <v>258624.57</v>
      </c>
      <c r="G97" s="5">
        <v>12668.43</v>
      </c>
      <c r="H97" s="5">
        <v>0.0</v>
      </c>
      <c r="I97" s="5">
        <v>0.0</v>
      </c>
      <c r="J97" s="5">
        <v>0.0</v>
      </c>
      <c r="K97" s="5">
        <v>0.0</v>
      </c>
      <c r="L97" s="4">
        <f t="shared" si="1"/>
        <v>271293</v>
      </c>
    </row>
    <row r="98" ht="15.75" hidden="1" customHeight="1">
      <c r="A98" s="5" t="s">
        <v>801</v>
      </c>
      <c r="B98" s="5" t="s">
        <v>860</v>
      </c>
      <c r="C98" s="5" t="s">
        <v>861</v>
      </c>
      <c r="D98" s="5" t="s">
        <v>944</v>
      </c>
      <c r="E98" s="5" t="s">
        <v>968</v>
      </c>
      <c r="F98" s="5">
        <v>293089.03</v>
      </c>
      <c r="G98" s="5">
        <v>0.0</v>
      </c>
      <c r="H98" s="5">
        <v>0.0</v>
      </c>
      <c r="I98" s="5">
        <v>0.0</v>
      </c>
      <c r="J98" s="5">
        <v>0.0</v>
      </c>
      <c r="K98" s="5">
        <v>3300.0</v>
      </c>
      <c r="L98" s="4">
        <f t="shared" si="1"/>
        <v>296389.03</v>
      </c>
    </row>
    <row r="99" ht="15.75" hidden="1" customHeight="1">
      <c r="A99" s="5" t="s">
        <v>801</v>
      </c>
      <c r="B99" s="5" t="s">
        <v>867</v>
      </c>
      <c r="C99" s="5" t="s">
        <v>868</v>
      </c>
      <c r="D99" s="5" t="s">
        <v>944</v>
      </c>
      <c r="E99" s="5" t="s">
        <v>968</v>
      </c>
      <c r="F99" s="5">
        <v>0.0</v>
      </c>
      <c r="G99" s="5">
        <v>0.0</v>
      </c>
      <c r="H99" s="5">
        <v>51840.0</v>
      </c>
      <c r="I99" s="5">
        <v>0.0</v>
      </c>
      <c r="J99" s="5">
        <v>0.0</v>
      </c>
      <c r="K99" s="5">
        <v>29400.0</v>
      </c>
      <c r="L99" s="4">
        <f t="shared" si="1"/>
        <v>81240</v>
      </c>
    </row>
    <row r="100" ht="15.75" hidden="1" customHeight="1">
      <c r="A100" s="5" t="s">
        <v>801</v>
      </c>
      <c r="B100" s="5" t="s">
        <v>875</v>
      </c>
      <c r="C100" s="5" t="s">
        <v>876</v>
      </c>
      <c r="D100" s="5" t="s">
        <v>944</v>
      </c>
      <c r="E100" s="5" t="s">
        <v>968</v>
      </c>
      <c r="F100" s="5">
        <v>0.0</v>
      </c>
      <c r="G100" s="5">
        <v>0.0</v>
      </c>
      <c r="H100" s="5">
        <v>0.0</v>
      </c>
      <c r="I100" s="5">
        <v>127000.0</v>
      </c>
      <c r="J100" s="5">
        <v>30600.0</v>
      </c>
      <c r="K100" s="5">
        <v>0.0</v>
      </c>
      <c r="L100" s="4">
        <f t="shared" si="1"/>
        <v>157600</v>
      </c>
    </row>
    <row r="101" ht="15.75" hidden="1" customHeight="1">
      <c r="A101" s="5" t="s">
        <v>801</v>
      </c>
      <c r="B101" s="5" t="s">
        <v>883</v>
      </c>
      <c r="C101" s="5" t="s">
        <v>884</v>
      </c>
      <c r="D101" s="5" t="s">
        <v>944</v>
      </c>
      <c r="E101" s="5" t="s">
        <v>968</v>
      </c>
      <c r="F101" s="5">
        <v>140906.67</v>
      </c>
      <c r="G101" s="5">
        <v>0.0</v>
      </c>
      <c r="H101" s="5">
        <v>0.0</v>
      </c>
      <c r="I101" s="5">
        <v>0.0</v>
      </c>
      <c r="J101" s="5">
        <v>38122.5</v>
      </c>
      <c r="K101" s="5">
        <v>0.0</v>
      </c>
      <c r="L101" s="4">
        <f t="shared" si="1"/>
        <v>179029.17</v>
      </c>
    </row>
    <row r="102" ht="15.75" hidden="1" customHeight="1">
      <c r="A102" s="5" t="s">
        <v>801</v>
      </c>
      <c r="B102" s="5" t="s">
        <v>890</v>
      </c>
      <c r="C102" s="5" t="s">
        <v>891</v>
      </c>
      <c r="D102" s="5" t="s">
        <v>944</v>
      </c>
      <c r="E102" s="5" t="s">
        <v>968</v>
      </c>
      <c r="F102" s="5">
        <v>218400.0</v>
      </c>
      <c r="G102" s="5">
        <v>0.0</v>
      </c>
      <c r="H102" s="5">
        <v>0.0</v>
      </c>
      <c r="I102" s="5">
        <v>0.0</v>
      </c>
      <c r="J102" s="5">
        <v>200648.64</v>
      </c>
      <c r="K102" s="5">
        <v>0.0</v>
      </c>
      <c r="L102" s="4">
        <f t="shared" si="1"/>
        <v>419048.64</v>
      </c>
    </row>
    <row r="103" ht="15.75" hidden="1" customHeight="1">
      <c r="A103" s="5" t="s">
        <v>801</v>
      </c>
      <c r="B103" s="5" t="s">
        <v>890</v>
      </c>
      <c r="C103" s="5" t="s">
        <v>891</v>
      </c>
      <c r="D103" s="5" t="s">
        <v>944</v>
      </c>
      <c r="E103" s="5" t="s">
        <v>968</v>
      </c>
      <c r="F103" s="5">
        <v>218400.0</v>
      </c>
      <c r="G103" s="5">
        <v>0.0</v>
      </c>
      <c r="H103" s="5">
        <v>0.0</v>
      </c>
      <c r="I103" s="5">
        <v>0.0</v>
      </c>
      <c r="J103" s="5">
        <v>200648.64</v>
      </c>
      <c r="K103" s="5">
        <v>0.0</v>
      </c>
      <c r="L103" s="4">
        <f t="shared" si="1"/>
        <v>419048.64</v>
      </c>
    </row>
    <row r="104" ht="15.75" hidden="1" customHeight="1">
      <c r="A104" s="5" t="s">
        <v>801</v>
      </c>
      <c r="B104" s="5" t="s">
        <v>898</v>
      </c>
      <c r="C104" s="5" t="s">
        <v>899</v>
      </c>
      <c r="D104" s="5" t="s">
        <v>944</v>
      </c>
      <c r="E104" s="5" t="s">
        <v>968</v>
      </c>
      <c r="F104" s="5">
        <v>0.0</v>
      </c>
      <c r="G104" s="5">
        <v>30000.0</v>
      </c>
      <c r="H104" s="5">
        <v>0.0</v>
      </c>
      <c r="I104" s="5">
        <v>0.0</v>
      </c>
      <c r="J104" s="5">
        <v>0.0</v>
      </c>
      <c r="K104" s="5">
        <v>0.0</v>
      </c>
      <c r="L104" s="4">
        <f t="shared" si="1"/>
        <v>30000</v>
      </c>
    </row>
    <row r="105" ht="15.75" hidden="1" customHeight="1">
      <c r="A105" s="5" t="s">
        <v>801</v>
      </c>
      <c r="B105" s="5" t="s">
        <v>906</v>
      </c>
      <c r="C105" s="5" t="s">
        <v>907</v>
      </c>
      <c r="D105" s="5" t="s">
        <v>944</v>
      </c>
      <c r="E105" s="5" t="s">
        <v>968</v>
      </c>
      <c r="F105" s="5">
        <v>187200.0</v>
      </c>
      <c r="G105" s="5">
        <v>0.0</v>
      </c>
      <c r="H105" s="5">
        <v>0.0</v>
      </c>
      <c r="I105" s="5">
        <v>0.0</v>
      </c>
      <c r="J105" s="5">
        <v>0.0</v>
      </c>
      <c r="K105" s="5">
        <v>0.0</v>
      </c>
      <c r="L105" s="4">
        <f t="shared" si="1"/>
        <v>187200</v>
      </c>
    </row>
    <row r="106" ht="15.75" hidden="1" customHeight="1">
      <c r="L106" s="4"/>
    </row>
    <row r="107" ht="15.75" hidden="1" customHeight="1">
      <c r="L107" s="4"/>
    </row>
    <row r="108" ht="15.75" hidden="1" customHeight="1">
      <c r="L108" s="4"/>
    </row>
    <row r="109" ht="15.75" hidden="1" customHeight="1">
      <c r="L109" s="4"/>
    </row>
    <row r="110" ht="15.75" hidden="1" customHeight="1">
      <c r="L110" s="4"/>
    </row>
    <row r="111" ht="15.75" hidden="1" customHeight="1">
      <c r="L111" s="4"/>
    </row>
    <row r="112" ht="15.75" hidden="1" customHeight="1">
      <c r="L112" s="4"/>
    </row>
    <row r="113" ht="15.75" hidden="1" customHeight="1">
      <c r="L113" s="4"/>
    </row>
    <row r="114" ht="15.75" hidden="1" customHeight="1">
      <c r="L114" s="4"/>
    </row>
    <row r="115" ht="15.75" hidden="1" customHeight="1">
      <c r="L115" s="4"/>
    </row>
    <row r="116" ht="15.75" hidden="1" customHeight="1">
      <c r="L116" s="4"/>
    </row>
    <row r="117" ht="15.75" hidden="1" customHeight="1">
      <c r="L117" s="4"/>
    </row>
    <row r="118" ht="15.75" hidden="1" customHeight="1">
      <c r="L118" s="4"/>
    </row>
    <row r="119" ht="15.75" hidden="1" customHeight="1">
      <c r="L119" s="4"/>
    </row>
    <row r="120" ht="15.75" hidden="1" customHeight="1">
      <c r="L120" s="4"/>
    </row>
    <row r="121" ht="15.75" hidden="1" customHeight="1">
      <c r="L121" s="4"/>
    </row>
    <row r="122" ht="15.75" hidden="1" customHeight="1">
      <c r="L122" s="4"/>
    </row>
    <row r="123" ht="15.75" hidden="1" customHeight="1">
      <c r="L123" s="4"/>
    </row>
    <row r="124" ht="15.75" hidden="1" customHeight="1">
      <c r="L124" s="4"/>
    </row>
    <row r="125" ht="15.75" hidden="1" customHeight="1">
      <c r="L125" s="4"/>
    </row>
    <row r="126" ht="15.75" hidden="1" customHeight="1">
      <c r="L126" s="4"/>
    </row>
    <row r="127" ht="15.75" hidden="1" customHeight="1">
      <c r="L127" s="4"/>
    </row>
    <row r="128" ht="15.75" hidden="1" customHeight="1">
      <c r="L128" s="4"/>
    </row>
    <row r="129" ht="15.75" hidden="1" customHeight="1">
      <c r="L129" s="4"/>
    </row>
    <row r="130" ht="15.75" hidden="1" customHeight="1">
      <c r="L130" s="4"/>
    </row>
    <row r="131" ht="15.75" hidden="1" customHeight="1">
      <c r="L131" s="4"/>
    </row>
    <row r="132" ht="15.75" hidden="1" customHeight="1">
      <c r="L132" s="4"/>
    </row>
    <row r="133" ht="15.75" hidden="1" customHeight="1">
      <c r="L133" s="4"/>
    </row>
    <row r="134" ht="15.75" hidden="1" customHeight="1">
      <c r="L134" s="4"/>
    </row>
    <row r="135" ht="15.75" hidden="1" customHeight="1">
      <c r="L135" s="4"/>
    </row>
    <row r="136" ht="15.75" hidden="1" customHeight="1">
      <c r="L136" s="4"/>
    </row>
    <row r="137" ht="15.75" hidden="1" customHeight="1">
      <c r="L137" s="4"/>
    </row>
    <row r="138" ht="15.75" hidden="1" customHeight="1">
      <c r="L138" s="4"/>
    </row>
    <row r="139" ht="15.75" hidden="1" customHeight="1">
      <c r="L139" s="4"/>
    </row>
    <row r="140" ht="15.75" hidden="1" customHeight="1">
      <c r="L140" s="4"/>
    </row>
    <row r="141" ht="15.75" hidden="1" customHeight="1">
      <c r="L141" s="4"/>
    </row>
    <row r="142" ht="15.75" hidden="1" customHeight="1">
      <c r="L142" s="4"/>
    </row>
    <row r="143" ht="15.75" hidden="1" customHeight="1">
      <c r="L143" s="4"/>
    </row>
    <row r="144" ht="15.75" hidden="1" customHeight="1">
      <c r="L144" s="4"/>
    </row>
    <row r="145" ht="15.75" hidden="1" customHeight="1">
      <c r="L145" s="4"/>
    </row>
    <row r="146" ht="15.75" hidden="1" customHeight="1">
      <c r="L146" s="4"/>
    </row>
    <row r="147" ht="15.75" hidden="1" customHeight="1">
      <c r="L147" s="4"/>
    </row>
    <row r="148" ht="15.75" hidden="1" customHeight="1">
      <c r="L148" s="4"/>
    </row>
    <row r="149" ht="15.75" hidden="1" customHeight="1">
      <c r="L149" s="4"/>
    </row>
    <row r="150" ht="15.75" hidden="1" customHeight="1">
      <c r="L150" s="4"/>
    </row>
    <row r="151" ht="15.75" hidden="1" customHeight="1">
      <c r="L151" s="4"/>
    </row>
    <row r="152" ht="15.75" hidden="1" customHeight="1">
      <c r="L152" s="4"/>
    </row>
    <row r="153" ht="15.75" hidden="1" customHeight="1">
      <c r="L153" s="4"/>
    </row>
    <row r="154" ht="15.75" hidden="1" customHeight="1">
      <c r="L154" s="4"/>
    </row>
    <row r="155" ht="15.75" hidden="1" customHeight="1">
      <c r="L155" s="4"/>
    </row>
    <row r="156" ht="15.75" hidden="1" customHeight="1">
      <c r="L156" s="4"/>
    </row>
    <row r="157" ht="15.75" hidden="1" customHeight="1">
      <c r="L157" s="4"/>
    </row>
    <row r="158" ht="15.75" hidden="1" customHeight="1">
      <c r="L158" s="4"/>
    </row>
    <row r="159" ht="15.75" hidden="1" customHeight="1">
      <c r="L159" s="4"/>
    </row>
    <row r="160" ht="15.75" hidden="1" customHeight="1">
      <c r="L160" s="4"/>
    </row>
    <row r="161" ht="15.75" hidden="1" customHeight="1">
      <c r="L161" s="4"/>
    </row>
    <row r="162" ht="15.75" hidden="1" customHeight="1">
      <c r="L162" s="4"/>
    </row>
    <row r="163" ht="15.75" hidden="1" customHeight="1">
      <c r="L163" s="4"/>
    </row>
    <row r="164" ht="15.75" hidden="1" customHeight="1">
      <c r="L164" s="4"/>
    </row>
    <row r="165" ht="15.75" hidden="1" customHeight="1">
      <c r="L165" s="4"/>
    </row>
    <row r="166" ht="15.75" hidden="1" customHeight="1">
      <c r="L166" s="4"/>
    </row>
    <row r="167" ht="15.75" hidden="1" customHeight="1">
      <c r="L167" s="4"/>
    </row>
    <row r="168" ht="15.75" hidden="1" customHeight="1">
      <c r="L168" s="4"/>
    </row>
    <row r="169" ht="15.75" hidden="1" customHeight="1">
      <c r="L169" s="4"/>
    </row>
    <row r="170" ht="15.75" hidden="1" customHeight="1">
      <c r="L170" s="4"/>
    </row>
    <row r="171" ht="15.75" hidden="1" customHeight="1">
      <c r="L171" s="4"/>
    </row>
    <row r="172" ht="15.75" hidden="1" customHeight="1">
      <c r="L172" s="4"/>
    </row>
    <row r="173" ht="15.75" hidden="1" customHeight="1">
      <c r="L173" s="4"/>
    </row>
    <row r="174" ht="15.75" hidden="1" customHeight="1">
      <c r="L174" s="4"/>
    </row>
    <row r="175" ht="15.75" hidden="1" customHeight="1">
      <c r="L175" s="4"/>
    </row>
    <row r="176" ht="15.75" hidden="1" customHeight="1">
      <c r="L176" s="4"/>
    </row>
    <row r="177" ht="15.75" hidden="1" customHeight="1">
      <c r="L177" s="4"/>
    </row>
    <row r="178" ht="15.75" hidden="1" customHeight="1">
      <c r="L178" s="4"/>
    </row>
    <row r="179" ht="15.75" hidden="1" customHeight="1">
      <c r="L179" s="4"/>
    </row>
    <row r="180" ht="15.75" hidden="1" customHeight="1">
      <c r="L180" s="4"/>
    </row>
    <row r="181" ht="15.75" hidden="1" customHeight="1">
      <c r="L181" s="4"/>
    </row>
    <row r="182" ht="15.75" hidden="1" customHeight="1">
      <c r="L182" s="4"/>
    </row>
    <row r="183" ht="15.75" hidden="1" customHeight="1">
      <c r="L183" s="4"/>
    </row>
    <row r="184" ht="15.75" hidden="1" customHeight="1">
      <c r="L184" s="4"/>
    </row>
    <row r="185" ht="15.75" hidden="1" customHeight="1">
      <c r="L185" s="4"/>
    </row>
    <row r="186" ht="15.75" hidden="1" customHeight="1">
      <c r="L186" s="4"/>
    </row>
    <row r="187" ht="15.75" hidden="1" customHeight="1">
      <c r="L187" s="4"/>
    </row>
    <row r="188" ht="15.75" hidden="1" customHeight="1">
      <c r="L188" s="4"/>
    </row>
    <row r="189" ht="15.75" hidden="1" customHeight="1">
      <c r="L189" s="4"/>
    </row>
    <row r="190" ht="15.75" hidden="1" customHeight="1">
      <c r="L190" s="4"/>
    </row>
    <row r="191" ht="15.75" hidden="1" customHeight="1">
      <c r="L191" s="4"/>
    </row>
    <row r="192" ht="15.75" hidden="1" customHeight="1">
      <c r="L192" s="4"/>
    </row>
    <row r="193" ht="15.75" hidden="1" customHeight="1">
      <c r="L193" s="4"/>
    </row>
    <row r="194" ht="15.75" hidden="1" customHeight="1">
      <c r="L194" s="4"/>
    </row>
    <row r="195" ht="15.75" hidden="1" customHeight="1">
      <c r="L195" s="4"/>
    </row>
    <row r="196" ht="15.75" hidden="1" customHeight="1">
      <c r="L196" s="4"/>
    </row>
    <row r="197" ht="15.75" hidden="1" customHeight="1">
      <c r="L197" s="4"/>
    </row>
    <row r="198" ht="15.75" hidden="1" customHeight="1">
      <c r="L198" s="4"/>
    </row>
    <row r="199" ht="15.75" hidden="1" customHeight="1">
      <c r="L199" s="4"/>
    </row>
    <row r="200" ht="15.75" hidden="1" customHeight="1">
      <c r="L200" s="4"/>
    </row>
    <row r="201" ht="15.75" hidden="1" customHeight="1">
      <c r="L201" s="4"/>
    </row>
    <row r="202" ht="15.75" hidden="1" customHeight="1">
      <c r="L202" s="4"/>
    </row>
    <row r="203" ht="15.75" hidden="1" customHeight="1">
      <c r="L203" s="4"/>
    </row>
    <row r="204" ht="15.75" hidden="1" customHeight="1">
      <c r="L204" s="4"/>
    </row>
    <row r="205" ht="15.75" hidden="1" customHeight="1">
      <c r="L205" s="4"/>
    </row>
    <row r="206" ht="15.75" hidden="1" customHeight="1">
      <c r="L206" s="4"/>
    </row>
    <row r="207" ht="15.75" hidden="1" customHeight="1">
      <c r="L207" s="4"/>
    </row>
    <row r="208" ht="15.75" hidden="1" customHeight="1">
      <c r="L208" s="4"/>
    </row>
    <row r="209" ht="15.75" hidden="1" customHeight="1">
      <c r="L209" s="4"/>
    </row>
    <row r="210" ht="15.75" hidden="1" customHeight="1">
      <c r="L210" s="4"/>
    </row>
    <row r="211" ht="15.75" hidden="1" customHeight="1">
      <c r="L211" s="4"/>
    </row>
    <row r="212" ht="15.75" hidden="1" customHeight="1">
      <c r="L212" s="4"/>
    </row>
    <row r="213" ht="15.75" hidden="1" customHeight="1">
      <c r="L213" s="4"/>
    </row>
    <row r="214" ht="15.75" hidden="1" customHeight="1">
      <c r="L214" s="4"/>
    </row>
    <row r="215" ht="15.75" hidden="1" customHeight="1">
      <c r="L215" s="4"/>
    </row>
    <row r="216" ht="15.75" hidden="1" customHeight="1">
      <c r="L216" s="4"/>
    </row>
    <row r="217" ht="15.75" hidden="1" customHeight="1">
      <c r="L217" s="4"/>
    </row>
    <row r="218" ht="15.75" hidden="1" customHeight="1">
      <c r="L218" s="4"/>
    </row>
    <row r="219" ht="15.75" hidden="1" customHeight="1">
      <c r="L219" s="4"/>
    </row>
    <row r="220" ht="15.75" hidden="1" customHeight="1">
      <c r="L220" s="4"/>
    </row>
    <row r="221" ht="15.75" hidden="1" customHeight="1">
      <c r="L221" s="4"/>
    </row>
    <row r="222" ht="15.75" hidden="1" customHeight="1">
      <c r="L222" s="4"/>
    </row>
    <row r="223" ht="15.75" hidden="1" customHeight="1">
      <c r="L223" s="4"/>
    </row>
    <row r="224" ht="15.75" hidden="1" customHeight="1">
      <c r="L224" s="4"/>
    </row>
    <row r="225" ht="15.75" hidden="1" customHeight="1">
      <c r="L225" s="4"/>
    </row>
    <row r="226" ht="15.75" hidden="1" customHeight="1">
      <c r="L226" s="4"/>
    </row>
    <row r="227" ht="15.75" hidden="1" customHeight="1">
      <c r="L227" s="4"/>
    </row>
    <row r="228" ht="15.75" hidden="1" customHeight="1">
      <c r="L228" s="4"/>
    </row>
    <row r="229" ht="15.75" hidden="1" customHeight="1">
      <c r="L229" s="4"/>
    </row>
    <row r="230" ht="15.75" hidden="1" customHeight="1">
      <c r="L230" s="4"/>
    </row>
    <row r="231" ht="15.75" hidden="1" customHeight="1">
      <c r="L231" s="4"/>
    </row>
    <row r="232" ht="15.75" hidden="1" customHeight="1">
      <c r="L232" s="4"/>
    </row>
    <row r="233" ht="15.75" hidden="1" customHeight="1">
      <c r="L233" s="4"/>
    </row>
    <row r="234" ht="15.75" hidden="1" customHeight="1">
      <c r="L234" s="4"/>
    </row>
    <row r="235" ht="15.75" hidden="1" customHeight="1">
      <c r="L235" s="4"/>
    </row>
    <row r="236" ht="15.75" hidden="1" customHeight="1">
      <c r="L236" s="4"/>
    </row>
    <row r="237" ht="15.75" hidden="1" customHeight="1">
      <c r="L237" s="4"/>
    </row>
    <row r="238" ht="15.75" hidden="1" customHeight="1">
      <c r="L238" s="4"/>
    </row>
    <row r="239" ht="15.75" hidden="1" customHeight="1">
      <c r="L239" s="4"/>
    </row>
    <row r="240" ht="15.75" hidden="1" customHeight="1">
      <c r="L240" s="4"/>
    </row>
    <row r="241" ht="15.75" hidden="1" customHeight="1">
      <c r="L241" s="4"/>
    </row>
    <row r="242" ht="15.75" hidden="1" customHeight="1">
      <c r="L242" s="4"/>
    </row>
    <row r="243" ht="15.75" hidden="1" customHeight="1">
      <c r="L243" s="4"/>
    </row>
    <row r="244" ht="15.75" hidden="1" customHeight="1">
      <c r="L244" s="4"/>
    </row>
    <row r="245" ht="15.75" hidden="1" customHeight="1">
      <c r="L245" s="4"/>
    </row>
    <row r="246" ht="15.75" hidden="1" customHeight="1">
      <c r="L246" s="4"/>
    </row>
    <row r="247" ht="15.75" hidden="1" customHeight="1">
      <c r="L247" s="4"/>
    </row>
    <row r="248" ht="15.75" hidden="1" customHeight="1">
      <c r="L248" s="4"/>
    </row>
    <row r="249" ht="15.75" hidden="1" customHeight="1">
      <c r="L249" s="4"/>
    </row>
    <row r="250" ht="15.75" hidden="1" customHeight="1">
      <c r="L250" s="4"/>
    </row>
    <row r="251" ht="15.75" hidden="1" customHeight="1">
      <c r="L251" s="4"/>
    </row>
    <row r="252" ht="15.75" hidden="1" customHeight="1">
      <c r="L252" s="4"/>
    </row>
    <row r="253" ht="15.75" hidden="1" customHeight="1">
      <c r="L253" s="4"/>
    </row>
    <row r="254" ht="15.75" hidden="1" customHeight="1">
      <c r="L254" s="4"/>
    </row>
    <row r="255" ht="15.75" hidden="1" customHeight="1">
      <c r="L255" s="4"/>
    </row>
    <row r="256" ht="15.75" hidden="1" customHeight="1">
      <c r="L256" s="4"/>
    </row>
    <row r="257" ht="15.75" hidden="1" customHeight="1">
      <c r="L257" s="4"/>
    </row>
    <row r="258" ht="15.75" hidden="1" customHeight="1">
      <c r="L258" s="4"/>
    </row>
    <row r="259" ht="15.75" hidden="1" customHeight="1">
      <c r="L259" s="4"/>
    </row>
    <row r="260" ht="15.75" hidden="1" customHeight="1">
      <c r="L260" s="4"/>
    </row>
    <row r="261" ht="15.75" hidden="1" customHeight="1">
      <c r="L261" s="4"/>
    </row>
    <row r="262" ht="15.75" hidden="1" customHeight="1">
      <c r="L262" s="4"/>
    </row>
    <row r="263" ht="15.75" hidden="1" customHeight="1">
      <c r="L263" s="4"/>
    </row>
    <row r="264" ht="15.75" hidden="1" customHeight="1">
      <c r="L264" s="4"/>
    </row>
    <row r="265" ht="15.75" hidden="1" customHeight="1">
      <c r="L265" s="4"/>
    </row>
    <row r="266" ht="15.75" hidden="1" customHeight="1">
      <c r="L266" s="4"/>
    </row>
    <row r="267" ht="15.75" hidden="1" customHeight="1">
      <c r="L267" s="4"/>
    </row>
    <row r="268" ht="15.75" hidden="1" customHeight="1">
      <c r="L268" s="4"/>
    </row>
    <row r="269" ht="15.75" hidden="1" customHeight="1">
      <c r="L269" s="4"/>
    </row>
    <row r="270" ht="15.75" hidden="1" customHeight="1">
      <c r="L270" s="4"/>
    </row>
    <row r="271" ht="15.75" hidden="1" customHeight="1">
      <c r="L271" s="4"/>
    </row>
    <row r="272" ht="15.75" hidden="1" customHeight="1">
      <c r="L272" s="4"/>
    </row>
    <row r="273" ht="15.75" hidden="1" customHeight="1">
      <c r="L273" s="4"/>
    </row>
    <row r="274" ht="15.75" hidden="1" customHeight="1">
      <c r="L274" s="4"/>
    </row>
    <row r="275" ht="15.75" hidden="1" customHeight="1">
      <c r="L275" s="4"/>
    </row>
    <row r="276" ht="15.75" hidden="1" customHeight="1">
      <c r="L276" s="4"/>
    </row>
    <row r="277" ht="15.75" hidden="1" customHeight="1">
      <c r="L277" s="4"/>
    </row>
    <row r="278" ht="15.75" hidden="1" customHeight="1">
      <c r="L278" s="4"/>
    </row>
    <row r="279" ht="15.75" hidden="1" customHeight="1">
      <c r="L279" s="4"/>
    </row>
    <row r="280" ht="15.75" hidden="1" customHeight="1">
      <c r="L280" s="4"/>
    </row>
    <row r="281" ht="15.75" hidden="1" customHeight="1">
      <c r="L281" s="4"/>
    </row>
    <row r="282" ht="15.75" hidden="1" customHeight="1">
      <c r="L282" s="4"/>
    </row>
    <row r="283" ht="15.75" hidden="1" customHeight="1">
      <c r="L283" s="4"/>
    </row>
    <row r="284" ht="15.75" hidden="1" customHeight="1">
      <c r="L284" s="4"/>
    </row>
    <row r="285" ht="15.75" hidden="1" customHeight="1">
      <c r="L285" s="4"/>
    </row>
    <row r="286" ht="15.75" hidden="1" customHeight="1">
      <c r="L286" s="4"/>
    </row>
    <row r="287" ht="15.75" hidden="1" customHeight="1">
      <c r="L287" s="4"/>
    </row>
    <row r="288" ht="15.75" hidden="1" customHeight="1">
      <c r="L288" s="4"/>
    </row>
    <row r="289" ht="15.75" hidden="1" customHeight="1">
      <c r="L289" s="4"/>
    </row>
    <row r="290" ht="15.75" hidden="1" customHeight="1">
      <c r="L290" s="4"/>
    </row>
    <row r="291" ht="15.75" hidden="1" customHeight="1">
      <c r="L291" s="4"/>
    </row>
    <row r="292" ht="15.75" hidden="1" customHeight="1">
      <c r="L292" s="4"/>
    </row>
    <row r="293" ht="15.75" hidden="1" customHeight="1">
      <c r="L293" s="4"/>
    </row>
    <row r="294" ht="15.75" hidden="1" customHeight="1">
      <c r="L294" s="4"/>
    </row>
    <row r="295" ht="15.75" hidden="1" customHeight="1">
      <c r="L295" s="4"/>
    </row>
    <row r="296" ht="15.75" hidden="1" customHeight="1">
      <c r="L296" s="4"/>
    </row>
    <row r="297" ht="15.75" hidden="1" customHeight="1">
      <c r="L297" s="4"/>
    </row>
    <row r="298" ht="15.75" hidden="1" customHeight="1">
      <c r="L298" s="4"/>
    </row>
    <row r="299" ht="15.75" hidden="1" customHeight="1">
      <c r="L299" s="4"/>
    </row>
    <row r="300" ht="15.75" hidden="1" customHeight="1">
      <c r="L300" s="4"/>
    </row>
    <row r="301" ht="15.75" hidden="1" customHeight="1">
      <c r="L301" s="4"/>
    </row>
    <row r="302" ht="15.75" hidden="1" customHeight="1">
      <c r="L302" s="4"/>
    </row>
    <row r="303" ht="15.75" hidden="1" customHeight="1">
      <c r="L303" s="4"/>
    </row>
    <row r="304" ht="15.75" hidden="1" customHeight="1">
      <c r="L304" s="4"/>
    </row>
    <row r="305" ht="15.75" hidden="1" customHeight="1">
      <c r="L305" s="4"/>
    </row>
    <row r="306" ht="15.75" hidden="1" customHeight="1">
      <c r="L306" s="4"/>
    </row>
    <row r="307" ht="15.75" hidden="1" customHeight="1">
      <c r="L307" s="4"/>
    </row>
    <row r="308" ht="15.75" hidden="1" customHeight="1">
      <c r="L308" s="4"/>
    </row>
    <row r="309" ht="15.75" hidden="1" customHeight="1">
      <c r="L309" s="4"/>
    </row>
    <row r="310" ht="15.75" hidden="1" customHeight="1">
      <c r="L310" s="4"/>
    </row>
    <row r="311" ht="15.75" hidden="1" customHeight="1">
      <c r="L311" s="4"/>
    </row>
    <row r="312" ht="15.75" hidden="1" customHeight="1">
      <c r="L312" s="4"/>
    </row>
    <row r="313" ht="15.75" hidden="1" customHeight="1">
      <c r="L313" s="4"/>
    </row>
    <row r="314" ht="15.75" hidden="1" customHeight="1">
      <c r="L314" s="4"/>
    </row>
    <row r="315" ht="15.75" hidden="1" customHeight="1">
      <c r="L315" s="4"/>
    </row>
    <row r="316" ht="15.75" hidden="1" customHeight="1">
      <c r="L316" s="4"/>
    </row>
    <row r="317" ht="15.75" hidden="1" customHeight="1">
      <c r="L317" s="4"/>
    </row>
    <row r="318" ht="15.75" hidden="1" customHeight="1">
      <c r="L318" s="4"/>
    </row>
    <row r="319" ht="15.75" hidden="1" customHeight="1">
      <c r="L319" s="4"/>
    </row>
    <row r="320" ht="15.75" hidden="1" customHeight="1">
      <c r="L320" s="4"/>
    </row>
    <row r="321" ht="15.75" hidden="1" customHeight="1">
      <c r="L321" s="4"/>
    </row>
    <row r="322" ht="15.75" hidden="1" customHeight="1">
      <c r="L322" s="4"/>
    </row>
    <row r="323" ht="15.75" hidden="1" customHeight="1">
      <c r="L323" s="4"/>
    </row>
    <row r="324" ht="15.75" hidden="1" customHeight="1">
      <c r="L324" s="4"/>
    </row>
    <row r="325" ht="15.75" hidden="1" customHeight="1">
      <c r="L325" s="4"/>
    </row>
    <row r="326" ht="15.75" hidden="1" customHeight="1">
      <c r="L326" s="4"/>
    </row>
    <row r="327" ht="15.75" hidden="1" customHeight="1">
      <c r="L327" s="4"/>
    </row>
    <row r="328" ht="15.75" hidden="1" customHeight="1">
      <c r="L328" s="4"/>
    </row>
    <row r="329" ht="15.75" hidden="1" customHeight="1">
      <c r="L329" s="4"/>
    </row>
    <row r="330" ht="15.75" hidden="1" customHeight="1">
      <c r="L330" s="4"/>
    </row>
    <row r="331" ht="15.75" hidden="1" customHeight="1">
      <c r="L331" s="4"/>
    </row>
    <row r="332" ht="15.75" hidden="1" customHeight="1">
      <c r="L332" s="4"/>
    </row>
    <row r="333" ht="15.75" hidden="1" customHeight="1">
      <c r="L333" s="4"/>
    </row>
    <row r="334" ht="15.75" hidden="1" customHeight="1">
      <c r="L334" s="4"/>
    </row>
    <row r="335" ht="15.75" hidden="1" customHeight="1">
      <c r="L335" s="4"/>
    </row>
    <row r="336" ht="15.75" hidden="1" customHeight="1">
      <c r="L336" s="4"/>
    </row>
    <row r="337" ht="15.75" hidden="1" customHeight="1">
      <c r="L337" s="4"/>
    </row>
    <row r="338" ht="15.75" hidden="1" customHeight="1">
      <c r="L338" s="4"/>
    </row>
    <row r="339" ht="15.75" hidden="1" customHeight="1">
      <c r="L339" s="4"/>
    </row>
    <row r="340" ht="15.75" hidden="1" customHeight="1">
      <c r="L340" s="4"/>
    </row>
    <row r="341" ht="15.75" hidden="1" customHeight="1">
      <c r="L341" s="4"/>
    </row>
    <row r="342" ht="15.75" hidden="1" customHeight="1">
      <c r="L342" s="4"/>
    </row>
    <row r="343" ht="15.75" hidden="1" customHeight="1">
      <c r="L343" s="4"/>
    </row>
    <row r="344" ht="15.75" hidden="1" customHeight="1">
      <c r="L344" s="4"/>
    </row>
    <row r="345" ht="15.75" hidden="1" customHeight="1">
      <c r="L345" s="4"/>
    </row>
    <row r="346" ht="15.75" hidden="1" customHeight="1">
      <c r="L346" s="4"/>
    </row>
    <row r="347" ht="15.75" hidden="1" customHeight="1">
      <c r="L347" s="4"/>
    </row>
    <row r="348" ht="15.75" hidden="1" customHeight="1">
      <c r="L348" s="4"/>
    </row>
    <row r="349" ht="15.75" hidden="1" customHeight="1">
      <c r="L349" s="4"/>
    </row>
    <row r="350" ht="15.75" hidden="1" customHeight="1">
      <c r="L350" s="4"/>
    </row>
    <row r="351" ht="15.75" hidden="1" customHeight="1">
      <c r="L351" s="4"/>
    </row>
    <row r="352" ht="15.75" hidden="1" customHeight="1">
      <c r="L352" s="4"/>
    </row>
    <row r="353" ht="15.75" hidden="1" customHeight="1">
      <c r="L353" s="4"/>
    </row>
    <row r="354" ht="15.75" hidden="1" customHeight="1">
      <c r="L354" s="4"/>
    </row>
    <row r="355" ht="15.75" hidden="1" customHeight="1">
      <c r="L355" s="4"/>
    </row>
    <row r="356" ht="15.75" hidden="1" customHeight="1">
      <c r="L356" s="4"/>
    </row>
    <row r="357" ht="15.75" hidden="1" customHeight="1">
      <c r="L357" s="4"/>
    </row>
    <row r="358" ht="15.75" hidden="1" customHeight="1">
      <c r="L358" s="4"/>
    </row>
    <row r="359" ht="15.75" hidden="1" customHeight="1">
      <c r="L359" s="4"/>
    </row>
    <row r="360" ht="15.75" hidden="1" customHeight="1">
      <c r="L360" s="4"/>
    </row>
    <row r="361" ht="15.75" hidden="1" customHeight="1">
      <c r="L361" s="4"/>
    </row>
    <row r="362" ht="15.75" hidden="1" customHeight="1">
      <c r="L362" s="4"/>
    </row>
    <row r="363" ht="15.75" hidden="1" customHeight="1">
      <c r="L363" s="4"/>
    </row>
    <row r="364" ht="15.75" hidden="1" customHeight="1">
      <c r="L364" s="4"/>
    </row>
    <row r="365" ht="15.75" hidden="1" customHeight="1">
      <c r="L365" s="4"/>
    </row>
    <row r="366" ht="15.75" hidden="1" customHeight="1">
      <c r="L366" s="4"/>
    </row>
    <row r="367" ht="15.75" hidden="1" customHeight="1">
      <c r="L367" s="4"/>
    </row>
    <row r="368" ht="15.75" hidden="1" customHeight="1">
      <c r="L368" s="4"/>
    </row>
    <row r="369" ht="15.75" hidden="1" customHeight="1">
      <c r="L369" s="4"/>
    </row>
    <row r="370" ht="15.75" hidden="1" customHeight="1">
      <c r="L370" s="4"/>
    </row>
    <row r="371" ht="15.75" hidden="1" customHeight="1">
      <c r="L371" s="4"/>
    </row>
    <row r="372" ht="15.75" hidden="1" customHeight="1">
      <c r="L372" s="4"/>
    </row>
    <row r="373" ht="15.75" hidden="1" customHeight="1">
      <c r="L373" s="4"/>
    </row>
    <row r="374" ht="15.75" hidden="1" customHeight="1">
      <c r="L374" s="4"/>
    </row>
    <row r="375" ht="15.75" hidden="1" customHeight="1">
      <c r="L375" s="4"/>
    </row>
    <row r="376" ht="15.75" hidden="1" customHeight="1">
      <c r="L376" s="4"/>
    </row>
    <row r="377" ht="15.75" hidden="1" customHeight="1">
      <c r="L377" s="4"/>
    </row>
    <row r="378" ht="15.75" hidden="1" customHeight="1">
      <c r="L378" s="4"/>
    </row>
    <row r="379" ht="15.75" hidden="1" customHeight="1">
      <c r="L379" s="4"/>
    </row>
    <row r="380" ht="15.75" hidden="1" customHeight="1">
      <c r="L380" s="4"/>
    </row>
    <row r="381" ht="15.75" hidden="1" customHeight="1">
      <c r="L381" s="4"/>
    </row>
    <row r="382" ht="15.75" hidden="1" customHeight="1">
      <c r="L382" s="4"/>
    </row>
    <row r="383" ht="15.75" hidden="1" customHeight="1">
      <c r="L383" s="4"/>
    </row>
    <row r="384" ht="15.75" hidden="1" customHeight="1">
      <c r="L384" s="4"/>
    </row>
    <row r="385" ht="15.75" hidden="1" customHeight="1">
      <c r="L385" s="4"/>
    </row>
    <row r="386" ht="15.75" hidden="1" customHeight="1">
      <c r="L386" s="4"/>
    </row>
    <row r="387" ht="15.75" hidden="1" customHeight="1">
      <c r="L387" s="4"/>
    </row>
    <row r="388" ht="15.75" hidden="1" customHeight="1">
      <c r="L388" s="4"/>
    </row>
    <row r="389" ht="15.75" hidden="1" customHeight="1">
      <c r="L389" s="4"/>
    </row>
    <row r="390" ht="15.75" hidden="1" customHeight="1">
      <c r="L390" s="4"/>
    </row>
    <row r="391" ht="15.75" hidden="1" customHeight="1">
      <c r="L391" s="4"/>
    </row>
    <row r="392" ht="15.75" hidden="1" customHeight="1">
      <c r="L392" s="4"/>
    </row>
    <row r="393" ht="15.75" hidden="1" customHeight="1">
      <c r="L393" s="4"/>
    </row>
    <row r="394" ht="15.75" hidden="1" customHeight="1">
      <c r="L394" s="4"/>
    </row>
    <row r="395" ht="15.75" hidden="1" customHeight="1">
      <c r="L395" s="4"/>
    </row>
    <row r="396" ht="15.75" hidden="1" customHeight="1">
      <c r="L396" s="4"/>
    </row>
    <row r="397" ht="15.75" hidden="1" customHeight="1">
      <c r="L397" s="4"/>
    </row>
    <row r="398" ht="15.75" hidden="1" customHeight="1">
      <c r="L398" s="4"/>
    </row>
    <row r="399" ht="15.75" hidden="1" customHeight="1">
      <c r="L399" s="4"/>
    </row>
    <row r="400" ht="15.75" hidden="1" customHeight="1">
      <c r="L400" s="4"/>
    </row>
    <row r="401" ht="15.75" hidden="1" customHeight="1">
      <c r="L401" s="4"/>
    </row>
    <row r="402" ht="15.75" hidden="1" customHeight="1">
      <c r="L402" s="4"/>
    </row>
    <row r="403" ht="15.75" hidden="1" customHeight="1">
      <c r="L403" s="4"/>
    </row>
    <row r="404" ht="15.75" hidden="1" customHeight="1">
      <c r="L404" s="4"/>
    </row>
    <row r="405" ht="15.75" hidden="1" customHeight="1">
      <c r="L405" s="4"/>
    </row>
    <row r="406" ht="15.75" hidden="1" customHeight="1">
      <c r="L406" s="4"/>
    </row>
    <row r="407" ht="15.75" hidden="1" customHeight="1">
      <c r="L407" s="4"/>
    </row>
    <row r="408" ht="15.75" hidden="1" customHeight="1">
      <c r="L408" s="4"/>
    </row>
    <row r="409" ht="15.75" hidden="1" customHeight="1">
      <c r="L409" s="4"/>
    </row>
    <row r="410" ht="15.75" hidden="1" customHeight="1">
      <c r="L410" s="4"/>
    </row>
    <row r="411" ht="15.75" hidden="1" customHeight="1">
      <c r="L411" s="4"/>
    </row>
    <row r="412" ht="15.75" hidden="1" customHeight="1">
      <c r="L412" s="4"/>
    </row>
    <row r="413" ht="15.75" hidden="1" customHeight="1">
      <c r="L413" s="4"/>
    </row>
    <row r="414" ht="15.75" hidden="1" customHeight="1">
      <c r="L414" s="4"/>
    </row>
    <row r="415" ht="15.75" hidden="1" customHeight="1">
      <c r="L415" s="4"/>
    </row>
    <row r="416" ht="15.75" hidden="1" customHeight="1">
      <c r="L416" s="4"/>
    </row>
    <row r="417" ht="15.75" hidden="1" customHeight="1">
      <c r="L417" s="4"/>
    </row>
    <row r="418" ht="15.75" hidden="1" customHeight="1">
      <c r="L418" s="4"/>
    </row>
    <row r="419" ht="15.75" hidden="1" customHeight="1">
      <c r="L419" s="4"/>
    </row>
    <row r="420" ht="15.75" hidden="1" customHeight="1">
      <c r="L420" s="4"/>
    </row>
    <row r="421" ht="15.75" hidden="1" customHeight="1">
      <c r="L421" s="4"/>
    </row>
    <row r="422" ht="15.75" hidden="1" customHeight="1">
      <c r="L422" s="4"/>
    </row>
    <row r="423" ht="15.75" hidden="1" customHeight="1">
      <c r="L423" s="4"/>
    </row>
    <row r="424" ht="15.75" hidden="1" customHeight="1">
      <c r="L424" s="4"/>
    </row>
    <row r="425" ht="15.75" hidden="1" customHeight="1">
      <c r="L425" s="4"/>
    </row>
    <row r="426" ht="15.75" hidden="1" customHeight="1">
      <c r="L426" s="4"/>
    </row>
    <row r="427" ht="15.75" hidden="1" customHeight="1">
      <c r="L427" s="4"/>
    </row>
    <row r="428" ht="15.75" hidden="1" customHeight="1">
      <c r="L428" s="4"/>
    </row>
    <row r="429" ht="15.75" hidden="1" customHeight="1">
      <c r="L429" s="4"/>
    </row>
    <row r="430" ht="15.75" hidden="1" customHeight="1">
      <c r="L430" s="4"/>
    </row>
    <row r="431" ht="15.75" hidden="1" customHeight="1">
      <c r="L431" s="4"/>
    </row>
    <row r="432" ht="15.75" hidden="1" customHeight="1">
      <c r="L432" s="4"/>
    </row>
    <row r="433" ht="15.75" hidden="1" customHeight="1">
      <c r="L433" s="4"/>
    </row>
    <row r="434" ht="15.75" hidden="1" customHeight="1">
      <c r="L434" s="4"/>
    </row>
    <row r="435" ht="15.75" hidden="1" customHeight="1">
      <c r="L435" s="4"/>
    </row>
    <row r="436" ht="15.75" hidden="1" customHeight="1">
      <c r="L436" s="4"/>
    </row>
    <row r="437" ht="15.75" hidden="1" customHeight="1">
      <c r="L437" s="4"/>
    </row>
    <row r="438" ht="15.75" hidden="1" customHeight="1">
      <c r="L438" s="4"/>
    </row>
    <row r="439" ht="15.75" hidden="1" customHeight="1">
      <c r="L439" s="4"/>
    </row>
    <row r="440" ht="15.75" hidden="1" customHeight="1">
      <c r="L440" s="4"/>
    </row>
    <row r="441" ht="15.75" hidden="1" customHeight="1">
      <c r="L441" s="4"/>
    </row>
    <row r="442" ht="15.75" hidden="1" customHeight="1">
      <c r="L442" s="4"/>
    </row>
    <row r="443" ht="15.75" hidden="1" customHeight="1">
      <c r="L443" s="4"/>
    </row>
    <row r="444" ht="15.75" hidden="1" customHeight="1">
      <c r="L444" s="4"/>
    </row>
    <row r="445" ht="15.75" hidden="1" customHeight="1">
      <c r="L445" s="4"/>
    </row>
    <row r="446" ht="15.75" hidden="1" customHeight="1">
      <c r="L446" s="4"/>
    </row>
    <row r="447" ht="15.75" hidden="1" customHeight="1">
      <c r="L447" s="4"/>
    </row>
    <row r="448" ht="15.75" hidden="1" customHeight="1">
      <c r="L448" s="4"/>
    </row>
    <row r="449" ht="15.75" hidden="1" customHeight="1">
      <c r="L449" s="4"/>
    </row>
    <row r="450" ht="15.75" hidden="1" customHeight="1">
      <c r="L450" s="4"/>
    </row>
    <row r="451" ht="15.75" hidden="1" customHeight="1">
      <c r="L451" s="4"/>
    </row>
    <row r="452" ht="15.75" hidden="1" customHeight="1">
      <c r="L452" s="4"/>
    </row>
    <row r="453" ht="15.75" hidden="1" customHeight="1">
      <c r="L453" s="4"/>
    </row>
    <row r="454" ht="15.75" hidden="1" customHeight="1">
      <c r="L454" s="4"/>
    </row>
    <row r="455" ht="15.75" hidden="1" customHeight="1">
      <c r="L455" s="4"/>
    </row>
    <row r="456" ht="15.75" hidden="1" customHeight="1">
      <c r="L456" s="4"/>
    </row>
    <row r="457" ht="15.75" hidden="1" customHeight="1">
      <c r="L457" s="4"/>
    </row>
    <row r="458" ht="15.75" hidden="1" customHeight="1">
      <c r="L458" s="4"/>
    </row>
    <row r="459" ht="15.75" hidden="1" customHeight="1">
      <c r="L459" s="4"/>
    </row>
    <row r="460" ht="15.75" hidden="1" customHeight="1">
      <c r="L460" s="4"/>
    </row>
    <row r="461" ht="15.75" hidden="1" customHeight="1">
      <c r="L461" s="4"/>
    </row>
    <row r="462" ht="15.75" hidden="1" customHeight="1">
      <c r="L462" s="4"/>
    </row>
    <row r="463" ht="15.75" hidden="1" customHeight="1">
      <c r="L463" s="4"/>
    </row>
    <row r="464" ht="15.75" hidden="1" customHeight="1">
      <c r="L464" s="4"/>
    </row>
    <row r="465" ht="15.75" hidden="1" customHeight="1">
      <c r="L465" s="4"/>
    </row>
    <row r="466" ht="15.75" hidden="1" customHeight="1">
      <c r="L466" s="4"/>
    </row>
    <row r="467" ht="15.75" hidden="1" customHeight="1">
      <c r="L467" s="4"/>
    </row>
    <row r="468" ht="15.75" hidden="1" customHeight="1">
      <c r="L468" s="4"/>
    </row>
    <row r="469" ht="15.75" hidden="1" customHeight="1">
      <c r="L469" s="4"/>
    </row>
    <row r="470" ht="15.75" hidden="1" customHeight="1">
      <c r="L470" s="4"/>
    </row>
    <row r="471" ht="15.75" hidden="1" customHeight="1">
      <c r="L471" s="4"/>
    </row>
    <row r="472" ht="15.75" hidden="1" customHeight="1">
      <c r="L472" s="4"/>
    </row>
    <row r="473" ht="15.75" hidden="1" customHeight="1">
      <c r="L473" s="4"/>
    </row>
    <row r="474" ht="15.75" hidden="1" customHeight="1">
      <c r="L474" s="4"/>
    </row>
    <row r="475" ht="15.75" hidden="1" customHeight="1">
      <c r="L475" s="4"/>
    </row>
    <row r="476" ht="15.75" hidden="1" customHeight="1">
      <c r="L476" s="4"/>
    </row>
    <row r="477" ht="15.75" hidden="1" customHeight="1">
      <c r="L477" s="4"/>
    </row>
    <row r="478" ht="15.75" hidden="1" customHeight="1">
      <c r="L478" s="4"/>
    </row>
    <row r="479" ht="15.75" hidden="1" customHeight="1">
      <c r="L479" s="4"/>
    </row>
    <row r="480" ht="15.75" hidden="1" customHeight="1">
      <c r="L480" s="4"/>
    </row>
    <row r="481" ht="15.75" hidden="1" customHeight="1">
      <c r="L481" s="4"/>
    </row>
    <row r="482" ht="15.75" hidden="1" customHeight="1">
      <c r="L482" s="4"/>
    </row>
    <row r="483" ht="15.75" hidden="1" customHeight="1">
      <c r="L483" s="4"/>
    </row>
    <row r="484" ht="15.75" hidden="1" customHeight="1">
      <c r="L484" s="4"/>
    </row>
    <row r="485" ht="15.75" hidden="1" customHeight="1">
      <c r="L485" s="4"/>
    </row>
    <row r="486" ht="15.75" hidden="1" customHeight="1">
      <c r="L486" s="4"/>
    </row>
    <row r="487" ht="15.75" hidden="1" customHeight="1">
      <c r="L487" s="4"/>
    </row>
    <row r="488" ht="15.75" hidden="1" customHeight="1">
      <c r="L488" s="4"/>
    </row>
    <row r="489" ht="15.75" hidden="1" customHeight="1">
      <c r="L489" s="4"/>
    </row>
    <row r="490" ht="15.75" hidden="1" customHeight="1">
      <c r="L490" s="4"/>
    </row>
    <row r="491" ht="15.75" hidden="1" customHeight="1">
      <c r="L491" s="4"/>
    </row>
    <row r="492" ht="15.75" hidden="1" customHeight="1">
      <c r="L492" s="4"/>
    </row>
    <row r="493" ht="15.75" hidden="1" customHeight="1">
      <c r="L493" s="4"/>
    </row>
    <row r="494" ht="15.75" hidden="1" customHeight="1">
      <c r="L494" s="4"/>
    </row>
    <row r="495" ht="15.75" hidden="1" customHeight="1">
      <c r="L495" s="4"/>
    </row>
    <row r="496" ht="15.75" hidden="1" customHeight="1">
      <c r="L496" s="4"/>
    </row>
    <row r="497" ht="15.75" hidden="1" customHeight="1">
      <c r="L497" s="4"/>
    </row>
    <row r="498" ht="15.75" hidden="1" customHeight="1">
      <c r="L498" s="4"/>
    </row>
    <row r="499" ht="15.75" hidden="1" customHeight="1">
      <c r="L499" s="4"/>
    </row>
    <row r="500" ht="15.75" hidden="1" customHeight="1">
      <c r="L500" s="4"/>
    </row>
    <row r="501" ht="15.75" hidden="1" customHeight="1">
      <c r="L501" s="4"/>
    </row>
    <row r="502" ht="15.75" hidden="1" customHeight="1">
      <c r="L502" s="4"/>
    </row>
    <row r="503" ht="15.75" hidden="1" customHeight="1">
      <c r="L503" s="4"/>
    </row>
    <row r="504" ht="15.75" hidden="1" customHeight="1">
      <c r="L504" s="4"/>
    </row>
    <row r="505" ht="15.75" hidden="1" customHeight="1">
      <c r="L505" s="4"/>
    </row>
    <row r="506" ht="15.75" hidden="1" customHeight="1">
      <c r="L506" s="4"/>
    </row>
    <row r="507" ht="15.75" hidden="1" customHeight="1">
      <c r="L507" s="4"/>
    </row>
    <row r="508" ht="15.75" hidden="1" customHeight="1">
      <c r="L508" s="4"/>
    </row>
    <row r="509" ht="15.75" hidden="1" customHeight="1">
      <c r="L509" s="4"/>
    </row>
    <row r="510" ht="15.75" hidden="1" customHeight="1">
      <c r="L510" s="4"/>
    </row>
    <row r="511" ht="15.75" hidden="1" customHeight="1">
      <c r="L511" s="4"/>
    </row>
    <row r="512" ht="15.75" hidden="1" customHeight="1">
      <c r="L512" s="4"/>
    </row>
    <row r="513" ht="15.75" hidden="1" customHeight="1">
      <c r="L513" s="4"/>
    </row>
    <row r="514" ht="15.75" hidden="1" customHeight="1">
      <c r="L514" s="4"/>
    </row>
    <row r="515" ht="15.75" hidden="1" customHeight="1">
      <c r="L515" s="4"/>
    </row>
    <row r="516" ht="15.75" hidden="1" customHeight="1">
      <c r="L516" s="4"/>
    </row>
    <row r="517" ht="15.75" hidden="1" customHeight="1">
      <c r="L517" s="4"/>
    </row>
    <row r="518" ht="15.75" hidden="1" customHeight="1">
      <c r="L518" s="4"/>
    </row>
    <row r="519" ht="15.75" hidden="1" customHeight="1">
      <c r="L519" s="4"/>
    </row>
    <row r="520" ht="15.75" hidden="1" customHeight="1">
      <c r="L520" s="4"/>
    </row>
    <row r="521" ht="15.75" hidden="1" customHeight="1">
      <c r="L521" s="4"/>
    </row>
    <row r="522" ht="15.75" hidden="1" customHeight="1">
      <c r="L522" s="4"/>
    </row>
    <row r="523" ht="15.75" hidden="1" customHeight="1">
      <c r="L523" s="4"/>
    </row>
    <row r="524" ht="15.75" hidden="1" customHeight="1">
      <c r="L524" s="4"/>
    </row>
    <row r="525" ht="15.75" hidden="1" customHeight="1">
      <c r="L525" s="4"/>
    </row>
    <row r="526" ht="15.75" hidden="1" customHeight="1">
      <c r="L526" s="4"/>
    </row>
    <row r="527" ht="15.75" hidden="1" customHeight="1">
      <c r="L527" s="4"/>
    </row>
    <row r="528" ht="15.75" hidden="1" customHeight="1">
      <c r="L528" s="4"/>
    </row>
    <row r="529" ht="15.75" hidden="1" customHeight="1">
      <c r="L529" s="4"/>
    </row>
    <row r="530" ht="15.75" hidden="1" customHeight="1">
      <c r="L530" s="4"/>
    </row>
    <row r="531" ht="15.75" hidden="1" customHeight="1">
      <c r="L531" s="4"/>
    </row>
    <row r="532" ht="15.75" hidden="1" customHeight="1">
      <c r="L532" s="4"/>
    </row>
    <row r="533" ht="15.75" hidden="1" customHeight="1">
      <c r="L533" s="4"/>
    </row>
    <row r="534" ht="15.75" hidden="1" customHeight="1">
      <c r="L534" s="4"/>
    </row>
    <row r="535" ht="15.75" hidden="1" customHeight="1">
      <c r="L535" s="4"/>
    </row>
    <row r="536" ht="15.75" hidden="1" customHeight="1">
      <c r="L536" s="4"/>
    </row>
    <row r="537" ht="15.75" hidden="1" customHeight="1">
      <c r="L537" s="4"/>
    </row>
    <row r="538" ht="15.75" hidden="1" customHeight="1">
      <c r="L538" s="4"/>
    </row>
    <row r="539" ht="15.75" hidden="1" customHeight="1">
      <c r="L539" s="4"/>
    </row>
    <row r="540" ht="15.75" hidden="1" customHeight="1">
      <c r="L540" s="4"/>
    </row>
    <row r="541" ht="15.75" hidden="1" customHeight="1">
      <c r="L541" s="4"/>
    </row>
    <row r="542" ht="15.75" hidden="1" customHeight="1">
      <c r="L542" s="4"/>
    </row>
    <row r="543" ht="15.75" hidden="1" customHeight="1">
      <c r="L543" s="4"/>
    </row>
    <row r="544" ht="15.75" hidden="1" customHeight="1">
      <c r="L544" s="4"/>
    </row>
    <row r="545" ht="15.75" hidden="1" customHeight="1">
      <c r="L545" s="4"/>
    </row>
    <row r="546" ht="15.75" hidden="1" customHeight="1">
      <c r="L546" s="4"/>
    </row>
    <row r="547" ht="15.75" hidden="1" customHeight="1">
      <c r="L547" s="4"/>
    </row>
    <row r="548" ht="15.75" hidden="1" customHeight="1">
      <c r="L548" s="4"/>
    </row>
    <row r="549" ht="15.75" hidden="1" customHeight="1">
      <c r="L549" s="4"/>
    </row>
    <row r="550" ht="15.75" hidden="1" customHeight="1">
      <c r="L550" s="4"/>
    </row>
    <row r="551" ht="15.75" hidden="1" customHeight="1">
      <c r="L551" s="4"/>
    </row>
    <row r="552" ht="15.75" hidden="1" customHeight="1">
      <c r="L552" s="4"/>
    </row>
    <row r="553" ht="15.75" hidden="1" customHeight="1">
      <c r="L553" s="4"/>
    </row>
    <row r="554" ht="15.75" hidden="1" customHeight="1">
      <c r="L554" s="4"/>
    </row>
    <row r="555" ht="15.75" hidden="1" customHeight="1">
      <c r="L555" s="4"/>
    </row>
    <row r="556" ht="15.75" hidden="1" customHeight="1">
      <c r="L556" s="4"/>
    </row>
    <row r="557" ht="15.75" hidden="1" customHeight="1">
      <c r="L557" s="4"/>
    </row>
    <row r="558" ht="15.75" hidden="1" customHeight="1">
      <c r="L558" s="4"/>
    </row>
    <row r="559" ht="15.75" hidden="1" customHeight="1">
      <c r="L559" s="4"/>
    </row>
    <row r="560" ht="15.75" hidden="1" customHeight="1">
      <c r="L560" s="4"/>
    </row>
    <row r="561" ht="15.75" hidden="1" customHeight="1">
      <c r="L561" s="4"/>
    </row>
    <row r="562" ht="15.75" hidden="1" customHeight="1">
      <c r="L562" s="4"/>
    </row>
    <row r="563" ht="15.75" hidden="1" customHeight="1">
      <c r="L563" s="4"/>
    </row>
    <row r="564" ht="15.75" hidden="1" customHeight="1">
      <c r="L564" s="4"/>
    </row>
    <row r="565" ht="15.75" hidden="1" customHeight="1">
      <c r="L565" s="4"/>
    </row>
    <row r="566" ht="15.75" hidden="1" customHeight="1">
      <c r="L566" s="4"/>
    </row>
    <row r="567" ht="15.75" hidden="1" customHeight="1">
      <c r="L567" s="4"/>
    </row>
    <row r="568" ht="15.75" hidden="1" customHeight="1">
      <c r="L568" s="4"/>
    </row>
    <row r="569" ht="15.75" hidden="1" customHeight="1">
      <c r="L569" s="4"/>
    </row>
    <row r="570" ht="15.75" hidden="1" customHeight="1">
      <c r="L570" s="4"/>
    </row>
    <row r="571" ht="15.75" hidden="1" customHeight="1">
      <c r="L571" s="4"/>
    </row>
    <row r="572" ht="15.75" hidden="1" customHeight="1">
      <c r="L572" s="4"/>
    </row>
    <row r="573" ht="15.75" hidden="1" customHeight="1">
      <c r="L573" s="4"/>
    </row>
    <row r="574" ht="15.75" hidden="1" customHeight="1">
      <c r="L574" s="4"/>
    </row>
    <row r="575" ht="15.75" hidden="1" customHeight="1">
      <c r="L575" s="4"/>
    </row>
    <row r="576" ht="15.75" hidden="1" customHeight="1">
      <c r="L576" s="4"/>
    </row>
    <row r="577" ht="15.75" hidden="1" customHeight="1">
      <c r="L577" s="4"/>
    </row>
    <row r="578" ht="15.75" hidden="1" customHeight="1">
      <c r="L578" s="4"/>
    </row>
    <row r="579" ht="15.75" hidden="1" customHeight="1">
      <c r="L579" s="4"/>
    </row>
    <row r="580" ht="15.75" hidden="1" customHeight="1">
      <c r="L580" s="4"/>
    </row>
    <row r="581" ht="15.75" hidden="1" customHeight="1">
      <c r="L581" s="4"/>
    </row>
    <row r="582" ht="15.75" hidden="1" customHeight="1">
      <c r="L582" s="4"/>
    </row>
    <row r="583" ht="15.75" hidden="1" customHeight="1">
      <c r="L583" s="4"/>
    </row>
    <row r="584" ht="15.75" hidden="1" customHeight="1">
      <c r="L584" s="4"/>
    </row>
    <row r="585" ht="15.75" hidden="1" customHeight="1">
      <c r="L585" s="4"/>
    </row>
    <row r="586" ht="15.75" hidden="1" customHeight="1">
      <c r="L586" s="4"/>
    </row>
    <row r="587" ht="15.75" hidden="1" customHeight="1">
      <c r="L587" s="4"/>
    </row>
    <row r="588" ht="15.75" hidden="1" customHeight="1">
      <c r="L588" s="4"/>
    </row>
    <row r="589" ht="15.75" hidden="1" customHeight="1">
      <c r="L589" s="4"/>
    </row>
    <row r="590" ht="15.75" hidden="1" customHeight="1">
      <c r="L590" s="4"/>
    </row>
    <row r="591" ht="15.75" hidden="1" customHeight="1">
      <c r="L591" s="4"/>
    </row>
    <row r="592" ht="15.75" hidden="1" customHeight="1">
      <c r="L592" s="4"/>
    </row>
    <row r="593" ht="15.75" hidden="1" customHeight="1">
      <c r="L593" s="4"/>
    </row>
    <row r="594" ht="15.75" hidden="1" customHeight="1">
      <c r="L594" s="4"/>
    </row>
    <row r="595" ht="15.75" hidden="1" customHeight="1">
      <c r="L595" s="4"/>
    </row>
    <row r="596" ht="15.75" hidden="1" customHeight="1">
      <c r="L596" s="4"/>
    </row>
    <row r="597" ht="15.75" hidden="1" customHeight="1">
      <c r="L597" s="4"/>
    </row>
    <row r="598" ht="15.75" hidden="1" customHeight="1">
      <c r="L598" s="4"/>
    </row>
    <row r="599" ht="15.75" hidden="1" customHeight="1">
      <c r="L599" s="4"/>
    </row>
    <row r="600" ht="15.75" hidden="1" customHeight="1">
      <c r="L600" s="4"/>
    </row>
    <row r="601" ht="15.75" hidden="1" customHeight="1">
      <c r="L601" s="4"/>
    </row>
    <row r="602" ht="15.75" hidden="1" customHeight="1">
      <c r="L602" s="4"/>
    </row>
    <row r="603" ht="15.75" hidden="1" customHeight="1">
      <c r="L603" s="4"/>
    </row>
    <row r="604" ht="15.75" hidden="1" customHeight="1">
      <c r="L604" s="4"/>
    </row>
    <row r="605" ht="15.75" hidden="1" customHeight="1">
      <c r="L605" s="4"/>
    </row>
    <row r="606" ht="15.75" hidden="1" customHeight="1">
      <c r="L606" s="4"/>
    </row>
    <row r="607" ht="15.75" hidden="1" customHeight="1">
      <c r="L607" s="4"/>
    </row>
    <row r="608" ht="15.75" hidden="1" customHeight="1">
      <c r="L608" s="4"/>
    </row>
    <row r="609" ht="15.75" hidden="1" customHeight="1">
      <c r="L609" s="4"/>
    </row>
    <row r="610" ht="15.75" hidden="1" customHeight="1">
      <c r="L610" s="4"/>
    </row>
    <row r="611" ht="15.75" hidden="1" customHeight="1">
      <c r="L611" s="4"/>
    </row>
    <row r="612" ht="15.75" hidden="1" customHeight="1">
      <c r="L612" s="4"/>
    </row>
    <row r="613" ht="15.75" hidden="1" customHeight="1">
      <c r="L613" s="4"/>
    </row>
    <row r="614" ht="15.75" hidden="1" customHeight="1">
      <c r="L614" s="4"/>
    </row>
    <row r="615" ht="15.75" hidden="1" customHeight="1">
      <c r="L615" s="4"/>
    </row>
    <row r="616" ht="15.75" hidden="1" customHeight="1">
      <c r="L616" s="4"/>
    </row>
    <row r="617" ht="15.75" hidden="1" customHeight="1">
      <c r="L617" s="4"/>
    </row>
    <row r="618" ht="15.75" hidden="1" customHeight="1">
      <c r="L618" s="4"/>
    </row>
    <row r="619" ht="15.75" hidden="1" customHeight="1">
      <c r="L619" s="4"/>
    </row>
    <row r="620" ht="15.75" hidden="1" customHeight="1">
      <c r="L620" s="4"/>
    </row>
    <row r="621" ht="15.75" hidden="1" customHeight="1">
      <c r="L621" s="4"/>
    </row>
    <row r="622" ht="15.75" hidden="1" customHeight="1">
      <c r="L622" s="4"/>
    </row>
    <row r="623" ht="15.75" hidden="1" customHeight="1">
      <c r="L623" s="4"/>
    </row>
    <row r="624" ht="15.75" hidden="1" customHeight="1">
      <c r="L624" s="4"/>
    </row>
    <row r="625" ht="15.75" hidden="1" customHeight="1">
      <c r="L625" s="4"/>
    </row>
    <row r="626" ht="15.75" hidden="1" customHeight="1">
      <c r="L626" s="4"/>
    </row>
    <row r="627" ht="15.75" hidden="1" customHeight="1">
      <c r="L627" s="4"/>
    </row>
    <row r="628" ht="15.75" hidden="1" customHeight="1">
      <c r="L628" s="4"/>
    </row>
    <row r="629" ht="15.75" hidden="1" customHeight="1">
      <c r="L629" s="4"/>
    </row>
    <row r="630" ht="15.75" hidden="1" customHeight="1">
      <c r="L630" s="4"/>
    </row>
    <row r="631" ht="15.75" hidden="1" customHeight="1">
      <c r="L631" s="4"/>
    </row>
    <row r="632" ht="15.75" hidden="1" customHeight="1">
      <c r="L632" s="4"/>
    </row>
    <row r="633" ht="15.75" hidden="1" customHeight="1">
      <c r="L633" s="4"/>
    </row>
    <row r="634" ht="15.75" hidden="1" customHeight="1">
      <c r="L634" s="4"/>
    </row>
    <row r="635" ht="15.75" hidden="1" customHeight="1">
      <c r="L635" s="4"/>
    </row>
    <row r="636" ht="15.75" hidden="1" customHeight="1">
      <c r="L636" s="4"/>
    </row>
    <row r="637" ht="15.75" hidden="1" customHeight="1">
      <c r="L637" s="4"/>
    </row>
    <row r="638" ht="15.75" hidden="1" customHeight="1">
      <c r="L638" s="4"/>
    </row>
    <row r="639" ht="15.75" hidden="1" customHeight="1">
      <c r="L639" s="4"/>
    </row>
    <row r="640" ht="15.75" hidden="1" customHeight="1">
      <c r="L640" s="4"/>
    </row>
    <row r="641" ht="15.75" hidden="1" customHeight="1">
      <c r="L641" s="4"/>
    </row>
    <row r="642" ht="15.75" hidden="1" customHeight="1">
      <c r="L642" s="4"/>
    </row>
    <row r="643" ht="15.75" hidden="1" customHeight="1">
      <c r="L643" s="4"/>
    </row>
    <row r="644" ht="15.75" hidden="1" customHeight="1">
      <c r="L644" s="4"/>
    </row>
    <row r="645" ht="15.75" hidden="1" customHeight="1">
      <c r="L645" s="4"/>
    </row>
    <row r="646" ht="15.75" hidden="1" customHeight="1">
      <c r="L646" s="4"/>
    </row>
    <row r="647" ht="15.75" hidden="1" customHeight="1">
      <c r="L647" s="4"/>
    </row>
    <row r="648" ht="15.75" hidden="1" customHeight="1">
      <c r="L648" s="4"/>
    </row>
    <row r="649" ht="15.75" hidden="1" customHeight="1">
      <c r="L649" s="4"/>
    </row>
    <row r="650" ht="15.75" hidden="1" customHeight="1">
      <c r="L650" s="4"/>
    </row>
    <row r="651" ht="15.75" hidden="1" customHeight="1">
      <c r="L651" s="4"/>
    </row>
    <row r="652" ht="15.75" hidden="1" customHeight="1">
      <c r="L652" s="4"/>
    </row>
    <row r="653" ht="15.75" hidden="1" customHeight="1">
      <c r="L653" s="4"/>
    </row>
    <row r="654" ht="15.75" hidden="1" customHeight="1">
      <c r="L654" s="4"/>
    </row>
    <row r="655" ht="15.75" hidden="1" customHeight="1">
      <c r="L655" s="4"/>
    </row>
    <row r="656" ht="15.75" hidden="1" customHeight="1">
      <c r="L656" s="4"/>
    </row>
    <row r="657" ht="15.75" hidden="1" customHeight="1">
      <c r="L657" s="4"/>
    </row>
    <row r="658" ht="15.75" hidden="1" customHeight="1">
      <c r="L658" s="4"/>
    </row>
    <row r="659" ht="15.75" hidden="1" customHeight="1">
      <c r="L659" s="4"/>
    </row>
    <row r="660" ht="15.75" hidden="1" customHeight="1">
      <c r="L660" s="4"/>
    </row>
    <row r="661" ht="15.75" hidden="1" customHeight="1">
      <c r="L661" s="4"/>
    </row>
    <row r="662" ht="15.75" hidden="1" customHeight="1">
      <c r="L662" s="4"/>
    </row>
    <row r="663" ht="15.75" hidden="1" customHeight="1">
      <c r="L663" s="4"/>
    </row>
    <row r="664" ht="15.75" hidden="1" customHeight="1">
      <c r="L664" s="4"/>
    </row>
    <row r="665" ht="15.75" hidden="1" customHeight="1">
      <c r="L665" s="4"/>
    </row>
    <row r="666" ht="15.75" hidden="1" customHeight="1">
      <c r="L666" s="4"/>
    </row>
    <row r="667" ht="15.75" hidden="1" customHeight="1">
      <c r="L667" s="4"/>
    </row>
    <row r="668" ht="15.75" hidden="1" customHeight="1">
      <c r="L668" s="4"/>
    </row>
    <row r="669" ht="15.75" hidden="1" customHeight="1">
      <c r="L669" s="4"/>
    </row>
    <row r="670" ht="15.75" hidden="1" customHeight="1">
      <c r="L670" s="4"/>
    </row>
    <row r="671" ht="15.75" hidden="1" customHeight="1">
      <c r="L671" s="4"/>
    </row>
    <row r="672" ht="15.75" hidden="1" customHeight="1">
      <c r="L672" s="4"/>
    </row>
    <row r="673" ht="15.75" hidden="1" customHeight="1">
      <c r="L673" s="4"/>
    </row>
    <row r="674" ht="15.75" hidden="1" customHeight="1">
      <c r="L674" s="4"/>
    </row>
    <row r="675" ht="15.75" hidden="1" customHeight="1">
      <c r="L675" s="4"/>
    </row>
    <row r="676" ht="15.75" hidden="1" customHeight="1">
      <c r="L676" s="4"/>
    </row>
    <row r="677" ht="15.75" hidden="1" customHeight="1">
      <c r="L677" s="4"/>
    </row>
    <row r="678" ht="15.75" hidden="1" customHeight="1">
      <c r="L678" s="4"/>
    </row>
    <row r="679" ht="15.75" hidden="1" customHeight="1">
      <c r="L679" s="4"/>
    </row>
    <row r="680" ht="15.75" hidden="1" customHeight="1">
      <c r="L680" s="4"/>
    </row>
    <row r="681" ht="15.75" hidden="1" customHeight="1">
      <c r="L681" s="4"/>
    </row>
    <row r="682" ht="15.75" hidden="1" customHeight="1">
      <c r="L682" s="4"/>
    </row>
    <row r="683" ht="15.75" hidden="1" customHeight="1">
      <c r="L683" s="4"/>
    </row>
    <row r="684" ht="15.75" hidden="1" customHeight="1">
      <c r="L684" s="4"/>
    </row>
    <row r="685" ht="15.75" hidden="1" customHeight="1">
      <c r="L685" s="4"/>
    </row>
    <row r="686" ht="15.75" hidden="1" customHeight="1">
      <c r="L686" s="4"/>
    </row>
    <row r="687" ht="15.75" hidden="1" customHeight="1">
      <c r="L687" s="4"/>
    </row>
    <row r="688" ht="15.75" hidden="1" customHeight="1">
      <c r="L688" s="4"/>
    </row>
    <row r="689" ht="15.75" hidden="1" customHeight="1">
      <c r="L689" s="4"/>
    </row>
    <row r="690" ht="15.75" hidden="1" customHeight="1">
      <c r="L690" s="4"/>
    </row>
    <row r="691" ht="15.75" hidden="1" customHeight="1">
      <c r="L691" s="4"/>
    </row>
    <row r="692" ht="15.75" hidden="1" customHeight="1">
      <c r="L692" s="4"/>
    </row>
    <row r="693" ht="15.75" hidden="1" customHeight="1">
      <c r="L693" s="4"/>
    </row>
    <row r="694" ht="15.75" hidden="1" customHeight="1">
      <c r="L694" s="4"/>
    </row>
    <row r="695" ht="15.75" hidden="1" customHeight="1">
      <c r="L695" s="4"/>
    </row>
    <row r="696" ht="15.75" hidden="1" customHeight="1">
      <c r="L696" s="4"/>
    </row>
    <row r="697" ht="15.75" hidden="1" customHeight="1">
      <c r="L697" s="4"/>
    </row>
    <row r="698" ht="15.75" hidden="1" customHeight="1">
      <c r="L698" s="4"/>
    </row>
    <row r="699" ht="15.75" hidden="1" customHeight="1">
      <c r="L699" s="4"/>
    </row>
    <row r="700" ht="15.75" hidden="1" customHeight="1">
      <c r="L700" s="4"/>
    </row>
    <row r="701" ht="15.75" hidden="1" customHeight="1">
      <c r="L701" s="4"/>
    </row>
    <row r="702" ht="15.75" hidden="1" customHeight="1">
      <c r="L702" s="4"/>
    </row>
    <row r="703" ht="15.75" hidden="1" customHeight="1">
      <c r="L703" s="4"/>
    </row>
    <row r="704" ht="15.75" hidden="1" customHeight="1">
      <c r="L704" s="4"/>
    </row>
    <row r="705" ht="15.75" hidden="1" customHeight="1">
      <c r="L705" s="4"/>
    </row>
    <row r="706" ht="15.75" hidden="1" customHeight="1">
      <c r="L706" s="4"/>
    </row>
    <row r="707" ht="15.75" hidden="1" customHeight="1">
      <c r="L707" s="4"/>
    </row>
    <row r="708" ht="15.75" hidden="1" customHeight="1">
      <c r="L708" s="4"/>
    </row>
    <row r="709" ht="15.75" hidden="1" customHeight="1">
      <c r="L709" s="4"/>
    </row>
    <row r="710" ht="15.75" hidden="1" customHeight="1">
      <c r="L710" s="4"/>
    </row>
    <row r="711" ht="15.75" hidden="1" customHeight="1">
      <c r="L711" s="4"/>
    </row>
    <row r="712" ht="15.75" hidden="1" customHeight="1">
      <c r="L712" s="4"/>
    </row>
    <row r="713" ht="15.75" hidden="1" customHeight="1">
      <c r="L713" s="4"/>
    </row>
    <row r="714" ht="15.75" hidden="1" customHeight="1">
      <c r="L714" s="4"/>
    </row>
    <row r="715" ht="15.75" hidden="1" customHeight="1">
      <c r="L715" s="4"/>
    </row>
    <row r="716" ht="15.75" hidden="1" customHeight="1">
      <c r="L716" s="4"/>
    </row>
    <row r="717" ht="15.75" hidden="1" customHeight="1">
      <c r="L717" s="4"/>
    </row>
    <row r="718" ht="15.75" hidden="1" customHeight="1">
      <c r="L718" s="4"/>
    </row>
    <row r="719" ht="15.75" hidden="1" customHeight="1">
      <c r="L719" s="4"/>
    </row>
    <row r="720" ht="15.75" hidden="1" customHeight="1">
      <c r="L720" s="4"/>
    </row>
    <row r="721" ht="15.75" hidden="1" customHeight="1">
      <c r="L721" s="4"/>
    </row>
    <row r="722" ht="15.75" hidden="1" customHeight="1">
      <c r="L722" s="4"/>
    </row>
    <row r="723" ht="15.75" hidden="1" customHeight="1">
      <c r="L723" s="4"/>
    </row>
    <row r="724" ht="15.75" hidden="1" customHeight="1">
      <c r="L724" s="4"/>
    </row>
    <row r="725" ht="15.75" hidden="1" customHeight="1">
      <c r="L725" s="4"/>
    </row>
    <row r="726" ht="15.75" hidden="1" customHeight="1">
      <c r="L726" s="4"/>
    </row>
    <row r="727" ht="15.75" hidden="1" customHeight="1">
      <c r="L727" s="4"/>
    </row>
    <row r="728" ht="15.75" hidden="1" customHeight="1">
      <c r="L728" s="4"/>
    </row>
    <row r="729" ht="15.75" hidden="1" customHeight="1">
      <c r="L729" s="4"/>
    </row>
    <row r="730" ht="15.75" hidden="1" customHeight="1">
      <c r="L730" s="4"/>
    </row>
    <row r="731" ht="15.75" hidden="1" customHeight="1">
      <c r="L731" s="4"/>
    </row>
    <row r="732" ht="15.75" hidden="1" customHeight="1">
      <c r="L732" s="4"/>
    </row>
    <row r="733" ht="15.75" hidden="1" customHeight="1">
      <c r="L733" s="4"/>
    </row>
    <row r="734" ht="15.75" hidden="1" customHeight="1">
      <c r="L734" s="4"/>
    </row>
    <row r="735" ht="15.75" hidden="1" customHeight="1">
      <c r="L735" s="4"/>
    </row>
    <row r="736" ht="15.75" hidden="1" customHeight="1">
      <c r="L736" s="4"/>
    </row>
    <row r="737" ht="15.75" hidden="1" customHeight="1">
      <c r="L737" s="4"/>
    </row>
    <row r="738" ht="15.75" hidden="1" customHeight="1">
      <c r="L738" s="4"/>
    </row>
    <row r="739" ht="15.75" hidden="1" customHeight="1">
      <c r="L739" s="4"/>
    </row>
    <row r="740" ht="15.75" hidden="1" customHeight="1">
      <c r="L740" s="4"/>
    </row>
    <row r="741" ht="15.75" hidden="1" customHeight="1">
      <c r="L741" s="4"/>
    </row>
    <row r="742" ht="15.75" hidden="1" customHeight="1">
      <c r="L742" s="4"/>
    </row>
    <row r="743" ht="15.75" hidden="1" customHeight="1">
      <c r="L743" s="4"/>
    </row>
    <row r="744" ht="15.75" hidden="1" customHeight="1">
      <c r="L744" s="4"/>
    </row>
    <row r="745" ht="15.75" hidden="1" customHeight="1">
      <c r="L745" s="4"/>
    </row>
    <row r="746" ht="15.75" hidden="1" customHeight="1">
      <c r="L746" s="4"/>
    </row>
    <row r="747" ht="15.75" hidden="1" customHeight="1">
      <c r="L747" s="4"/>
    </row>
    <row r="748" ht="15.75" hidden="1" customHeight="1">
      <c r="L748" s="4"/>
    </row>
    <row r="749" ht="15.75" hidden="1" customHeight="1">
      <c r="L749" s="4"/>
    </row>
    <row r="750" ht="15.75" hidden="1" customHeight="1">
      <c r="L750" s="4"/>
    </row>
    <row r="751" ht="15.75" hidden="1" customHeight="1">
      <c r="L751" s="4"/>
    </row>
    <row r="752" ht="15.75" hidden="1" customHeight="1">
      <c r="L752" s="4"/>
    </row>
    <row r="753" ht="15.75" hidden="1" customHeight="1">
      <c r="L753" s="4"/>
    </row>
    <row r="754" ht="15.75" hidden="1" customHeight="1">
      <c r="L754" s="4"/>
    </row>
    <row r="755" ht="15.75" hidden="1" customHeight="1">
      <c r="L755" s="4"/>
    </row>
    <row r="756" ht="15.75" hidden="1" customHeight="1">
      <c r="L756" s="4"/>
    </row>
    <row r="757" ht="15.75" hidden="1" customHeight="1">
      <c r="L757" s="4"/>
    </row>
    <row r="758" ht="15.75" hidden="1" customHeight="1">
      <c r="L758" s="4"/>
    </row>
    <row r="759" ht="15.75" hidden="1" customHeight="1">
      <c r="L759" s="4"/>
    </row>
    <row r="760" ht="15.75" hidden="1" customHeight="1">
      <c r="L760" s="4"/>
    </row>
    <row r="761" ht="15.75" hidden="1" customHeight="1">
      <c r="L761" s="4"/>
    </row>
    <row r="762" ht="15.75" hidden="1" customHeight="1">
      <c r="L762" s="4"/>
    </row>
    <row r="763" ht="15.75" hidden="1" customHeight="1">
      <c r="L763" s="4"/>
    </row>
    <row r="764" ht="15.75" hidden="1" customHeight="1">
      <c r="L764" s="4"/>
    </row>
    <row r="765" ht="15.75" hidden="1" customHeight="1">
      <c r="L765" s="4"/>
    </row>
    <row r="766" ht="15.75" hidden="1" customHeight="1">
      <c r="L766" s="4"/>
    </row>
    <row r="767" ht="15.75" hidden="1" customHeight="1">
      <c r="L767" s="4"/>
    </row>
    <row r="768" ht="15.75" hidden="1" customHeight="1">
      <c r="L768" s="4"/>
    </row>
    <row r="769" ht="15.75" hidden="1" customHeight="1">
      <c r="L769" s="4"/>
    </row>
    <row r="770" ht="15.75" hidden="1" customHeight="1">
      <c r="L770" s="4"/>
    </row>
    <row r="771" ht="15.75" hidden="1" customHeight="1">
      <c r="L771" s="4"/>
    </row>
    <row r="772" ht="15.75" hidden="1" customHeight="1">
      <c r="L772" s="4"/>
    </row>
    <row r="773" ht="15.75" hidden="1" customHeight="1">
      <c r="L773" s="4"/>
    </row>
    <row r="774" ht="15.75" hidden="1" customHeight="1">
      <c r="L774" s="4"/>
    </row>
    <row r="775" ht="15.75" hidden="1" customHeight="1">
      <c r="L775" s="4"/>
    </row>
    <row r="776" ht="15.75" hidden="1" customHeight="1">
      <c r="L776" s="4"/>
    </row>
    <row r="777" ht="15.75" hidden="1" customHeight="1">
      <c r="L777" s="4"/>
    </row>
    <row r="778" ht="15.75" hidden="1" customHeight="1">
      <c r="L778" s="4"/>
    </row>
    <row r="779" ht="15.75" hidden="1" customHeight="1">
      <c r="L779" s="4"/>
    </row>
    <row r="780" ht="15.75" hidden="1" customHeight="1">
      <c r="L780" s="4"/>
    </row>
    <row r="781" ht="15.75" hidden="1" customHeight="1">
      <c r="L781" s="4"/>
    </row>
    <row r="782" ht="15.75" hidden="1" customHeight="1">
      <c r="L782" s="4"/>
    </row>
    <row r="783" ht="15.75" hidden="1" customHeight="1">
      <c r="L783" s="4"/>
    </row>
    <row r="784" ht="15.75" hidden="1" customHeight="1">
      <c r="L784" s="4"/>
    </row>
    <row r="785" ht="15.75" hidden="1" customHeight="1">
      <c r="L785" s="4"/>
    </row>
    <row r="786" ht="15.75" hidden="1" customHeight="1">
      <c r="L786" s="4"/>
    </row>
    <row r="787" ht="15.75" hidden="1" customHeight="1">
      <c r="L787" s="4"/>
    </row>
    <row r="788" ht="15.75" hidden="1" customHeight="1">
      <c r="L788" s="4"/>
    </row>
    <row r="789" ht="15.75" hidden="1" customHeight="1">
      <c r="L789" s="4"/>
    </row>
    <row r="790" ht="15.75" hidden="1" customHeight="1">
      <c r="L790" s="4"/>
    </row>
    <row r="791" ht="15.75" hidden="1" customHeight="1">
      <c r="L791" s="4"/>
    </row>
    <row r="792" ht="15.75" hidden="1" customHeight="1">
      <c r="L792" s="4"/>
    </row>
    <row r="793" ht="15.75" hidden="1" customHeight="1">
      <c r="L793" s="4"/>
    </row>
    <row r="794" ht="15.75" hidden="1" customHeight="1">
      <c r="L794" s="4"/>
    </row>
    <row r="795" ht="15.75" hidden="1" customHeight="1">
      <c r="L795" s="4"/>
    </row>
    <row r="796" ht="15.75" hidden="1" customHeight="1">
      <c r="L796" s="4"/>
    </row>
    <row r="797" ht="15.75" hidden="1" customHeight="1">
      <c r="L797" s="4"/>
    </row>
    <row r="798" ht="15.75" hidden="1" customHeight="1">
      <c r="L798" s="4"/>
    </row>
    <row r="799" ht="15.75" hidden="1" customHeight="1">
      <c r="L799" s="4"/>
    </row>
    <row r="800" ht="15.75" hidden="1" customHeight="1">
      <c r="L800" s="4"/>
    </row>
    <row r="801" ht="15.75" hidden="1" customHeight="1">
      <c r="L801" s="4"/>
    </row>
    <row r="802" ht="15.75" hidden="1" customHeight="1">
      <c r="L802" s="4"/>
    </row>
    <row r="803" ht="15.75" hidden="1" customHeight="1">
      <c r="L803" s="4"/>
    </row>
    <row r="804" ht="15.75" hidden="1" customHeight="1">
      <c r="L804" s="4"/>
    </row>
    <row r="805" ht="15.75" hidden="1" customHeight="1">
      <c r="L805" s="4"/>
    </row>
    <row r="806" ht="15.75" hidden="1" customHeight="1">
      <c r="L806" s="4"/>
    </row>
    <row r="807" ht="15.75" hidden="1" customHeight="1">
      <c r="L807" s="4"/>
    </row>
    <row r="808" ht="15.75" hidden="1" customHeight="1">
      <c r="L808" s="4"/>
    </row>
    <row r="809" ht="15.75" hidden="1" customHeight="1">
      <c r="L809" s="4"/>
    </row>
    <row r="810" ht="15.75" hidden="1" customHeight="1">
      <c r="L810" s="4"/>
    </row>
    <row r="811" ht="15.75" hidden="1" customHeight="1">
      <c r="L811" s="4"/>
    </row>
    <row r="812" ht="15.75" hidden="1" customHeight="1">
      <c r="L812" s="4"/>
    </row>
    <row r="813" ht="15.75" hidden="1" customHeight="1">
      <c r="L813" s="4"/>
    </row>
    <row r="814" ht="15.75" hidden="1" customHeight="1">
      <c r="L814" s="4"/>
    </row>
    <row r="815" ht="15.75" hidden="1" customHeight="1">
      <c r="L815" s="4"/>
    </row>
    <row r="816" ht="15.75" hidden="1" customHeight="1">
      <c r="L816" s="4"/>
    </row>
    <row r="817" ht="15.75" hidden="1" customHeight="1">
      <c r="L817" s="4"/>
    </row>
    <row r="818" ht="15.75" hidden="1" customHeight="1">
      <c r="L818" s="4"/>
    </row>
    <row r="819" ht="15.75" hidden="1" customHeight="1">
      <c r="L819" s="4"/>
    </row>
    <row r="820" ht="15.75" hidden="1" customHeight="1">
      <c r="L820" s="4"/>
    </row>
    <row r="821" ht="15.75" hidden="1" customHeight="1">
      <c r="L821" s="4"/>
    </row>
    <row r="822" ht="15.75" hidden="1" customHeight="1">
      <c r="L822" s="4"/>
    </row>
    <row r="823" ht="15.75" hidden="1" customHeight="1">
      <c r="L823" s="4"/>
    </row>
    <row r="824" ht="15.75" hidden="1" customHeight="1">
      <c r="L824" s="4"/>
    </row>
    <row r="825" ht="15.75" hidden="1" customHeight="1">
      <c r="L825" s="4"/>
    </row>
    <row r="826" ht="15.75" hidden="1" customHeight="1">
      <c r="L826" s="4"/>
    </row>
    <row r="827" ht="15.75" hidden="1" customHeight="1">
      <c r="L827" s="4"/>
    </row>
    <row r="828" ht="15.75" hidden="1" customHeight="1">
      <c r="L828" s="4"/>
    </row>
    <row r="829" ht="15.75" hidden="1" customHeight="1">
      <c r="L829" s="4"/>
    </row>
    <row r="830" ht="15.75" hidden="1" customHeight="1">
      <c r="L830" s="4"/>
    </row>
    <row r="831" ht="15.75" hidden="1" customHeight="1">
      <c r="L831" s="4"/>
    </row>
    <row r="832" ht="15.75" hidden="1" customHeight="1">
      <c r="L832" s="4"/>
    </row>
    <row r="833" ht="15.75" hidden="1" customHeight="1">
      <c r="L833" s="4"/>
    </row>
    <row r="834" ht="15.75" hidden="1" customHeight="1">
      <c r="L834" s="4"/>
    </row>
    <row r="835" ht="15.75" hidden="1" customHeight="1">
      <c r="L835" s="4"/>
    </row>
    <row r="836" ht="15.75" hidden="1" customHeight="1">
      <c r="L836" s="4"/>
    </row>
    <row r="837" ht="15.75" hidden="1" customHeight="1">
      <c r="L837" s="4"/>
    </row>
    <row r="838" ht="15.75" hidden="1" customHeight="1">
      <c r="L838" s="4"/>
    </row>
    <row r="839" ht="15.75" hidden="1" customHeight="1">
      <c r="L839" s="4"/>
    </row>
    <row r="840" ht="15.75" hidden="1" customHeight="1">
      <c r="L840" s="4"/>
    </row>
    <row r="841" ht="15.75" hidden="1" customHeight="1">
      <c r="L841" s="4"/>
    </row>
    <row r="842" ht="15.75" hidden="1" customHeight="1">
      <c r="L842" s="4"/>
    </row>
    <row r="843" ht="15.75" hidden="1" customHeight="1">
      <c r="L843" s="4"/>
    </row>
    <row r="844" ht="15.75" hidden="1" customHeight="1">
      <c r="L844" s="4"/>
    </row>
    <row r="845" ht="15.75" hidden="1" customHeight="1">
      <c r="L845" s="4"/>
    </row>
    <row r="846" ht="15.75" hidden="1" customHeight="1">
      <c r="L846" s="4"/>
    </row>
    <row r="847" ht="15.75" hidden="1" customHeight="1">
      <c r="L847" s="4"/>
    </row>
    <row r="848" ht="15.75" hidden="1" customHeight="1">
      <c r="L848" s="4"/>
    </row>
    <row r="849" ht="15.75" hidden="1" customHeight="1">
      <c r="L849" s="4"/>
    </row>
    <row r="850" ht="15.75" hidden="1" customHeight="1">
      <c r="L850" s="4"/>
    </row>
    <row r="851" ht="15.75" hidden="1" customHeight="1">
      <c r="L851" s="4"/>
    </row>
    <row r="852" ht="15.75" hidden="1" customHeight="1">
      <c r="L852" s="4"/>
    </row>
    <row r="853" ht="15.75" hidden="1" customHeight="1">
      <c r="L853" s="4"/>
    </row>
    <row r="854" ht="15.75" hidden="1" customHeight="1">
      <c r="L854" s="4"/>
    </row>
    <row r="855" ht="15.75" hidden="1" customHeight="1">
      <c r="L855" s="4"/>
    </row>
    <row r="856" ht="15.75" hidden="1" customHeight="1">
      <c r="L856" s="4"/>
    </row>
    <row r="857" ht="15.75" hidden="1" customHeight="1">
      <c r="L857" s="4"/>
    </row>
    <row r="858" ht="15.75" hidden="1" customHeight="1">
      <c r="L858" s="4"/>
    </row>
    <row r="859" ht="15.75" hidden="1" customHeight="1">
      <c r="L859" s="4"/>
    </row>
    <row r="860" ht="15.75" hidden="1" customHeight="1">
      <c r="L860" s="4"/>
    </row>
    <row r="861" ht="15.75" hidden="1" customHeight="1">
      <c r="L861" s="4"/>
    </row>
    <row r="862" ht="15.75" hidden="1" customHeight="1">
      <c r="L862" s="4"/>
    </row>
    <row r="863" ht="15.75" hidden="1" customHeight="1">
      <c r="L863" s="4"/>
    </row>
    <row r="864" ht="15.75" hidden="1" customHeight="1">
      <c r="L864" s="4"/>
    </row>
    <row r="865" ht="15.75" hidden="1" customHeight="1">
      <c r="L865" s="4"/>
    </row>
    <row r="866" ht="15.75" hidden="1" customHeight="1">
      <c r="L866" s="4"/>
    </row>
    <row r="867" ht="15.75" hidden="1" customHeight="1">
      <c r="L867" s="4"/>
    </row>
    <row r="868" ht="15.75" hidden="1" customHeight="1">
      <c r="L868" s="4"/>
    </row>
    <row r="869" ht="15.75" hidden="1" customHeight="1">
      <c r="L869" s="4"/>
    </row>
    <row r="870" ht="15.75" hidden="1" customHeight="1">
      <c r="L870" s="4"/>
    </row>
    <row r="871" ht="15.75" hidden="1" customHeight="1">
      <c r="L871" s="4"/>
    </row>
    <row r="872" ht="15.75" hidden="1" customHeight="1">
      <c r="L872" s="4"/>
    </row>
    <row r="873" ht="15.75" hidden="1" customHeight="1">
      <c r="L873" s="4"/>
    </row>
    <row r="874" ht="15.75" hidden="1" customHeight="1">
      <c r="L874" s="4"/>
    </row>
    <row r="875" ht="15.75" hidden="1" customHeight="1">
      <c r="L875" s="4"/>
    </row>
    <row r="876" ht="15.75" hidden="1" customHeight="1">
      <c r="L876" s="4"/>
    </row>
    <row r="877" ht="15.75" hidden="1" customHeight="1">
      <c r="L877" s="4"/>
    </row>
    <row r="878" ht="15.75" hidden="1" customHeight="1">
      <c r="L878" s="4"/>
    </row>
    <row r="879" ht="15.75" hidden="1" customHeight="1">
      <c r="L879" s="4"/>
    </row>
    <row r="880" ht="15.75" hidden="1" customHeight="1">
      <c r="L880" s="4"/>
    </row>
    <row r="881" ht="15.75" hidden="1" customHeight="1">
      <c r="L881" s="4"/>
    </row>
    <row r="882" ht="15.75" hidden="1" customHeight="1">
      <c r="L882" s="4"/>
    </row>
    <row r="883" ht="15.75" hidden="1" customHeight="1">
      <c r="L883" s="4"/>
    </row>
    <row r="884" ht="15.75" hidden="1" customHeight="1">
      <c r="L884" s="4"/>
    </row>
    <row r="885" ht="15.75" hidden="1" customHeight="1">
      <c r="L885" s="4"/>
    </row>
    <row r="886" ht="15.75" hidden="1" customHeight="1">
      <c r="L886" s="4"/>
    </row>
    <row r="887" ht="15.75" hidden="1" customHeight="1">
      <c r="L887" s="4"/>
    </row>
    <row r="888" ht="15.75" hidden="1" customHeight="1">
      <c r="L888" s="4"/>
    </row>
    <row r="889" ht="15.75" hidden="1" customHeight="1">
      <c r="L889" s="4"/>
    </row>
    <row r="890" ht="15.75" hidden="1" customHeight="1">
      <c r="L890" s="4"/>
    </row>
    <row r="891" ht="15.75" hidden="1" customHeight="1">
      <c r="L891" s="4"/>
    </row>
    <row r="892" ht="15.75" hidden="1" customHeight="1">
      <c r="L892" s="4"/>
    </row>
    <row r="893" ht="15.75" hidden="1" customHeight="1">
      <c r="L893" s="4"/>
    </row>
    <row r="894" ht="15.75" hidden="1" customHeight="1">
      <c r="L894" s="4"/>
    </row>
    <row r="895" ht="15.75" hidden="1" customHeight="1">
      <c r="L895" s="4"/>
    </row>
    <row r="896" ht="15.75" hidden="1" customHeight="1">
      <c r="L896" s="4"/>
    </row>
    <row r="897" ht="15.75" hidden="1" customHeight="1">
      <c r="L897" s="4"/>
    </row>
    <row r="898" ht="15.75" hidden="1" customHeight="1">
      <c r="L898" s="4"/>
    </row>
    <row r="899" ht="15.75" hidden="1" customHeight="1">
      <c r="L899" s="4"/>
    </row>
    <row r="900" ht="15.75" hidden="1" customHeight="1">
      <c r="L900" s="4"/>
    </row>
    <row r="901" ht="15.75" hidden="1" customHeight="1">
      <c r="L901" s="4"/>
    </row>
    <row r="902" ht="15.75" hidden="1" customHeight="1">
      <c r="L902" s="4"/>
    </row>
    <row r="903" ht="15.75" hidden="1" customHeight="1">
      <c r="L903" s="4"/>
    </row>
    <row r="904" ht="15.75" hidden="1" customHeight="1">
      <c r="L904" s="4"/>
    </row>
    <row r="905" ht="15.75" hidden="1" customHeight="1">
      <c r="L905" s="4"/>
    </row>
    <row r="906" ht="15.75" hidden="1" customHeight="1">
      <c r="L906" s="4"/>
    </row>
    <row r="907" ht="15.75" hidden="1" customHeight="1">
      <c r="L907" s="4"/>
    </row>
    <row r="908" ht="15.75" hidden="1" customHeight="1">
      <c r="L908" s="4"/>
    </row>
    <row r="909" ht="15.75" hidden="1" customHeight="1">
      <c r="L909" s="4"/>
    </row>
    <row r="910" ht="15.75" hidden="1" customHeight="1">
      <c r="L910" s="4"/>
    </row>
    <row r="911" ht="15.75" hidden="1" customHeight="1">
      <c r="L911" s="4"/>
    </row>
    <row r="912" ht="15.75" hidden="1" customHeight="1">
      <c r="L912" s="4"/>
    </row>
    <row r="913" ht="15.75" hidden="1" customHeight="1">
      <c r="L913" s="4"/>
    </row>
    <row r="914" ht="15.75" hidden="1" customHeight="1">
      <c r="L914" s="4"/>
    </row>
    <row r="915" ht="15.75" hidden="1" customHeight="1">
      <c r="L915" s="4"/>
    </row>
    <row r="916" ht="15.75" hidden="1" customHeight="1">
      <c r="L916" s="4"/>
    </row>
    <row r="917" ht="15.75" hidden="1" customHeight="1">
      <c r="L917" s="4"/>
    </row>
    <row r="918" ht="15.75" hidden="1" customHeight="1">
      <c r="L918" s="4"/>
    </row>
    <row r="919" ht="15.75" hidden="1" customHeight="1">
      <c r="L919" s="4"/>
    </row>
    <row r="920" ht="15.75" hidden="1" customHeight="1">
      <c r="L920" s="4"/>
    </row>
    <row r="921" ht="15.75" hidden="1" customHeight="1">
      <c r="L921" s="4"/>
    </row>
    <row r="922" ht="15.75" hidden="1" customHeight="1">
      <c r="L922" s="4"/>
    </row>
    <row r="923" ht="15.75" hidden="1" customHeight="1">
      <c r="L923" s="4"/>
    </row>
    <row r="924" ht="15.75" hidden="1" customHeight="1">
      <c r="L924" s="4"/>
    </row>
    <row r="925" ht="15.75" hidden="1" customHeight="1">
      <c r="L925" s="4"/>
    </row>
    <row r="926" ht="15.75" hidden="1" customHeight="1">
      <c r="L926" s="4"/>
    </row>
    <row r="927" ht="15.75" hidden="1" customHeight="1">
      <c r="L927" s="4"/>
    </row>
    <row r="928" ht="15.75" hidden="1" customHeight="1">
      <c r="L928" s="4"/>
    </row>
    <row r="929" ht="15.75" hidden="1" customHeight="1">
      <c r="L929" s="4"/>
    </row>
    <row r="930" ht="15.75" hidden="1" customHeight="1">
      <c r="L930" s="4"/>
    </row>
    <row r="931" ht="15.75" hidden="1" customHeight="1">
      <c r="L931" s="4"/>
    </row>
    <row r="932" ht="15.75" hidden="1" customHeight="1">
      <c r="L932" s="4"/>
    </row>
    <row r="933" ht="15.75" hidden="1" customHeight="1">
      <c r="L933" s="4"/>
    </row>
    <row r="934" ht="15.75" hidden="1" customHeight="1">
      <c r="L934" s="4"/>
    </row>
    <row r="935" ht="15.75" hidden="1" customHeight="1">
      <c r="L935" s="4"/>
    </row>
    <row r="936" ht="15.75" hidden="1" customHeight="1">
      <c r="L936" s="4"/>
    </row>
    <row r="937" ht="15.75" hidden="1" customHeight="1">
      <c r="L937" s="4"/>
    </row>
    <row r="938" ht="15.75" hidden="1" customHeight="1">
      <c r="L938" s="4"/>
    </row>
    <row r="939" ht="15.75" hidden="1" customHeight="1">
      <c r="L939" s="4"/>
    </row>
    <row r="940" ht="15.75" hidden="1" customHeight="1">
      <c r="L940" s="4"/>
    </row>
    <row r="941" ht="15.75" hidden="1" customHeight="1">
      <c r="L941" s="4"/>
    </row>
    <row r="942" ht="15.75" hidden="1" customHeight="1">
      <c r="L942" s="4"/>
    </row>
    <row r="943" ht="15.75" hidden="1" customHeight="1">
      <c r="L943" s="4"/>
    </row>
    <row r="944" ht="15.75" hidden="1" customHeight="1">
      <c r="L944" s="4"/>
    </row>
    <row r="945" ht="15.75" hidden="1" customHeight="1">
      <c r="L945" s="4"/>
    </row>
    <row r="946" ht="15.75" hidden="1" customHeight="1">
      <c r="L946" s="4"/>
    </row>
    <row r="947" ht="15.75" hidden="1" customHeight="1">
      <c r="L947" s="4"/>
    </row>
    <row r="948" ht="15.75" hidden="1" customHeight="1">
      <c r="L948" s="4"/>
    </row>
    <row r="949" ht="15.75" hidden="1" customHeight="1">
      <c r="L949" s="4"/>
    </row>
    <row r="950" ht="15.75" hidden="1" customHeight="1">
      <c r="L950" s="4"/>
    </row>
    <row r="951" ht="15.75" hidden="1" customHeight="1">
      <c r="L951" s="4"/>
    </row>
    <row r="952" ht="15.75" hidden="1" customHeight="1">
      <c r="L952" s="4"/>
    </row>
    <row r="953" ht="15.75" hidden="1" customHeight="1">
      <c r="L953" s="4"/>
    </row>
    <row r="954" ht="15.75" hidden="1" customHeight="1">
      <c r="L954" s="4"/>
    </row>
    <row r="955" ht="15.75" hidden="1" customHeight="1">
      <c r="L955" s="4"/>
    </row>
    <row r="956" ht="15.75" hidden="1" customHeight="1">
      <c r="L956" s="4"/>
    </row>
    <row r="957" ht="15.75" hidden="1" customHeight="1">
      <c r="L957" s="4"/>
    </row>
    <row r="958" ht="15.75" hidden="1" customHeight="1">
      <c r="L958" s="4"/>
    </row>
    <row r="959" ht="15.75" hidden="1" customHeight="1">
      <c r="L959" s="4"/>
    </row>
    <row r="960" ht="15.75" hidden="1" customHeight="1">
      <c r="L960" s="4"/>
    </row>
    <row r="961" ht="15.75" hidden="1" customHeight="1">
      <c r="L961" s="4"/>
    </row>
    <row r="962" ht="15.75" hidden="1" customHeight="1">
      <c r="L962" s="4"/>
    </row>
    <row r="963" ht="15.75" hidden="1" customHeight="1">
      <c r="L963" s="4"/>
    </row>
    <row r="964" ht="15.75" hidden="1" customHeight="1">
      <c r="L964" s="4"/>
    </row>
    <row r="965" ht="15.75" hidden="1" customHeight="1">
      <c r="L965" s="4"/>
    </row>
    <row r="966" ht="15.75" hidden="1" customHeight="1">
      <c r="L966" s="4"/>
    </row>
    <row r="967" ht="15.75" hidden="1" customHeight="1">
      <c r="L967" s="4"/>
    </row>
    <row r="968" ht="15.75" hidden="1" customHeight="1">
      <c r="L968" s="4"/>
    </row>
    <row r="969" ht="15.75" hidden="1" customHeight="1">
      <c r="L969" s="4"/>
    </row>
    <row r="970" ht="15.75" hidden="1" customHeight="1">
      <c r="L970" s="4"/>
    </row>
    <row r="971" ht="15.75" hidden="1" customHeight="1">
      <c r="L971" s="4"/>
    </row>
    <row r="972" ht="15.75" hidden="1" customHeight="1">
      <c r="L972" s="4"/>
    </row>
    <row r="973" ht="15.75" hidden="1" customHeight="1">
      <c r="L973" s="4"/>
    </row>
    <row r="974" ht="15.75" hidden="1" customHeight="1">
      <c r="L974" s="4"/>
    </row>
    <row r="975" ht="15.75" hidden="1" customHeight="1">
      <c r="L975" s="4"/>
    </row>
    <row r="976" ht="15.75" hidden="1" customHeight="1">
      <c r="L976" s="4"/>
    </row>
    <row r="977" ht="15.75" hidden="1" customHeight="1">
      <c r="L977" s="4"/>
    </row>
    <row r="978" ht="15.75" hidden="1" customHeight="1">
      <c r="L978" s="4"/>
    </row>
    <row r="979" ht="15.75" hidden="1" customHeight="1">
      <c r="L979" s="4"/>
    </row>
    <row r="980" ht="15.75" hidden="1" customHeight="1">
      <c r="L980" s="4"/>
    </row>
    <row r="981" ht="15.75" hidden="1" customHeight="1">
      <c r="L981" s="4"/>
    </row>
    <row r="982" ht="15.75" hidden="1" customHeight="1">
      <c r="L982" s="4"/>
    </row>
    <row r="983" ht="15.75" hidden="1" customHeight="1">
      <c r="L983" s="4"/>
    </row>
    <row r="984" ht="15.75" hidden="1" customHeight="1">
      <c r="L984" s="4"/>
    </row>
    <row r="985" ht="15.75" hidden="1" customHeight="1">
      <c r="L985" s="4"/>
    </row>
    <row r="986" ht="15.75" hidden="1" customHeight="1">
      <c r="L986" s="4"/>
    </row>
    <row r="987" ht="15.75" hidden="1" customHeight="1">
      <c r="L987" s="4"/>
    </row>
    <row r="988" ht="15.75" hidden="1" customHeight="1">
      <c r="L988" s="4"/>
    </row>
    <row r="989" ht="15.75" hidden="1" customHeight="1">
      <c r="L989" s="4"/>
    </row>
    <row r="990" ht="15.75" hidden="1" customHeight="1">
      <c r="L990" s="4"/>
    </row>
    <row r="991" ht="15.75" hidden="1" customHeight="1">
      <c r="L991" s="4"/>
    </row>
    <row r="992" ht="15.75" hidden="1" customHeight="1">
      <c r="L992" s="4"/>
    </row>
    <row r="993" ht="15.75" hidden="1" customHeight="1">
      <c r="L993" s="4"/>
    </row>
    <row r="994" ht="15.75" hidden="1" customHeight="1">
      <c r="L994" s="4"/>
    </row>
    <row r="995" ht="15.75" hidden="1" customHeight="1">
      <c r="L995" s="4"/>
    </row>
    <row r="996" ht="15.75" hidden="1" customHeight="1">
      <c r="L996" s="4"/>
    </row>
    <row r="997" ht="15.75" hidden="1" customHeight="1">
      <c r="L997" s="4"/>
    </row>
    <row r="998" ht="15.75" hidden="1" customHeight="1">
      <c r="L998" s="4"/>
    </row>
    <row r="999" ht="15.75" hidden="1" customHeight="1">
      <c r="L999" s="4"/>
    </row>
    <row r="1000" ht="15.75" hidden="1" customHeight="1">
      <c r="L1000" s="4"/>
    </row>
  </sheetData>
  <autoFilter ref="$A$1:$Z$1000">
    <filterColumn colId="2">
      <filters>
        <filter val="MASCO CACERES, LUIS AURELIO"/>
      </filters>
    </filterColumn>
  </autoFilter>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1.86"/>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sheetData>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43"/>
    <col customWidth="1" min="2" max="2" width="29.29"/>
  </cols>
  <sheetData>
    <row r="1">
      <c r="A1" s="5" t="s">
        <v>2</v>
      </c>
      <c r="B1" s="16" t="s">
        <v>2593</v>
      </c>
    </row>
    <row r="2">
      <c r="A2" s="5" t="s">
        <v>431</v>
      </c>
      <c r="B2" s="16">
        <v>0.0</v>
      </c>
    </row>
    <row r="3">
      <c r="A3" s="5" t="s">
        <v>454</v>
      </c>
      <c r="B3" s="16">
        <v>0.0</v>
      </c>
    </row>
    <row r="4">
      <c r="A4" s="5" t="s">
        <v>280</v>
      </c>
      <c r="B4" s="16">
        <v>0.0</v>
      </c>
    </row>
    <row r="5">
      <c r="A5" s="5" t="s">
        <v>542</v>
      </c>
      <c r="B5" s="16">
        <v>0.0</v>
      </c>
    </row>
    <row r="6">
      <c r="A6" s="5" t="s">
        <v>499</v>
      </c>
      <c r="B6" s="16">
        <v>3400.0</v>
      </c>
    </row>
    <row r="7">
      <c r="A7" s="5" t="s">
        <v>668</v>
      </c>
      <c r="B7" s="16">
        <v>6000.0</v>
      </c>
    </row>
    <row r="8">
      <c r="A8" s="5" t="s">
        <v>237</v>
      </c>
      <c r="B8" s="16">
        <v>8508.0</v>
      </c>
    </row>
    <row r="9">
      <c r="A9" s="5" t="s">
        <v>774</v>
      </c>
      <c r="B9" s="16">
        <v>10500.0</v>
      </c>
    </row>
    <row r="10">
      <c r="A10" s="5" t="s">
        <v>470</v>
      </c>
      <c r="B10" s="16">
        <v>11363.0</v>
      </c>
    </row>
    <row r="11">
      <c r="A11" s="5" t="s">
        <v>534</v>
      </c>
      <c r="B11" s="16">
        <v>12000.0</v>
      </c>
    </row>
    <row r="12">
      <c r="A12" s="5" t="s">
        <v>72</v>
      </c>
      <c r="B12" s="16">
        <v>14799.0</v>
      </c>
    </row>
    <row r="13">
      <c r="A13" s="5" t="s">
        <v>254</v>
      </c>
      <c r="B13" s="16">
        <v>19230.0</v>
      </c>
    </row>
    <row r="14">
      <c r="A14" s="5" t="s">
        <v>740</v>
      </c>
      <c r="B14" s="16">
        <v>19978.0</v>
      </c>
    </row>
    <row r="15">
      <c r="A15" s="5" t="s">
        <v>615</v>
      </c>
      <c r="B15" s="16">
        <v>20100.0</v>
      </c>
    </row>
    <row r="16">
      <c r="A16" s="5" t="s">
        <v>447</v>
      </c>
      <c r="B16" s="16">
        <v>24000.0</v>
      </c>
    </row>
    <row r="17">
      <c r="A17" s="5" t="s">
        <v>111</v>
      </c>
      <c r="B17" s="16">
        <v>24000.0</v>
      </c>
    </row>
    <row r="18">
      <c r="A18" s="5" t="s">
        <v>40</v>
      </c>
      <c r="B18" s="16">
        <v>30000.0</v>
      </c>
    </row>
    <row r="19">
      <c r="A19" s="5" t="s">
        <v>899</v>
      </c>
      <c r="B19" s="16">
        <v>30000.0</v>
      </c>
    </row>
    <row r="20">
      <c r="A20" s="5" t="s">
        <v>708</v>
      </c>
      <c r="B20" s="16">
        <v>33600.0</v>
      </c>
    </row>
    <row r="21">
      <c r="A21" s="5" t="s">
        <v>578</v>
      </c>
      <c r="B21" s="16">
        <v>34736.0</v>
      </c>
    </row>
    <row r="22">
      <c r="A22" s="5" t="s">
        <v>726</v>
      </c>
      <c r="B22" s="16">
        <v>36000.0</v>
      </c>
    </row>
    <row r="23">
      <c r="A23" s="5" t="s">
        <v>750</v>
      </c>
      <c r="B23" s="16">
        <v>36000.0</v>
      </c>
    </row>
    <row r="24">
      <c r="A24" s="5" t="s">
        <v>803</v>
      </c>
      <c r="B24" s="16">
        <v>38700.0</v>
      </c>
    </row>
    <row r="25">
      <c r="A25" s="5" t="s">
        <v>518</v>
      </c>
      <c r="B25" s="16">
        <v>40000.0</v>
      </c>
    </row>
    <row r="26">
      <c r="A26" s="5" t="s">
        <v>356</v>
      </c>
      <c r="B26" s="16">
        <v>41200.0</v>
      </c>
    </row>
    <row r="27">
      <c r="A27" s="5" t="s">
        <v>569</v>
      </c>
      <c r="B27" s="16">
        <v>41333.0</v>
      </c>
    </row>
    <row r="28">
      <c r="A28" s="5" t="s">
        <v>675</v>
      </c>
      <c r="B28" s="16">
        <v>41935.0</v>
      </c>
    </row>
    <row r="29">
      <c r="A29" s="5" t="s">
        <v>489</v>
      </c>
      <c r="B29" s="16">
        <v>43000.0</v>
      </c>
    </row>
    <row r="30">
      <c r="A30" s="5" t="s">
        <v>191</v>
      </c>
      <c r="B30" s="16">
        <v>44012.0</v>
      </c>
    </row>
    <row r="31">
      <c r="A31" s="5" t="s">
        <v>508</v>
      </c>
      <c r="B31" s="16">
        <v>45000.0</v>
      </c>
    </row>
    <row r="32">
      <c r="A32" s="5" t="s">
        <v>551</v>
      </c>
      <c r="B32" s="16">
        <v>45520.0</v>
      </c>
    </row>
    <row r="33">
      <c r="A33" s="5" t="s">
        <v>528</v>
      </c>
      <c r="B33" s="16">
        <v>47700.0</v>
      </c>
    </row>
    <row r="34">
      <c r="A34" s="5" t="s">
        <v>766</v>
      </c>
      <c r="B34" s="16">
        <v>48000.0</v>
      </c>
    </row>
    <row r="35">
      <c r="A35" s="5" t="s">
        <v>644</v>
      </c>
      <c r="B35" s="16">
        <v>48000.0</v>
      </c>
    </row>
    <row r="36">
      <c r="A36" s="5" t="s">
        <v>684</v>
      </c>
      <c r="B36" s="16">
        <v>50000.0</v>
      </c>
    </row>
    <row r="37">
      <c r="A37" s="5" t="s">
        <v>635</v>
      </c>
      <c r="B37" s="16">
        <v>50000.0</v>
      </c>
    </row>
    <row r="38">
      <c r="A38" s="5" t="s">
        <v>845</v>
      </c>
      <c r="B38" s="16">
        <v>51480.0</v>
      </c>
    </row>
    <row r="39">
      <c r="A39" s="5" t="s">
        <v>700</v>
      </c>
      <c r="B39" s="16">
        <v>57600.0</v>
      </c>
    </row>
    <row r="40">
      <c r="A40" s="5" t="s">
        <v>171</v>
      </c>
      <c r="B40" s="16">
        <v>60000.0</v>
      </c>
    </row>
    <row r="41">
      <c r="A41" s="5" t="s">
        <v>101</v>
      </c>
      <c r="B41" s="16">
        <v>60000.0</v>
      </c>
    </row>
    <row r="42">
      <c r="A42" s="5" t="s">
        <v>28</v>
      </c>
      <c r="B42" s="16">
        <v>62680.0</v>
      </c>
    </row>
    <row r="43">
      <c r="A43" s="5" t="s">
        <v>783</v>
      </c>
      <c r="B43" s="16">
        <v>63000.0</v>
      </c>
    </row>
    <row r="44">
      <c r="A44" s="5" t="s">
        <v>733</v>
      </c>
      <c r="B44" s="16">
        <v>67000.0</v>
      </c>
    </row>
    <row r="45">
      <c r="A45" s="5" t="s">
        <v>462</v>
      </c>
      <c r="B45" s="16">
        <v>67166.33</v>
      </c>
    </row>
    <row r="46">
      <c r="A46" s="5" t="s">
        <v>81</v>
      </c>
      <c r="B46" s="16">
        <v>70000.0</v>
      </c>
    </row>
    <row r="47">
      <c r="A47" s="5" t="s">
        <v>61</v>
      </c>
      <c r="B47" s="16">
        <v>70643.0</v>
      </c>
    </row>
    <row r="48">
      <c r="A48" s="5" t="s">
        <v>692</v>
      </c>
      <c r="B48" s="16">
        <v>71000.0</v>
      </c>
    </row>
    <row r="49">
      <c r="A49" s="5" t="s">
        <v>92</v>
      </c>
      <c r="B49" s="16">
        <v>76000.0</v>
      </c>
    </row>
    <row r="50">
      <c r="A50" s="5" t="s">
        <v>868</v>
      </c>
      <c r="B50" s="16">
        <v>81240.0</v>
      </c>
    </row>
    <row r="51">
      <c r="A51" s="5" t="s">
        <v>587</v>
      </c>
      <c r="B51" s="16">
        <v>84000.0</v>
      </c>
    </row>
    <row r="52">
      <c r="A52" s="5" t="s">
        <v>716</v>
      </c>
      <c r="B52" s="16">
        <v>84000.0</v>
      </c>
    </row>
    <row r="53">
      <c r="A53" s="5" t="s">
        <v>245</v>
      </c>
      <c r="B53" s="16">
        <v>84848.0</v>
      </c>
    </row>
    <row r="54">
      <c r="A54" s="5" t="s">
        <v>202</v>
      </c>
      <c r="B54" s="16">
        <v>85750.0</v>
      </c>
    </row>
    <row r="55">
      <c r="A55" s="5" t="s">
        <v>660</v>
      </c>
      <c r="B55" s="16">
        <v>90000.0</v>
      </c>
    </row>
    <row r="56">
      <c r="A56" s="5" t="s">
        <v>827</v>
      </c>
      <c r="B56" s="16">
        <v>90490.0</v>
      </c>
    </row>
    <row r="57">
      <c r="A57" s="5" t="s">
        <v>598</v>
      </c>
      <c r="B57" s="16">
        <v>97260.0</v>
      </c>
    </row>
    <row r="58">
      <c r="A58" s="5" t="s">
        <v>396</v>
      </c>
      <c r="B58" s="16">
        <v>102000.0</v>
      </c>
    </row>
    <row r="59">
      <c r="A59" s="5" t="s">
        <v>652</v>
      </c>
      <c r="B59" s="16">
        <v>106676.09</v>
      </c>
    </row>
    <row r="60">
      <c r="A60" s="5" t="s">
        <v>758</v>
      </c>
      <c r="B60" s="16">
        <v>110232.0</v>
      </c>
    </row>
    <row r="61">
      <c r="A61" s="5" t="s">
        <v>560</v>
      </c>
      <c r="B61" s="16">
        <v>112316.0</v>
      </c>
    </row>
    <row r="62">
      <c r="A62" s="5" t="s">
        <v>314</v>
      </c>
      <c r="B62" s="16">
        <v>114770.0</v>
      </c>
    </row>
    <row r="63">
      <c r="A63" s="5" t="s">
        <v>289</v>
      </c>
      <c r="B63" s="16">
        <v>116146.09</v>
      </c>
    </row>
    <row r="64">
      <c r="A64" s="5" t="s">
        <v>607</v>
      </c>
      <c r="B64" s="16">
        <v>116896.8</v>
      </c>
    </row>
    <row r="65">
      <c r="A65" s="5" t="s">
        <v>413</v>
      </c>
      <c r="B65" s="16">
        <v>120000.0</v>
      </c>
    </row>
    <row r="66">
      <c r="A66" s="5" t="s">
        <v>366</v>
      </c>
      <c r="B66" s="16">
        <v>121500.0</v>
      </c>
    </row>
    <row r="67">
      <c r="A67" s="5" t="s">
        <v>220</v>
      </c>
      <c r="B67" s="16">
        <v>123469.0</v>
      </c>
    </row>
    <row r="68">
      <c r="A68" s="5" t="s">
        <v>51</v>
      </c>
      <c r="B68" s="16">
        <v>125120.0</v>
      </c>
    </row>
    <row r="69">
      <c r="A69" s="5" t="s">
        <v>811</v>
      </c>
      <c r="B69" s="16">
        <v>127560.0</v>
      </c>
    </row>
    <row r="70">
      <c r="A70" s="5" t="s">
        <v>143</v>
      </c>
      <c r="B70" s="16">
        <v>131580.94</v>
      </c>
    </row>
    <row r="71">
      <c r="A71" s="5" t="s">
        <v>406</v>
      </c>
      <c r="B71" s="16">
        <v>136500.0</v>
      </c>
    </row>
    <row r="72">
      <c r="A72" s="5" t="s">
        <v>439</v>
      </c>
      <c r="B72" s="16">
        <v>138000.0</v>
      </c>
    </row>
    <row r="73">
      <c r="A73" s="5" t="s">
        <v>421</v>
      </c>
      <c r="B73" s="16">
        <v>141500.0</v>
      </c>
    </row>
    <row r="74">
      <c r="A74" s="5" t="s">
        <v>339</v>
      </c>
      <c r="B74" s="16">
        <v>147710.0</v>
      </c>
    </row>
    <row r="75">
      <c r="A75" s="5" t="s">
        <v>876</v>
      </c>
      <c r="B75" s="16">
        <v>157600.0</v>
      </c>
    </row>
    <row r="76">
      <c r="A76" s="5" t="s">
        <v>792</v>
      </c>
      <c r="B76" s="16">
        <v>168000.0</v>
      </c>
    </row>
    <row r="77">
      <c r="A77" s="5" t="s">
        <v>331</v>
      </c>
      <c r="B77" s="16">
        <v>168165.0</v>
      </c>
    </row>
    <row r="78">
      <c r="A78" s="5" t="s">
        <v>305</v>
      </c>
      <c r="B78" s="16">
        <v>173608.44</v>
      </c>
    </row>
    <row r="79">
      <c r="A79" s="5" t="s">
        <v>884</v>
      </c>
      <c r="B79" s="16">
        <v>179029.17</v>
      </c>
    </row>
    <row r="80">
      <c r="A80" s="5" t="s">
        <v>907</v>
      </c>
      <c r="B80" s="16">
        <v>187200.0</v>
      </c>
    </row>
    <row r="81">
      <c r="A81" s="5" t="s">
        <v>271</v>
      </c>
      <c r="B81" s="16">
        <v>191612.38</v>
      </c>
    </row>
    <row r="82">
      <c r="A82" s="5" t="s">
        <v>478</v>
      </c>
      <c r="B82" s="16">
        <v>192255.58</v>
      </c>
    </row>
    <row r="83">
      <c r="A83" s="5" t="s">
        <v>837</v>
      </c>
      <c r="B83" s="16">
        <v>212500.0</v>
      </c>
    </row>
    <row r="84">
      <c r="A84" s="5" t="s">
        <v>212</v>
      </c>
      <c r="B84" s="16">
        <v>234043.22</v>
      </c>
    </row>
    <row r="85">
      <c r="A85" s="5" t="s">
        <v>322</v>
      </c>
      <c r="B85" s="16">
        <v>253500.0</v>
      </c>
    </row>
    <row r="86">
      <c r="A86" s="5" t="s">
        <v>388</v>
      </c>
      <c r="B86" s="16">
        <v>259792.18</v>
      </c>
    </row>
    <row r="87">
      <c r="A87" s="5" t="s">
        <v>854</v>
      </c>
      <c r="B87" s="16">
        <v>271293.0</v>
      </c>
    </row>
    <row r="88">
      <c r="A88" s="5" t="s">
        <v>861</v>
      </c>
      <c r="B88" s="16">
        <v>296389.03</v>
      </c>
    </row>
    <row r="89">
      <c r="A89" s="5" t="s">
        <v>154</v>
      </c>
      <c r="B89" s="16">
        <v>312206.4</v>
      </c>
    </row>
    <row r="90">
      <c r="A90" s="5" t="s">
        <v>228</v>
      </c>
      <c r="B90" s="16">
        <v>360652.0</v>
      </c>
    </row>
    <row r="91">
      <c r="A91" s="5" t="s">
        <v>134</v>
      </c>
      <c r="B91" s="16">
        <v>419852.12</v>
      </c>
    </row>
    <row r="92">
      <c r="A92" s="5" t="s">
        <v>181</v>
      </c>
      <c r="B92" s="16">
        <v>427249.6</v>
      </c>
    </row>
    <row r="93">
      <c r="A93" s="5" t="s">
        <v>262</v>
      </c>
      <c r="B93" s="16">
        <v>437456.64</v>
      </c>
    </row>
    <row r="94">
      <c r="A94" s="5" t="s">
        <v>297</v>
      </c>
      <c r="B94" s="16">
        <v>442596.0</v>
      </c>
    </row>
    <row r="95">
      <c r="A95" s="5" t="s">
        <v>123</v>
      </c>
      <c r="B95" s="16">
        <v>451834.23</v>
      </c>
    </row>
    <row r="96">
      <c r="A96" s="5" t="s">
        <v>819</v>
      </c>
      <c r="B96" s="16">
        <v>455979.97</v>
      </c>
    </row>
    <row r="97">
      <c r="A97" s="5" t="s">
        <v>349</v>
      </c>
      <c r="B97" s="16">
        <v>499484.0</v>
      </c>
    </row>
    <row r="98">
      <c r="A98" s="5" t="s">
        <v>162</v>
      </c>
      <c r="B98" s="16">
        <v>634049.98</v>
      </c>
    </row>
    <row r="99">
      <c r="A99" s="5" t="s">
        <v>891</v>
      </c>
      <c r="B99" s="16">
        <v>838097.28</v>
      </c>
    </row>
    <row r="100">
      <c r="A100" s="5" t="s">
        <v>376</v>
      </c>
      <c r="B100" s="16">
        <v>1227187.74</v>
      </c>
    </row>
    <row r="101">
      <c r="A101" s="5" t="s">
        <v>625</v>
      </c>
      <c r="B101" s="16">
        <v>3319000.0</v>
      </c>
    </row>
    <row r="102">
      <c r="A102" s="5" t="s">
        <v>925</v>
      </c>
      <c r="B102" s="16">
        <v>1.733538221E7</v>
      </c>
    </row>
    <row r="103">
      <c r="B103" s="16"/>
    </row>
    <row r="104">
      <c r="B104" s="16"/>
    </row>
    <row r="105">
      <c r="B105" s="16"/>
    </row>
    <row r="106">
      <c r="B106" s="16"/>
    </row>
    <row r="107">
      <c r="B107" s="16"/>
    </row>
    <row r="108">
      <c r="B108" s="16"/>
    </row>
    <row r="109">
      <c r="B109" s="16"/>
    </row>
    <row r="110">
      <c r="B110" s="16"/>
    </row>
    <row r="111">
      <c r="B111" s="16"/>
    </row>
    <row r="112">
      <c r="B112" s="16"/>
    </row>
    <row r="113">
      <c r="B113" s="16"/>
    </row>
    <row r="114">
      <c r="B114" s="16"/>
    </row>
    <row r="115">
      <c r="B115" s="16"/>
    </row>
    <row r="116">
      <c r="B116" s="16"/>
    </row>
    <row r="117">
      <c r="B117" s="16"/>
    </row>
    <row r="118">
      <c r="B118" s="16"/>
    </row>
    <row r="119">
      <c r="B119" s="16"/>
    </row>
    <row r="120">
      <c r="B120" s="16"/>
    </row>
    <row r="121">
      <c r="B121" s="16"/>
    </row>
    <row r="122">
      <c r="B122" s="16"/>
    </row>
    <row r="123">
      <c r="B123" s="16"/>
    </row>
    <row r="124">
      <c r="B124" s="16"/>
    </row>
    <row r="125">
      <c r="B125" s="16"/>
    </row>
    <row r="126">
      <c r="B126" s="16"/>
    </row>
    <row r="127">
      <c r="B127" s="16"/>
    </row>
    <row r="128">
      <c r="B128" s="16"/>
    </row>
    <row r="129">
      <c r="B129" s="16"/>
    </row>
    <row r="130">
      <c r="B130" s="16"/>
    </row>
    <row r="131">
      <c r="B131" s="16"/>
    </row>
    <row r="132">
      <c r="B132" s="16"/>
    </row>
    <row r="133">
      <c r="B133" s="16"/>
    </row>
    <row r="134">
      <c r="B134" s="16"/>
    </row>
    <row r="135">
      <c r="B135" s="16"/>
    </row>
    <row r="136">
      <c r="B136" s="16"/>
    </row>
    <row r="137">
      <c r="B137" s="16"/>
    </row>
    <row r="138">
      <c r="B138" s="16"/>
    </row>
    <row r="139">
      <c r="B139" s="16"/>
    </row>
    <row r="140">
      <c r="B140" s="16"/>
    </row>
    <row r="141">
      <c r="B141" s="16"/>
    </row>
    <row r="142">
      <c r="B142" s="16"/>
    </row>
    <row r="143">
      <c r="B143" s="16"/>
    </row>
    <row r="144">
      <c r="B144" s="16"/>
    </row>
    <row r="145">
      <c r="B145" s="16"/>
    </row>
    <row r="146">
      <c r="B146" s="16"/>
    </row>
    <row r="147">
      <c r="B147" s="16"/>
    </row>
    <row r="148">
      <c r="B148" s="16"/>
    </row>
    <row r="149">
      <c r="B149" s="16"/>
    </row>
    <row r="150">
      <c r="B150" s="16"/>
    </row>
    <row r="151">
      <c r="B151" s="16"/>
    </row>
    <row r="152">
      <c r="B152" s="16"/>
    </row>
    <row r="153">
      <c r="B153" s="16"/>
    </row>
    <row r="154">
      <c r="B154" s="16"/>
    </row>
    <row r="155">
      <c r="B155" s="16"/>
    </row>
    <row r="156">
      <c r="B156" s="16"/>
    </row>
    <row r="157">
      <c r="B157" s="16"/>
    </row>
    <row r="158">
      <c r="B158" s="16"/>
    </row>
    <row r="159">
      <c r="B159" s="16"/>
    </row>
    <row r="160">
      <c r="B160" s="16"/>
    </row>
    <row r="161">
      <c r="B161" s="16"/>
    </row>
    <row r="162">
      <c r="B162" s="16"/>
    </row>
    <row r="163">
      <c r="B163" s="16"/>
    </row>
    <row r="164">
      <c r="B164" s="16"/>
    </row>
    <row r="165">
      <c r="B165" s="16"/>
    </row>
    <row r="166">
      <c r="B166" s="16"/>
    </row>
    <row r="167">
      <c r="B167" s="16"/>
    </row>
    <row r="168">
      <c r="B168" s="16"/>
    </row>
    <row r="169">
      <c r="B169" s="16"/>
    </row>
    <row r="170">
      <c r="B170" s="16"/>
    </row>
    <row r="171">
      <c r="B171" s="16"/>
    </row>
    <row r="172">
      <c r="B172" s="16"/>
    </row>
    <row r="173">
      <c r="B173" s="16"/>
    </row>
    <row r="174">
      <c r="B174" s="16"/>
    </row>
    <row r="175">
      <c r="B175" s="16"/>
    </row>
    <row r="176">
      <c r="B176" s="16"/>
    </row>
    <row r="177">
      <c r="B177" s="16"/>
    </row>
    <row r="178">
      <c r="B178" s="16"/>
    </row>
    <row r="179">
      <c r="B179" s="16"/>
    </row>
    <row r="180">
      <c r="B180" s="16"/>
    </row>
    <row r="181">
      <c r="B181" s="16"/>
    </row>
    <row r="182">
      <c r="B182" s="16"/>
    </row>
    <row r="183">
      <c r="B183" s="16"/>
    </row>
    <row r="184">
      <c r="B184" s="16"/>
    </row>
    <row r="185">
      <c r="B185" s="16"/>
    </row>
    <row r="186">
      <c r="B186" s="16"/>
    </row>
    <row r="187">
      <c r="B187" s="16"/>
    </row>
    <row r="188">
      <c r="B188" s="16"/>
    </row>
    <row r="189">
      <c r="B189" s="16"/>
    </row>
    <row r="190">
      <c r="B190" s="16"/>
    </row>
    <row r="191">
      <c r="B191" s="16"/>
    </row>
    <row r="192">
      <c r="B192" s="16"/>
    </row>
    <row r="193">
      <c r="B193" s="16"/>
    </row>
    <row r="194">
      <c r="B194" s="16"/>
    </row>
    <row r="195">
      <c r="B195" s="16"/>
    </row>
    <row r="196">
      <c r="B196" s="16"/>
    </row>
    <row r="197">
      <c r="B197" s="16"/>
    </row>
    <row r="198">
      <c r="B198" s="16"/>
    </row>
    <row r="199">
      <c r="B199" s="16"/>
    </row>
    <row r="200">
      <c r="B200" s="16"/>
    </row>
    <row r="201">
      <c r="B201" s="16"/>
    </row>
    <row r="202">
      <c r="B202" s="16"/>
    </row>
    <row r="203">
      <c r="B203" s="16"/>
    </row>
    <row r="204">
      <c r="B204" s="16"/>
    </row>
    <row r="205">
      <c r="B205" s="16"/>
    </row>
    <row r="206">
      <c r="B206" s="16"/>
    </row>
    <row r="207">
      <c r="B207" s="16"/>
    </row>
    <row r="208">
      <c r="B208" s="16"/>
    </row>
    <row r="209">
      <c r="B209" s="16"/>
    </row>
    <row r="210">
      <c r="B210" s="16"/>
    </row>
    <row r="211">
      <c r="B211" s="16"/>
    </row>
    <row r="212">
      <c r="B212" s="16"/>
    </row>
    <row r="213">
      <c r="B213" s="16"/>
    </row>
    <row r="214">
      <c r="B214" s="16"/>
    </row>
    <row r="215">
      <c r="B215" s="16"/>
    </row>
    <row r="216">
      <c r="B216" s="16"/>
    </row>
    <row r="217">
      <c r="B217" s="16"/>
    </row>
    <row r="218">
      <c r="B218" s="16"/>
    </row>
    <row r="219">
      <c r="B219" s="16"/>
    </row>
    <row r="220">
      <c r="B220" s="16"/>
    </row>
    <row r="221">
      <c r="B221" s="16"/>
    </row>
    <row r="222">
      <c r="B222" s="16"/>
    </row>
    <row r="223">
      <c r="B223" s="16"/>
    </row>
    <row r="224">
      <c r="B224" s="16"/>
    </row>
    <row r="225">
      <c r="B225" s="16"/>
    </row>
    <row r="226">
      <c r="B226" s="16"/>
    </row>
    <row r="227">
      <c r="B227" s="16"/>
    </row>
    <row r="228">
      <c r="B228" s="16"/>
    </row>
    <row r="229">
      <c r="B229" s="16"/>
    </row>
    <row r="230">
      <c r="B230" s="16"/>
    </row>
    <row r="231">
      <c r="B231" s="16"/>
    </row>
    <row r="232">
      <c r="B232" s="16"/>
    </row>
    <row r="233">
      <c r="B233" s="16"/>
    </row>
    <row r="234">
      <c r="B234" s="16"/>
    </row>
    <row r="235">
      <c r="B235" s="16"/>
    </row>
    <row r="236">
      <c r="B236" s="16"/>
    </row>
    <row r="237">
      <c r="B237" s="16"/>
    </row>
    <row r="238">
      <c r="B238" s="16"/>
    </row>
    <row r="239">
      <c r="B239" s="16"/>
    </row>
    <row r="240">
      <c r="B240" s="16"/>
    </row>
    <row r="241">
      <c r="B241" s="16"/>
    </row>
    <row r="242">
      <c r="B242" s="16"/>
    </row>
    <row r="243">
      <c r="B243" s="16"/>
    </row>
    <row r="244">
      <c r="B244" s="16"/>
    </row>
    <row r="245">
      <c r="B245" s="16"/>
    </row>
    <row r="246">
      <c r="B246" s="16"/>
    </row>
    <row r="247">
      <c r="B247" s="16"/>
    </row>
    <row r="248">
      <c r="B248" s="16"/>
    </row>
    <row r="249">
      <c r="B249" s="16"/>
    </row>
    <row r="250">
      <c r="B250" s="16"/>
    </row>
    <row r="251">
      <c r="B251" s="16"/>
    </row>
    <row r="252">
      <c r="B252" s="16"/>
    </row>
    <row r="253">
      <c r="B253" s="16"/>
    </row>
    <row r="254">
      <c r="B254" s="16"/>
    </row>
    <row r="255">
      <c r="B255" s="16"/>
    </row>
    <row r="256">
      <c r="B256" s="16"/>
    </row>
    <row r="257">
      <c r="B257" s="16"/>
    </row>
    <row r="258">
      <c r="B258" s="16"/>
    </row>
    <row r="259">
      <c r="B259" s="16"/>
    </row>
    <row r="260">
      <c r="B260" s="16"/>
    </row>
    <row r="261">
      <c r="B261" s="16"/>
    </row>
    <row r="262">
      <c r="B262" s="16"/>
    </row>
    <row r="263">
      <c r="B263" s="16"/>
    </row>
    <row r="264">
      <c r="B264" s="16"/>
    </row>
    <row r="265">
      <c r="B265" s="16"/>
    </row>
    <row r="266">
      <c r="B266" s="16"/>
    </row>
    <row r="267">
      <c r="B267" s="16"/>
    </row>
    <row r="268">
      <c r="B268" s="16"/>
    </row>
    <row r="269">
      <c r="B269" s="16"/>
    </row>
    <row r="270">
      <c r="B270" s="16"/>
    </row>
    <row r="271">
      <c r="B271" s="16"/>
    </row>
    <row r="272">
      <c r="B272" s="16"/>
    </row>
    <row r="273">
      <c r="B273" s="16"/>
    </row>
    <row r="274">
      <c r="B274" s="16"/>
    </row>
    <row r="275">
      <c r="B275" s="16"/>
    </row>
    <row r="276">
      <c r="B276" s="16"/>
    </row>
    <row r="277">
      <c r="B277" s="16"/>
    </row>
    <row r="278">
      <c r="B278" s="16"/>
    </row>
    <row r="279">
      <c r="B279" s="16"/>
    </row>
    <row r="280">
      <c r="B280" s="16"/>
    </row>
    <row r="281">
      <c r="B281" s="16"/>
    </row>
    <row r="282">
      <c r="B282" s="16"/>
    </row>
    <row r="283">
      <c r="B283" s="16"/>
    </row>
    <row r="284">
      <c r="B284" s="16"/>
    </row>
    <row r="285">
      <c r="B285" s="16"/>
    </row>
    <row r="286">
      <c r="B286" s="16"/>
    </row>
    <row r="287">
      <c r="B287" s="16"/>
    </row>
    <row r="288">
      <c r="B288" s="16"/>
    </row>
    <row r="289">
      <c r="B289" s="16"/>
    </row>
    <row r="290">
      <c r="B290" s="16"/>
    </row>
    <row r="291">
      <c r="B291" s="16"/>
    </row>
    <row r="292">
      <c r="B292" s="16"/>
    </row>
    <row r="293">
      <c r="B293" s="16"/>
    </row>
    <row r="294">
      <c r="B294" s="16"/>
    </row>
    <row r="295">
      <c r="B295" s="16"/>
    </row>
    <row r="296">
      <c r="B296" s="16"/>
    </row>
    <row r="297">
      <c r="B297" s="16"/>
    </row>
    <row r="298">
      <c r="B298" s="16"/>
    </row>
    <row r="299">
      <c r="B299" s="16"/>
    </row>
    <row r="300">
      <c r="B300" s="16"/>
    </row>
    <row r="301">
      <c r="B301" s="16"/>
    </row>
    <row r="302">
      <c r="B302" s="16"/>
    </row>
    <row r="303">
      <c r="B303" s="16"/>
    </row>
    <row r="304">
      <c r="B304" s="16"/>
    </row>
    <row r="305">
      <c r="B305" s="16"/>
    </row>
    <row r="306">
      <c r="B306" s="16"/>
    </row>
    <row r="307">
      <c r="B307" s="16"/>
    </row>
    <row r="308">
      <c r="B308" s="16"/>
    </row>
    <row r="309">
      <c r="B309" s="16"/>
    </row>
    <row r="310">
      <c r="B310" s="16"/>
    </row>
    <row r="311">
      <c r="B311" s="16"/>
    </row>
    <row r="312">
      <c r="B312" s="16"/>
    </row>
    <row r="313">
      <c r="B313" s="16"/>
    </row>
    <row r="314">
      <c r="B314" s="16"/>
    </row>
    <row r="315">
      <c r="B315" s="16"/>
    </row>
    <row r="316">
      <c r="B316" s="16"/>
    </row>
    <row r="317">
      <c r="B317" s="16"/>
    </row>
    <row r="318">
      <c r="B318" s="16"/>
    </row>
    <row r="319">
      <c r="B319" s="16"/>
    </row>
    <row r="320">
      <c r="B320" s="16"/>
    </row>
    <row r="321">
      <c r="B321" s="16"/>
    </row>
    <row r="322">
      <c r="B322" s="16"/>
    </row>
    <row r="323">
      <c r="B323" s="16"/>
    </row>
    <row r="324">
      <c r="B324" s="16"/>
    </row>
    <row r="325">
      <c r="B325" s="16"/>
    </row>
    <row r="326">
      <c r="B326" s="16"/>
    </row>
    <row r="327">
      <c r="B327" s="16"/>
    </row>
    <row r="328">
      <c r="B328" s="16"/>
    </row>
    <row r="329">
      <c r="B329" s="16"/>
    </row>
    <row r="330">
      <c r="B330" s="16"/>
    </row>
    <row r="331">
      <c r="B331" s="16"/>
    </row>
    <row r="332">
      <c r="B332" s="16"/>
    </row>
    <row r="333">
      <c r="B333" s="16"/>
    </row>
    <row r="334">
      <c r="B334" s="16"/>
    </row>
    <row r="335">
      <c r="B335" s="16"/>
    </row>
    <row r="336">
      <c r="B336" s="16"/>
    </row>
    <row r="337">
      <c r="B337" s="16"/>
    </row>
    <row r="338">
      <c r="B338" s="16"/>
    </row>
    <row r="339">
      <c r="B339" s="16"/>
    </row>
    <row r="340">
      <c r="B340" s="16"/>
    </row>
    <row r="341">
      <c r="B341" s="16"/>
    </row>
    <row r="342">
      <c r="B342" s="16"/>
    </row>
    <row r="343">
      <c r="B343" s="16"/>
    </row>
    <row r="344">
      <c r="B344" s="16"/>
    </row>
    <row r="345">
      <c r="B345" s="16"/>
    </row>
    <row r="346">
      <c r="B346" s="16"/>
    </row>
    <row r="347">
      <c r="B347" s="16"/>
    </row>
    <row r="348">
      <c r="B348" s="16"/>
    </row>
    <row r="349">
      <c r="B349" s="16"/>
    </row>
    <row r="350">
      <c r="B350" s="16"/>
    </row>
    <row r="351">
      <c r="B351" s="16"/>
    </row>
    <row r="352">
      <c r="B352" s="16"/>
    </row>
    <row r="353">
      <c r="B353" s="16"/>
    </row>
    <row r="354">
      <c r="B354" s="16"/>
    </row>
    <row r="355">
      <c r="B355" s="16"/>
    </row>
    <row r="356">
      <c r="B356" s="16"/>
    </row>
    <row r="357">
      <c r="B357" s="16"/>
    </row>
    <row r="358">
      <c r="B358" s="16"/>
    </row>
    <row r="359">
      <c r="B359" s="16"/>
    </row>
    <row r="360">
      <c r="B360" s="16"/>
    </row>
    <row r="361">
      <c r="B361" s="16"/>
    </row>
    <row r="362">
      <c r="B362" s="16"/>
    </row>
    <row r="363">
      <c r="B363" s="16"/>
    </row>
    <row r="364">
      <c r="B364" s="16"/>
    </row>
    <row r="365">
      <c r="B365" s="16"/>
    </row>
    <row r="366">
      <c r="B366" s="16"/>
    </row>
    <row r="367">
      <c r="B367" s="16"/>
    </row>
    <row r="368">
      <c r="B368" s="16"/>
    </row>
    <row r="369">
      <c r="B369" s="16"/>
    </row>
    <row r="370">
      <c r="B370" s="16"/>
    </row>
    <row r="371">
      <c r="B371" s="16"/>
    </row>
    <row r="372">
      <c r="B372" s="16"/>
    </row>
    <row r="373">
      <c r="B373" s="16"/>
    </row>
    <row r="374">
      <c r="B374" s="16"/>
    </row>
    <row r="375">
      <c r="B375" s="16"/>
    </row>
    <row r="376">
      <c r="B376" s="16"/>
    </row>
    <row r="377">
      <c r="B377" s="16"/>
    </row>
    <row r="378">
      <c r="B378" s="16"/>
    </row>
    <row r="379">
      <c r="B379" s="16"/>
    </row>
    <row r="380">
      <c r="B380" s="16"/>
    </row>
    <row r="381">
      <c r="B381" s="16"/>
    </row>
    <row r="382">
      <c r="B382" s="16"/>
    </row>
    <row r="383">
      <c r="B383" s="16"/>
    </row>
    <row r="384">
      <c r="B384" s="16"/>
    </row>
    <row r="385">
      <c r="B385" s="16"/>
    </row>
    <row r="386">
      <c r="B386" s="16"/>
    </row>
    <row r="387">
      <c r="B387" s="16"/>
    </row>
    <row r="388">
      <c r="B388" s="16"/>
    </row>
    <row r="389">
      <c r="B389" s="16"/>
    </row>
    <row r="390">
      <c r="B390" s="16"/>
    </row>
    <row r="391">
      <c r="B391" s="16"/>
    </row>
    <row r="392">
      <c r="B392" s="16"/>
    </row>
    <row r="393">
      <c r="B393" s="16"/>
    </row>
    <row r="394">
      <c r="B394" s="16"/>
    </row>
    <row r="395">
      <c r="B395" s="16"/>
    </row>
    <row r="396">
      <c r="B396" s="16"/>
    </row>
    <row r="397">
      <c r="B397" s="16"/>
    </row>
    <row r="398">
      <c r="B398" s="16"/>
    </row>
    <row r="399">
      <c r="B399" s="16"/>
    </row>
    <row r="400">
      <c r="B400" s="16"/>
    </row>
    <row r="401">
      <c r="B401" s="16"/>
    </row>
    <row r="402">
      <c r="B402" s="16"/>
    </row>
    <row r="403">
      <c r="B403" s="16"/>
    </row>
    <row r="404">
      <c r="B404" s="16"/>
    </row>
    <row r="405">
      <c r="B405" s="16"/>
    </row>
    <row r="406">
      <c r="B406" s="16"/>
    </row>
    <row r="407">
      <c r="B407" s="16"/>
    </row>
    <row r="408">
      <c r="B408" s="16"/>
    </row>
    <row r="409">
      <c r="B409" s="16"/>
    </row>
    <row r="410">
      <c r="B410" s="16"/>
    </row>
    <row r="411">
      <c r="B411" s="16"/>
    </row>
    <row r="412">
      <c r="B412" s="16"/>
    </row>
    <row r="413">
      <c r="B413" s="16"/>
    </row>
    <row r="414">
      <c r="B414" s="16"/>
    </row>
    <row r="415">
      <c r="B415" s="16"/>
    </row>
    <row r="416">
      <c r="B416" s="16"/>
    </row>
    <row r="417">
      <c r="B417" s="16"/>
    </row>
    <row r="418">
      <c r="B418" s="16"/>
    </row>
    <row r="419">
      <c r="B419" s="16"/>
    </row>
    <row r="420">
      <c r="B420" s="16"/>
    </row>
    <row r="421">
      <c r="B421" s="16"/>
    </row>
    <row r="422">
      <c r="B422" s="16"/>
    </row>
    <row r="423">
      <c r="B423" s="16"/>
    </row>
    <row r="424">
      <c r="B424" s="16"/>
    </row>
    <row r="425">
      <c r="B425" s="16"/>
    </row>
    <row r="426">
      <c r="B426" s="16"/>
    </row>
    <row r="427">
      <c r="B427" s="16"/>
    </row>
    <row r="428">
      <c r="B428" s="16"/>
    </row>
    <row r="429">
      <c r="B429" s="16"/>
    </row>
    <row r="430">
      <c r="B430" s="16"/>
    </row>
    <row r="431">
      <c r="B431" s="16"/>
    </row>
    <row r="432">
      <c r="B432" s="16"/>
    </row>
    <row r="433">
      <c r="B433" s="16"/>
    </row>
    <row r="434">
      <c r="B434" s="16"/>
    </row>
    <row r="435">
      <c r="B435" s="16"/>
    </row>
    <row r="436">
      <c r="B436" s="16"/>
    </row>
    <row r="437">
      <c r="B437" s="16"/>
    </row>
    <row r="438">
      <c r="B438" s="16"/>
    </row>
    <row r="439">
      <c r="B439" s="16"/>
    </row>
    <row r="440">
      <c r="B440" s="16"/>
    </row>
    <row r="441">
      <c r="B441" s="16"/>
    </row>
    <row r="442">
      <c r="B442" s="16"/>
    </row>
    <row r="443">
      <c r="B443" s="16"/>
    </row>
    <row r="444">
      <c r="B444" s="16"/>
    </row>
    <row r="445">
      <c r="B445" s="16"/>
    </row>
    <row r="446">
      <c r="B446" s="16"/>
    </row>
    <row r="447">
      <c r="B447" s="16"/>
    </row>
    <row r="448">
      <c r="B448" s="16"/>
    </row>
    <row r="449">
      <c r="B449" s="16"/>
    </row>
    <row r="450">
      <c r="B450" s="16"/>
    </row>
    <row r="451">
      <c r="B451" s="16"/>
    </row>
    <row r="452">
      <c r="B452" s="16"/>
    </row>
    <row r="453">
      <c r="B453" s="16"/>
    </row>
    <row r="454">
      <c r="B454" s="16"/>
    </row>
    <row r="455">
      <c r="B455" s="16"/>
    </row>
    <row r="456">
      <c r="B456" s="16"/>
    </row>
    <row r="457">
      <c r="B457" s="16"/>
    </row>
    <row r="458">
      <c r="B458" s="16"/>
    </row>
    <row r="459">
      <c r="B459" s="16"/>
    </row>
    <row r="460">
      <c r="B460" s="16"/>
    </row>
    <row r="461">
      <c r="B461" s="16"/>
    </row>
    <row r="462">
      <c r="B462" s="16"/>
    </row>
    <row r="463">
      <c r="B463" s="16"/>
    </row>
    <row r="464">
      <c r="B464" s="16"/>
    </row>
    <row r="465">
      <c r="B465" s="16"/>
    </row>
    <row r="466">
      <c r="B466" s="16"/>
    </row>
    <row r="467">
      <c r="B467" s="16"/>
    </row>
    <row r="468">
      <c r="B468" s="16"/>
    </row>
    <row r="469">
      <c r="B469" s="16"/>
    </row>
    <row r="470">
      <c r="B470" s="16"/>
    </row>
    <row r="471">
      <c r="B471" s="16"/>
    </row>
    <row r="472">
      <c r="B472" s="16"/>
    </row>
    <row r="473">
      <c r="B473" s="16"/>
    </row>
    <row r="474">
      <c r="B474" s="16"/>
    </row>
    <row r="475">
      <c r="B475" s="16"/>
    </row>
    <row r="476">
      <c r="B476" s="16"/>
    </row>
    <row r="477">
      <c r="B477" s="16"/>
    </row>
    <row r="478">
      <c r="B478" s="16"/>
    </row>
    <row r="479">
      <c r="B479" s="16"/>
    </row>
    <row r="480">
      <c r="B480" s="16"/>
    </row>
    <row r="481">
      <c r="B481" s="16"/>
    </row>
    <row r="482">
      <c r="B482" s="16"/>
    </row>
    <row r="483">
      <c r="B483" s="16"/>
    </row>
    <row r="484">
      <c r="B484" s="16"/>
    </row>
    <row r="485">
      <c r="B485" s="16"/>
    </row>
    <row r="486">
      <c r="B486" s="16"/>
    </row>
    <row r="487">
      <c r="B487" s="16"/>
    </row>
    <row r="488">
      <c r="B488" s="16"/>
    </row>
    <row r="489">
      <c r="B489" s="16"/>
    </row>
    <row r="490">
      <c r="B490" s="16"/>
    </row>
    <row r="491">
      <c r="B491" s="16"/>
    </row>
    <row r="492">
      <c r="B492" s="16"/>
    </row>
    <row r="493">
      <c r="B493" s="16"/>
    </row>
    <row r="494">
      <c r="B494" s="16"/>
    </row>
    <row r="495">
      <c r="B495" s="16"/>
    </row>
    <row r="496">
      <c r="B496" s="16"/>
    </row>
    <row r="497">
      <c r="B497" s="16"/>
    </row>
    <row r="498">
      <c r="B498" s="16"/>
    </row>
    <row r="499">
      <c r="B499" s="16"/>
    </row>
    <row r="500">
      <c r="B500" s="16"/>
    </row>
    <row r="501">
      <c r="B501" s="16"/>
    </row>
    <row r="502">
      <c r="B502" s="16"/>
    </row>
    <row r="503">
      <c r="B503" s="16"/>
    </row>
    <row r="504">
      <c r="B504" s="16"/>
    </row>
    <row r="505">
      <c r="B505" s="16"/>
    </row>
    <row r="506">
      <c r="B506" s="16"/>
    </row>
    <row r="507">
      <c r="B507" s="16"/>
    </row>
    <row r="508">
      <c r="B508" s="16"/>
    </row>
    <row r="509">
      <c r="B509" s="16"/>
    </row>
    <row r="510">
      <c r="B510" s="16"/>
    </row>
    <row r="511">
      <c r="B511" s="16"/>
    </row>
    <row r="512">
      <c r="B512" s="16"/>
    </row>
    <row r="513">
      <c r="B513" s="16"/>
    </row>
    <row r="514">
      <c r="B514" s="16"/>
    </row>
    <row r="515">
      <c r="B515" s="16"/>
    </row>
    <row r="516">
      <c r="B516" s="16"/>
    </row>
    <row r="517">
      <c r="B517" s="16"/>
    </row>
    <row r="518">
      <c r="B518" s="16"/>
    </row>
    <row r="519">
      <c r="B519" s="16"/>
    </row>
    <row r="520">
      <c r="B520" s="16"/>
    </row>
    <row r="521">
      <c r="B521" s="16"/>
    </row>
    <row r="522">
      <c r="B522" s="16"/>
    </row>
    <row r="523">
      <c r="B523" s="16"/>
    </row>
    <row r="524">
      <c r="B524" s="16"/>
    </row>
    <row r="525">
      <c r="B525" s="16"/>
    </row>
    <row r="526">
      <c r="B526" s="16"/>
    </row>
    <row r="527">
      <c r="B527" s="16"/>
    </row>
    <row r="528">
      <c r="B528" s="16"/>
    </row>
    <row r="529">
      <c r="B529" s="16"/>
    </row>
    <row r="530">
      <c r="B530" s="16"/>
    </row>
    <row r="531">
      <c r="B531" s="16"/>
    </row>
    <row r="532">
      <c r="B532" s="16"/>
    </row>
    <row r="533">
      <c r="B533" s="16"/>
    </row>
    <row r="534">
      <c r="B534" s="16"/>
    </row>
    <row r="535">
      <c r="B535" s="16"/>
    </row>
    <row r="536">
      <c r="B536" s="16"/>
    </row>
    <row r="537">
      <c r="B537" s="16"/>
    </row>
    <row r="538">
      <c r="B538" s="16"/>
    </row>
    <row r="539">
      <c r="B539" s="16"/>
    </row>
    <row r="540">
      <c r="B540" s="16"/>
    </row>
    <row r="541">
      <c r="B541" s="16"/>
    </row>
    <row r="542">
      <c r="B542" s="16"/>
    </row>
    <row r="543">
      <c r="B543" s="16"/>
    </row>
    <row r="544">
      <c r="B544" s="16"/>
    </row>
    <row r="545">
      <c r="B545" s="16"/>
    </row>
    <row r="546">
      <c r="B546" s="16"/>
    </row>
    <row r="547">
      <c r="B547" s="16"/>
    </row>
    <row r="548">
      <c r="B548" s="16"/>
    </row>
    <row r="549">
      <c r="B549" s="16"/>
    </row>
    <row r="550">
      <c r="B550" s="16"/>
    </row>
    <row r="551">
      <c r="B551" s="16"/>
    </row>
    <row r="552">
      <c r="B552" s="16"/>
    </row>
    <row r="553">
      <c r="B553" s="16"/>
    </row>
    <row r="554">
      <c r="B554" s="16"/>
    </row>
    <row r="555">
      <c r="B555" s="16"/>
    </row>
    <row r="556">
      <c r="B556" s="16"/>
    </row>
    <row r="557">
      <c r="B557" s="16"/>
    </row>
    <row r="558">
      <c r="B558" s="16"/>
    </row>
    <row r="559">
      <c r="B559" s="16"/>
    </row>
    <row r="560">
      <c r="B560" s="16"/>
    </row>
    <row r="561">
      <c r="B561" s="16"/>
    </row>
    <row r="562">
      <c r="B562" s="16"/>
    </row>
    <row r="563">
      <c r="B563" s="16"/>
    </row>
    <row r="564">
      <c r="B564" s="16"/>
    </row>
    <row r="565">
      <c r="B565" s="16"/>
    </row>
    <row r="566">
      <c r="B566" s="16"/>
    </row>
    <row r="567">
      <c r="B567" s="16"/>
    </row>
    <row r="568">
      <c r="B568" s="16"/>
    </row>
    <row r="569">
      <c r="B569" s="16"/>
    </row>
    <row r="570">
      <c r="B570" s="16"/>
    </row>
    <row r="571">
      <c r="B571" s="16"/>
    </row>
    <row r="572">
      <c r="B572" s="16"/>
    </row>
    <row r="573">
      <c r="B573" s="16"/>
    </row>
    <row r="574">
      <c r="B574" s="16"/>
    </row>
    <row r="575">
      <c r="B575" s="16"/>
    </row>
    <row r="576">
      <c r="B576" s="16"/>
    </row>
    <row r="577">
      <c r="B577" s="16"/>
    </row>
    <row r="578">
      <c r="B578" s="16"/>
    </row>
    <row r="579">
      <c r="B579" s="16"/>
    </row>
    <row r="580">
      <c r="B580" s="16"/>
    </row>
    <row r="581">
      <c r="B581" s="16"/>
    </row>
    <row r="582">
      <c r="B582" s="16"/>
    </row>
    <row r="583">
      <c r="B583" s="16"/>
    </row>
    <row r="584">
      <c r="B584" s="16"/>
    </row>
    <row r="585">
      <c r="B585" s="16"/>
    </row>
    <row r="586">
      <c r="B586" s="16"/>
    </row>
    <row r="587">
      <c r="B587" s="16"/>
    </row>
    <row r="588">
      <c r="B588" s="16"/>
    </row>
    <row r="589">
      <c r="B589" s="16"/>
    </row>
    <row r="590">
      <c r="B590" s="16"/>
    </row>
    <row r="591">
      <c r="B591" s="16"/>
    </row>
    <row r="592">
      <c r="B592" s="16"/>
    </row>
    <row r="593">
      <c r="B593" s="16"/>
    </row>
    <row r="594">
      <c r="B594" s="16"/>
    </row>
    <row r="595">
      <c r="B595" s="16"/>
    </row>
    <row r="596">
      <c r="B596" s="16"/>
    </row>
    <row r="597">
      <c r="B597" s="16"/>
    </row>
    <row r="598">
      <c r="B598" s="16"/>
    </row>
    <row r="599">
      <c r="B599" s="16"/>
    </row>
    <row r="600">
      <c r="B600" s="16"/>
    </row>
    <row r="601">
      <c r="B601" s="16"/>
    </row>
    <row r="602">
      <c r="B602" s="16"/>
    </row>
    <row r="603">
      <c r="B603" s="16"/>
    </row>
    <row r="604">
      <c r="B604" s="16"/>
    </row>
    <row r="605">
      <c r="B605" s="16"/>
    </row>
    <row r="606">
      <c r="B606" s="16"/>
    </row>
    <row r="607">
      <c r="B607" s="16"/>
    </row>
    <row r="608">
      <c r="B608" s="16"/>
    </row>
    <row r="609">
      <c r="B609" s="16"/>
    </row>
    <row r="610">
      <c r="B610" s="16"/>
    </row>
    <row r="611">
      <c r="B611" s="16"/>
    </row>
    <row r="612">
      <c r="B612" s="16"/>
    </row>
    <row r="613">
      <c r="B613" s="16"/>
    </row>
    <row r="614">
      <c r="B614" s="16"/>
    </row>
    <row r="615">
      <c r="B615" s="16"/>
    </row>
    <row r="616">
      <c r="B616" s="16"/>
    </row>
    <row r="617">
      <c r="B617" s="16"/>
    </row>
    <row r="618">
      <c r="B618" s="16"/>
    </row>
    <row r="619">
      <c r="B619" s="16"/>
    </row>
    <row r="620">
      <c r="B620" s="16"/>
    </row>
    <row r="621">
      <c r="B621" s="16"/>
    </row>
    <row r="622">
      <c r="B622" s="16"/>
    </row>
    <row r="623">
      <c r="B623" s="16"/>
    </row>
    <row r="624">
      <c r="B624" s="16"/>
    </row>
    <row r="625">
      <c r="B625" s="16"/>
    </row>
    <row r="626">
      <c r="B626" s="16"/>
    </row>
    <row r="627">
      <c r="B627" s="16"/>
    </row>
    <row r="628">
      <c r="B628" s="16"/>
    </row>
    <row r="629">
      <c r="B629" s="16"/>
    </row>
    <row r="630">
      <c r="B630" s="16"/>
    </row>
    <row r="631">
      <c r="B631" s="16"/>
    </row>
    <row r="632">
      <c r="B632" s="16"/>
    </row>
    <row r="633">
      <c r="B633" s="16"/>
    </row>
    <row r="634">
      <c r="B634" s="16"/>
    </row>
    <row r="635">
      <c r="B635" s="16"/>
    </row>
    <row r="636">
      <c r="B636" s="16"/>
    </row>
    <row r="637">
      <c r="B637" s="16"/>
    </row>
    <row r="638">
      <c r="B638" s="16"/>
    </row>
    <row r="639">
      <c r="B639" s="16"/>
    </row>
    <row r="640">
      <c r="B640" s="16"/>
    </row>
    <row r="641">
      <c r="B641" s="16"/>
    </row>
    <row r="642">
      <c r="B642" s="16"/>
    </row>
    <row r="643">
      <c r="B643" s="16"/>
    </row>
    <row r="644">
      <c r="B644" s="16"/>
    </row>
    <row r="645">
      <c r="B645" s="16"/>
    </row>
    <row r="646">
      <c r="B646" s="16"/>
    </row>
    <row r="647">
      <c r="B647" s="16"/>
    </row>
    <row r="648">
      <c r="B648" s="16"/>
    </row>
    <row r="649">
      <c r="B649" s="16"/>
    </row>
    <row r="650">
      <c r="B650" s="16"/>
    </row>
    <row r="651">
      <c r="B651" s="16"/>
    </row>
    <row r="652">
      <c r="B652" s="16"/>
    </row>
    <row r="653">
      <c r="B653" s="16"/>
    </row>
    <row r="654">
      <c r="B654" s="16"/>
    </row>
    <row r="655">
      <c r="B655" s="16"/>
    </row>
    <row r="656">
      <c r="B656" s="16"/>
    </row>
    <row r="657">
      <c r="B657" s="16"/>
    </row>
    <row r="658">
      <c r="B658" s="16"/>
    </row>
    <row r="659">
      <c r="B659" s="16"/>
    </row>
    <row r="660">
      <c r="B660" s="16"/>
    </row>
    <row r="661">
      <c r="B661" s="16"/>
    </row>
    <row r="662">
      <c r="B662" s="16"/>
    </row>
    <row r="663">
      <c r="B663" s="16"/>
    </row>
    <row r="664">
      <c r="B664" s="16"/>
    </row>
    <row r="665">
      <c r="B665" s="16"/>
    </row>
    <row r="666">
      <c r="B666" s="16"/>
    </row>
    <row r="667">
      <c r="B667" s="16"/>
    </row>
    <row r="668">
      <c r="B668" s="16"/>
    </row>
    <row r="669">
      <c r="B669" s="16"/>
    </row>
    <row r="670">
      <c r="B670" s="16"/>
    </row>
    <row r="671">
      <c r="B671" s="16"/>
    </row>
    <row r="672">
      <c r="B672" s="16"/>
    </row>
    <row r="673">
      <c r="B673" s="16"/>
    </row>
    <row r="674">
      <c r="B674" s="16"/>
    </row>
    <row r="675">
      <c r="B675" s="16"/>
    </row>
    <row r="676">
      <c r="B676" s="16"/>
    </row>
    <row r="677">
      <c r="B677" s="16"/>
    </row>
    <row r="678">
      <c r="B678" s="16"/>
    </row>
    <row r="679">
      <c r="B679" s="16"/>
    </row>
    <row r="680">
      <c r="B680" s="16"/>
    </row>
    <row r="681">
      <c r="B681" s="16"/>
    </row>
    <row r="682">
      <c r="B682" s="16"/>
    </row>
    <row r="683">
      <c r="B683" s="16"/>
    </row>
    <row r="684">
      <c r="B684" s="16"/>
    </row>
    <row r="685">
      <c r="B685" s="16"/>
    </row>
    <row r="686">
      <c r="B686" s="16"/>
    </row>
    <row r="687">
      <c r="B687" s="16"/>
    </row>
    <row r="688">
      <c r="B688" s="16"/>
    </row>
    <row r="689">
      <c r="B689" s="16"/>
    </row>
    <row r="690">
      <c r="B690" s="16"/>
    </row>
    <row r="691">
      <c r="B691" s="16"/>
    </row>
    <row r="692">
      <c r="B692" s="16"/>
    </row>
    <row r="693">
      <c r="B693" s="16"/>
    </row>
    <row r="694">
      <c r="B694" s="16"/>
    </row>
    <row r="695">
      <c r="B695" s="16"/>
    </row>
    <row r="696">
      <c r="B696" s="16"/>
    </row>
    <row r="697">
      <c r="B697" s="16"/>
    </row>
    <row r="698">
      <c r="B698" s="16"/>
    </row>
    <row r="699">
      <c r="B699" s="16"/>
    </row>
    <row r="700">
      <c r="B700" s="16"/>
    </row>
    <row r="701">
      <c r="B701" s="16"/>
    </row>
    <row r="702">
      <c r="B702" s="16"/>
    </row>
    <row r="703">
      <c r="B703" s="16"/>
    </row>
    <row r="704">
      <c r="B704" s="16"/>
    </row>
    <row r="705">
      <c r="B705" s="16"/>
    </row>
    <row r="706">
      <c r="B706" s="16"/>
    </row>
    <row r="707">
      <c r="B707" s="16"/>
    </row>
    <row r="708">
      <c r="B708" s="16"/>
    </row>
    <row r="709">
      <c r="B709" s="16"/>
    </row>
    <row r="710">
      <c r="B710" s="16"/>
    </row>
    <row r="711">
      <c r="B711" s="16"/>
    </row>
    <row r="712">
      <c r="B712" s="16"/>
    </row>
    <row r="713">
      <c r="B713" s="16"/>
    </row>
    <row r="714">
      <c r="B714" s="16"/>
    </row>
    <row r="715">
      <c r="B715" s="16"/>
    </row>
    <row r="716">
      <c r="B716" s="16"/>
    </row>
    <row r="717">
      <c r="B717" s="16"/>
    </row>
    <row r="718">
      <c r="B718" s="16"/>
    </row>
    <row r="719">
      <c r="B719" s="16"/>
    </row>
    <row r="720">
      <c r="B720" s="16"/>
    </row>
    <row r="721">
      <c r="B721" s="16"/>
    </row>
    <row r="722">
      <c r="B722" s="16"/>
    </row>
    <row r="723">
      <c r="B723" s="16"/>
    </row>
    <row r="724">
      <c r="B724" s="16"/>
    </row>
    <row r="725">
      <c r="B725" s="16"/>
    </row>
    <row r="726">
      <c r="B726" s="16"/>
    </row>
    <row r="727">
      <c r="B727" s="16"/>
    </row>
    <row r="728">
      <c r="B728" s="16"/>
    </row>
    <row r="729">
      <c r="B729" s="16"/>
    </row>
    <row r="730">
      <c r="B730" s="16"/>
    </row>
    <row r="731">
      <c r="B731" s="16"/>
    </row>
    <row r="732">
      <c r="B732" s="16"/>
    </row>
    <row r="733">
      <c r="B733" s="16"/>
    </row>
    <row r="734">
      <c r="B734" s="16"/>
    </row>
    <row r="735">
      <c r="B735" s="16"/>
    </row>
    <row r="736">
      <c r="B736" s="16"/>
    </row>
    <row r="737">
      <c r="B737" s="16"/>
    </row>
    <row r="738">
      <c r="B738" s="16"/>
    </row>
    <row r="739">
      <c r="B739" s="16"/>
    </row>
    <row r="740">
      <c r="B740" s="16"/>
    </row>
    <row r="741">
      <c r="B741" s="16"/>
    </row>
    <row r="742">
      <c r="B742" s="16"/>
    </row>
    <row r="743">
      <c r="B743" s="16"/>
    </row>
    <row r="744">
      <c r="B744" s="16"/>
    </row>
    <row r="745">
      <c r="B745" s="16"/>
    </row>
    <row r="746">
      <c r="B746" s="16"/>
    </row>
    <row r="747">
      <c r="B747" s="16"/>
    </row>
    <row r="748">
      <c r="B748" s="16"/>
    </row>
    <row r="749">
      <c r="B749" s="16"/>
    </row>
    <row r="750">
      <c r="B750" s="16"/>
    </row>
    <row r="751">
      <c r="B751" s="16"/>
    </row>
    <row r="752">
      <c r="B752" s="16"/>
    </row>
    <row r="753">
      <c r="B753" s="16"/>
    </row>
    <row r="754">
      <c r="B754" s="16"/>
    </row>
    <row r="755">
      <c r="B755" s="16"/>
    </row>
    <row r="756">
      <c r="B756" s="16"/>
    </row>
    <row r="757">
      <c r="B757" s="16"/>
    </row>
    <row r="758">
      <c r="B758" s="16"/>
    </row>
    <row r="759">
      <c r="B759" s="16"/>
    </row>
    <row r="760">
      <c r="B760" s="16"/>
    </row>
    <row r="761">
      <c r="B761" s="16"/>
    </row>
    <row r="762">
      <c r="B762" s="16"/>
    </row>
    <row r="763">
      <c r="B763" s="16"/>
    </row>
    <row r="764">
      <c r="B764" s="16"/>
    </row>
    <row r="765">
      <c r="B765" s="16"/>
    </row>
    <row r="766">
      <c r="B766" s="16"/>
    </row>
    <row r="767">
      <c r="B767" s="16"/>
    </row>
    <row r="768">
      <c r="B768" s="16"/>
    </row>
    <row r="769">
      <c r="B769" s="16"/>
    </row>
    <row r="770">
      <c r="B770" s="16"/>
    </row>
    <row r="771">
      <c r="B771" s="16"/>
    </row>
    <row r="772">
      <c r="B772" s="16"/>
    </row>
    <row r="773">
      <c r="B773" s="16"/>
    </row>
    <row r="774">
      <c r="B774" s="16"/>
    </row>
    <row r="775">
      <c r="B775" s="16"/>
    </row>
    <row r="776">
      <c r="B776" s="16"/>
    </row>
    <row r="777">
      <c r="B777" s="16"/>
    </row>
    <row r="778">
      <c r="B778" s="16"/>
    </row>
    <row r="779">
      <c r="B779" s="16"/>
    </row>
    <row r="780">
      <c r="B780" s="16"/>
    </row>
    <row r="781">
      <c r="B781" s="16"/>
    </row>
    <row r="782">
      <c r="B782" s="16"/>
    </row>
    <row r="783">
      <c r="B783" s="16"/>
    </row>
    <row r="784">
      <c r="B784" s="16"/>
    </row>
    <row r="785">
      <c r="B785" s="16"/>
    </row>
    <row r="786">
      <c r="B786" s="16"/>
    </row>
    <row r="787">
      <c r="B787" s="16"/>
    </row>
    <row r="788">
      <c r="B788" s="16"/>
    </row>
    <row r="789">
      <c r="B789" s="16"/>
    </row>
    <row r="790">
      <c r="B790" s="16"/>
    </row>
    <row r="791">
      <c r="B791" s="16"/>
    </row>
    <row r="792">
      <c r="B792" s="16"/>
    </row>
    <row r="793">
      <c r="B793" s="16"/>
    </row>
    <row r="794">
      <c r="B794" s="16"/>
    </row>
    <row r="795">
      <c r="B795" s="16"/>
    </row>
    <row r="796">
      <c r="B796" s="16"/>
    </row>
    <row r="797">
      <c r="B797" s="16"/>
    </row>
    <row r="798">
      <c r="B798" s="16"/>
    </row>
    <row r="799">
      <c r="B799" s="16"/>
    </row>
    <row r="800">
      <c r="B800" s="16"/>
    </row>
    <row r="801">
      <c r="B801" s="16"/>
    </row>
    <row r="802">
      <c r="B802" s="16"/>
    </row>
    <row r="803">
      <c r="B803" s="16"/>
    </row>
    <row r="804">
      <c r="B804" s="16"/>
    </row>
    <row r="805">
      <c r="B805" s="16"/>
    </row>
    <row r="806">
      <c r="B806" s="16"/>
    </row>
    <row r="807">
      <c r="B807" s="16"/>
    </row>
    <row r="808">
      <c r="B808" s="16"/>
    </row>
    <row r="809">
      <c r="B809" s="16"/>
    </row>
    <row r="810">
      <c r="B810" s="16"/>
    </row>
    <row r="811">
      <c r="B811" s="16"/>
    </row>
    <row r="812">
      <c r="B812" s="16"/>
    </row>
    <row r="813">
      <c r="B813" s="16"/>
    </row>
    <row r="814">
      <c r="B814" s="16"/>
    </row>
    <row r="815">
      <c r="B815" s="16"/>
    </row>
    <row r="816">
      <c r="B816" s="16"/>
    </row>
    <row r="817">
      <c r="B817" s="16"/>
    </row>
    <row r="818">
      <c r="B818" s="16"/>
    </row>
    <row r="819">
      <c r="B819" s="16"/>
    </row>
    <row r="820">
      <c r="B820" s="16"/>
    </row>
    <row r="821">
      <c r="B821" s="16"/>
    </row>
    <row r="822">
      <c r="B822" s="16"/>
    </row>
    <row r="823">
      <c r="B823" s="16"/>
    </row>
    <row r="824">
      <c r="B824" s="16"/>
    </row>
    <row r="825">
      <c r="B825" s="16"/>
    </row>
    <row r="826">
      <c r="B826" s="16"/>
    </row>
    <row r="827">
      <c r="B827" s="16"/>
    </row>
    <row r="828">
      <c r="B828" s="16"/>
    </row>
    <row r="829">
      <c r="B829" s="16"/>
    </row>
    <row r="830">
      <c r="B830" s="16"/>
    </row>
    <row r="831">
      <c r="B831" s="16"/>
    </row>
    <row r="832">
      <c r="B832" s="16"/>
    </row>
    <row r="833">
      <c r="B833" s="16"/>
    </row>
    <row r="834">
      <c r="B834" s="16"/>
    </row>
    <row r="835">
      <c r="B835" s="16"/>
    </row>
    <row r="836">
      <c r="B836" s="16"/>
    </row>
    <row r="837">
      <c r="B837" s="16"/>
    </row>
    <row r="838">
      <c r="B838" s="16"/>
    </row>
    <row r="839">
      <c r="B839" s="16"/>
    </row>
    <row r="840">
      <c r="B840" s="16"/>
    </row>
    <row r="841">
      <c r="B841" s="16"/>
    </row>
    <row r="842">
      <c r="B842" s="16"/>
    </row>
    <row r="843">
      <c r="B843" s="16"/>
    </row>
    <row r="844">
      <c r="B844" s="16"/>
    </row>
    <row r="845">
      <c r="B845" s="16"/>
    </row>
    <row r="846">
      <c r="B846" s="16"/>
    </row>
    <row r="847">
      <c r="B847" s="16"/>
    </row>
    <row r="848">
      <c r="B848" s="16"/>
    </row>
    <row r="849">
      <c r="B849" s="16"/>
    </row>
    <row r="850">
      <c r="B850" s="16"/>
    </row>
    <row r="851">
      <c r="B851" s="16"/>
    </row>
    <row r="852">
      <c r="B852" s="16"/>
    </row>
    <row r="853">
      <c r="B853" s="16"/>
    </row>
    <row r="854">
      <c r="B854" s="16"/>
    </row>
    <row r="855">
      <c r="B855" s="16"/>
    </row>
    <row r="856">
      <c r="B856" s="16"/>
    </row>
    <row r="857">
      <c r="B857" s="16"/>
    </row>
    <row r="858">
      <c r="B858" s="16"/>
    </row>
    <row r="859">
      <c r="B859" s="16"/>
    </row>
    <row r="860">
      <c r="B860" s="16"/>
    </row>
    <row r="861">
      <c r="B861" s="16"/>
    </row>
    <row r="862">
      <c r="B862" s="16"/>
    </row>
    <row r="863">
      <c r="B863" s="16"/>
    </row>
    <row r="864">
      <c r="B864" s="16"/>
    </row>
    <row r="865">
      <c r="B865" s="16"/>
    </row>
    <row r="866">
      <c r="B866" s="16"/>
    </row>
    <row r="867">
      <c r="B867" s="16"/>
    </row>
    <row r="868">
      <c r="B868" s="16"/>
    </row>
    <row r="869">
      <c r="B869" s="16"/>
    </row>
    <row r="870">
      <c r="B870" s="16"/>
    </row>
    <row r="871">
      <c r="B871" s="16"/>
    </row>
    <row r="872">
      <c r="B872" s="16"/>
    </row>
    <row r="873">
      <c r="B873" s="16"/>
    </row>
    <row r="874">
      <c r="B874" s="16"/>
    </row>
    <row r="875">
      <c r="B875" s="16"/>
    </row>
    <row r="876">
      <c r="B876" s="16"/>
    </row>
    <row r="877">
      <c r="B877" s="16"/>
    </row>
    <row r="878">
      <c r="B878" s="16"/>
    </row>
    <row r="879">
      <c r="B879" s="16"/>
    </row>
    <row r="880">
      <c r="B880" s="16"/>
    </row>
    <row r="881">
      <c r="B881" s="16"/>
    </row>
    <row r="882">
      <c r="B882" s="16"/>
    </row>
    <row r="883">
      <c r="B883" s="16"/>
    </row>
    <row r="884">
      <c r="B884" s="16"/>
    </row>
    <row r="885">
      <c r="B885" s="16"/>
    </row>
    <row r="886">
      <c r="B886" s="16"/>
    </row>
    <row r="887">
      <c r="B887" s="16"/>
    </row>
    <row r="888">
      <c r="B888" s="16"/>
    </row>
    <row r="889">
      <c r="B889" s="16"/>
    </row>
    <row r="890">
      <c r="B890" s="16"/>
    </row>
    <row r="891">
      <c r="B891" s="16"/>
    </row>
    <row r="892">
      <c r="B892" s="16"/>
    </row>
    <row r="893">
      <c r="B893" s="16"/>
    </row>
    <row r="894">
      <c r="B894" s="16"/>
    </row>
    <row r="895">
      <c r="B895" s="16"/>
    </row>
    <row r="896">
      <c r="B896" s="16"/>
    </row>
    <row r="897">
      <c r="B897" s="16"/>
    </row>
    <row r="898">
      <c r="B898" s="16"/>
    </row>
    <row r="899">
      <c r="B899" s="16"/>
    </row>
    <row r="900">
      <c r="B900" s="16"/>
    </row>
    <row r="901">
      <c r="B901" s="16"/>
    </row>
    <row r="902">
      <c r="B902" s="16"/>
    </row>
    <row r="903">
      <c r="B903" s="16"/>
    </row>
    <row r="904">
      <c r="B904" s="16"/>
    </row>
    <row r="905">
      <c r="B905" s="16"/>
    </row>
    <row r="906">
      <c r="B906" s="16"/>
    </row>
    <row r="907">
      <c r="B907" s="16"/>
    </row>
    <row r="908">
      <c r="B908" s="16"/>
    </row>
    <row r="909">
      <c r="B909" s="16"/>
    </row>
    <row r="910">
      <c r="B910" s="16"/>
    </row>
    <row r="911">
      <c r="B911" s="16"/>
    </row>
    <row r="912">
      <c r="B912" s="16"/>
    </row>
    <row r="913">
      <c r="B913" s="16"/>
    </row>
    <row r="914">
      <c r="B914" s="16"/>
    </row>
    <row r="915">
      <c r="B915" s="16"/>
    </row>
    <row r="916">
      <c r="B916" s="16"/>
    </row>
    <row r="917">
      <c r="B917" s="16"/>
    </row>
    <row r="918">
      <c r="B918" s="16"/>
    </row>
    <row r="919">
      <c r="B919" s="16"/>
    </row>
    <row r="920">
      <c r="B920" s="16"/>
    </row>
    <row r="921">
      <c r="B921" s="16"/>
    </row>
    <row r="922">
      <c r="B922" s="16"/>
    </row>
    <row r="923">
      <c r="B923" s="16"/>
    </row>
    <row r="924">
      <c r="B924" s="16"/>
    </row>
    <row r="925">
      <c r="B925" s="16"/>
    </row>
    <row r="926">
      <c r="B926" s="16"/>
    </row>
    <row r="927">
      <c r="B927" s="16"/>
    </row>
    <row r="928">
      <c r="B928" s="16"/>
    </row>
    <row r="929">
      <c r="B929" s="16"/>
    </row>
    <row r="930">
      <c r="B930" s="16"/>
    </row>
    <row r="931">
      <c r="B931" s="16"/>
    </row>
    <row r="932">
      <c r="B932" s="16"/>
    </row>
    <row r="933">
      <c r="B933" s="16"/>
    </row>
    <row r="934">
      <c r="B934" s="16"/>
    </row>
    <row r="935">
      <c r="B935" s="16"/>
    </row>
    <row r="936">
      <c r="B936" s="16"/>
    </row>
    <row r="937">
      <c r="B937" s="16"/>
    </row>
    <row r="938">
      <c r="B938" s="16"/>
    </row>
    <row r="939">
      <c r="B939" s="16"/>
    </row>
    <row r="940">
      <c r="B940" s="16"/>
    </row>
    <row r="941">
      <c r="B941" s="16"/>
    </row>
    <row r="942">
      <c r="B942" s="16"/>
    </row>
    <row r="943">
      <c r="B943" s="16"/>
    </row>
    <row r="944">
      <c r="B944" s="16"/>
    </row>
    <row r="945">
      <c r="B945" s="16"/>
    </row>
    <row r="946">
      <c r="B946" s="16"/>
    </row>
    <row r="947">
      <c r="B947" s="16"/>
    </row>
    <row r="948">
      <c r="B948" s="16"/>
    </row>
    <row r="949">
      <c r="B949" s="16"/>
    </row>
    <row r="950">
      <c r="B950" s="16"/>
    </row>
    <row r="951">
      <c r="B951" s="16"/>
    </row>
    <row r="952">
      <c r="B952" s="16"/>
    </row>
    <row r="953">
      <c r="B953" s="16"/>
    </row>
    <row r="954">
      <c r="B954" s="16"/>
    </row>
    <row r="955">
      <c r="B955" s="16"/>
    </row>
    <row r="956">
      <c r="B956" s="16"/>
    </row>
    <row r="957">
      <c r="B957" s="16"/>
    </row>
    <row r="958">
      <c r="B958" s="16"/>
    </row>
    <row r="959">
      <c r="B959" s="16"/>
    </row>
    <row r="960">
      <c r="B960" s="16"/>
    </row>
    <row r="961">
      <c r="B961" s="16"/>
    </row>
    <row r="962">
      <c r="B962" s="16"/>
    </row>
    <row r="963">
      <c r="B963" s="16"/>
    </row>
    <row r="964">
      <c r="B964" s="16"/>
    </row>
    <row r="965">
      <c r="B965" s="16"/>
    </row>
    <row r="966">
      <c r="B966" s="16"/>
    </row>
    <row r="967">
      <c r="B967" s="16"/>
    </row>
    <row r="968">
      <c r="B968" s="16"/>
    </row>
    <row r="969">
      <c r="B969" s="16"/>
    </row>
    <row r="970">
      <c r="B970" s="16"/>
    </row>
    <row r="971">
      <c r="B971" s="16"/>
    </row>
    <row r="972">
      <c r="B972" s="16"/>
    </row>
    <row r="973">
      <c r="B973" s="16"/>
    </row>
    <row r="974">
      <c r="B974" s="16"/>
    </row>
    <row r="975">
      <c r="B975" s="16"/>
    </row>
    <row r="976">
      <c r="B976" s="16"/>
    </row>
    <row r="977">
      <c r="B977" s="16"/>
    </row>
    <row r="978">
      <c r="B978" s="16"/>
    </row>
    <row r="979">
      <c r="B979" s="16"/>
    </row>
    <row r="980">
      <c r="B980" s="16"/>
    </row>
    <row r="981">
      <c r="B981" s="16"/>
    </row>
    <row r="982">
      <c r="B982" s="16"/>
    </row>
    <row r="983">
      <c r="B983" s="16"/>
    </row>
    <row r="984">
      <c r="B984" s="16"/>
    </row>
    <row r="985">
      <c r="B985" s="16"/>
    </row>
    <row r="986">
      <c r="B986" s="16"/>
    </row>
    <row r="987">
      <c r="B987" s="16"/>
    </row>
    <row r="988">
      <c r="B988" s="16"/>
    </row>
    <row r="989">
      <c r="B989" s="16"/>
    </row>
    <row r="990">
      <c r="B990" s="16"/>
    </row>
    <row r="991">
      <c r="B991" s="16"/>
    </row>
    <row r="992">
      <c r="B992" s="16"/>
    </row>
    <row r="993">
      <c r="B993" s="16"/>
    </row>
    <row r="994">
      <c r="B994" s="16"/>
    </row>
    <row r="995">
      <c r="B995" s="16"/>
    </row>
    <row r="996">
      <c r="B996" s="16"/>
    </row>
    <row r="997">
      <c r="B997" s="16"/>
    </row>
    <row r="998">
      <c r="B998" s="16"/>
    </row>
    <row r="999">
      <c r="B999" s="16"/>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1" width="15.29"/>
    <col customWidth="1" min="12" max="26" width="8.71"/>
  </cols>
  <sheetData>
    <row r="1">
      <c r="A1" s="1" t="s">
        <v>0</v>
      </c>
      <c r="B1" s="1" t="s">
        <v>1</v>
      </c>
      <c r="C1" s="1" t="s">
        <v>2</v>
      </c>
      <c r="D1" s="1" t="s">
        <v>2600</v>
      </c>
      <c r="E1" s="1" t="s">
        <v>2601</v>
      </c>
      <c r="F1" s="1" t="s">
        <v>935</v>
      </c>
      <c r="G1" s="1" t="s">
        <v>2602</v>
      </c>
      <c r="H1" s="1" t="s">
        <v>2603</v>
      </c>
      <c r="I1" s="1" t="s">
        <v>2604</v>
      </c>
      <c r="J1" s="1" t="s">
        <v>2605</v>
      </c>
      <c r="K1" s="1" t="s">
        <v>16</v>
      </c>
    </row>
    <row r="2">
      <c r="A2" s="5" t="s">
        <v>26</v>
      </c>
      <c r="B2" s="5" t="s">
        <v>27</v>
      </c>
      <c r="C2" s="5" t="s">
        <v>28</v>
      </c>
      <c r="D2" s="5" t="s">
        <v>944</v>
      </c>
      <c r="E2" s="5" t="s">
        <v>2606</v>
      </c>
      <c r="F2" s="5" t="s">
        <v>2607</v>
      </c>
      <c r="G2" s="5" t="s">
        <v>944</v>
      </c>
      <c r="H2" s="5" t="s">
        <v>2608</v>
      </c>
      <c r="I2" s="5">
        <v>0.0</v>
      </c>
      <c r="J2" s="5">
        <v>0.0</v>
      </c>
      <c r="K2" s="5" t="s">
        <v>2609</v>
      </c>
    </row>
    <row r="3">
      <c r="A3" s="5" t="s">
        <v>26</v>
      </c>
      <c r="B3" s="5" t="s">
        <v>27</v>
      </c>
      <c r="C3" s="5" t="s">
        <v>28</v>
      </c>
      <c r="D3" s="5" t="s">
        <v>944</v>
      </c>
      <c r="E3" s="5" t="s">
        <v>2606</v>
      </c>
      <c r="F3" s="5" t="s">
        <v>2610</v>
      </c>
      <c r="G3" s="5" t="s">
        <v>944</v>
      </c>
      <c r="H3" s="5" t="s">
        <v>2611</v>
      </c>
      <c r="I3" s="5">
        <v>135500.0</v>
      </c>
      <c r="J3" s="5">
        <v>135500.0</v>
      </c>
      <c r="K3" s="5" t="s">
        <v>2612</v>
      </c>
    </row>
    <row r="4">
      <c r="A4" s="5" t="s">
        <v>26</v>
      </c>
      <c r="B4" s="5" t="s">
        <v>27</v>
      </c>
      <c r="C4" s="5" t="s">
        <v>28</v>
      </c>
      <c r="D4" s="5" t="s">
        <v>944</v>
      </c>
      <c r="E4" s="5" t="s">
        <v>2613</v>
      </c>
      <c r="F4" s="5" t="s">
        <v>2614</v>
      </c>
      <c r="G4" s="5" t="s">
        <v>944</v>
      </c>
      <c r="H4" s="5" t="s">
        <v>2615</v>
      </c>
      <c r="I4" s="5">
        <v>99850.0</v>
      </c>
      <c r="J4" s="5">
        <v>99850.0</v>
      </c>
      <c r="K4" s="5" t="s">
        <v>2612</v>
      </c>
    </row>
    <row r="5">
      <c r="A5" s="5" t="s">
        <v>26</v>
      </c>
      <c r="B5" s="5" t="s">
        <v>27</v>
      </c>
      <c r="C5" s="5" t="s">
        <v>28</v>
      </c>
      <c r="D5" s="5" t="s">
        <v>944</v>
      </c>
      <c r="E5" s="5" t="s">
        <v>2606</v>
      </c>
      <c r="F5" s="5" t="s">
        <v>2616</v>
      </c>
      <c r="G5" s="5" t="s">
        <v>944</v>
      </c>
      <c r="H5" s="5" t="s">
        <v>2617</v>
      </c>
      <c r="I5" s="5">
        <v>305332.33</v>
      </c>
      <c r="J5" s="5">
        <v>305332.33</v>
      </c>
      <c r="K5" s="5" t="s">
        <v>2618</v>
      </c>
    </row>
    <row r="6">
      <c r="A6" s="5" t="s">
        <v>26</v>
      </c>
      <c r="B6" s="5" t="s">
        <v>27</v>
      </c>
      <c r="C6" s="5" t="s">
        <v>28</v>
      </c>
      <c r="D6" s="5" t="s">
        <v>944</v>
      </c>
      <c r="E6" s="5" t="s">
        <v>2606</v>
      </c>
      <c r="F6" s="5" t="s">
        <v>2619</v>
      </c>
      <c r="G6" s="5" t="s">
        <v>944</v>
      </c>
      <c r="H6" s="5" t="s">
        <v>2620</v>
      </c>
      <c r="I6" s="5">
        <v>29668.67</v>
      </c>
      <c r="J6" s="5">
        <v>29668.67</v>
      </c>
      <c r="K6" s="5" t="s">
        <v>2621</v>
      </c>
    </row>
    <row r="7">
      <c r="A7" s="5" t="s">
        <v>26</v>
      </c>
      <c r="B7" s="5" t="s">
        <v>27</v>
      </c>
      <c r="C7" s="5" t="s">
        <v>28</v>
      </c>
      <c r="D7" s="5" t="s">
        <v>944</v>
      </c>
      <c r="E7" s="5" t="s">
        <v>2606</v>
      </c>
      <c r="F7" s="5" t="s">
        <v>2622</v>
      </c>
      <c r="G7" s="5" t="s">
        <v>944</v>
      </c>
      <c r="H7" s="5" t="s">
        <v>2623</v>
      </c>
      <c r="I7" s="5">
        <v>32518.26</v>
      </c>
      <c r="J7" s="5">
        <v>32518.26</v>
      </c>
      <c r="K7" s="5" t="s">
        <v>2624</v>
      </c>
    </row>
    <row r="8">
      <c r="A8" s="5" t="s">
        <v>26</v>
      </c>
      <c r="B8" s="5" t="s">
        <v>27</v>
      </c>
      <c r="C8" s="5" t="s">
        <v>28</v>
      </c>
      <c r="D8" s="5" t="s">
        <v>944</v>
      </c>
      <c r="E8" s="5" t="s">
        <v>2606</v>
      </c>
      <c r="F8" s="5" t="s">
        <v>2625</v>
      </c>
      <c r="G8" s="5" t="s">
        <v>944</v>
      </c>
      <c r="H8" s="5" t="s">
        <v>2626</v>
      </c>
      <c r="I8" s="5">
        <v>81250.0</v>
      </c>
      <c r="J8" s="5">
        <v>81250.0</v>
      </c>
      <c r="K8" s="5" t="s">
        <v>2627</v>
      </c>
    </row>
    <row r="9">
      <c r="A9" s="5" t="s">
        <v>26</v>
      </c>
      <c r="B9" s="5" t="s">
        <v>39</v>
      </c>
      <c r="C9" s="5" t="s">
        <v>40</v>
      </c>
      <c r="D9" s="5" t="s">
        <v>944</v>
      </c>
      <c r="E9" s="5" t="s">
        <v>2606</v>
      </c>
      <c r="F9" s="5" t="s">
        <v>2628</v>
      </c>
      <c r="G9" s="5" t="s">
        <v>944</v>
      </c>
      <c r="H9" s="5" t="s">
        <v>2629</v>
      </c>
      <c r="I9" s="5">
        <v>113.23</v>
      </c>
      <c r="J9" s="5">
        <v>40000.0</v>
      </c>
      <c r="K9" s="5" t="s">
        <v>2630</v>
      </c>
    </row>
    <row r="10">
      <c r="A10" s="5" t="s">
        <v>26</v>
      </c>
      <c r="B10" s="5" t="s">
        <v>39</v>
      </c>
      <c r="C10" s="5" t="s">
        <v>40</v>
      </c>
      <c r="D10" s="5" t="s">
        <v>944</v>
      </c>
      <c r="E10" s="5" t="s">
        <v>2606</v>
      </c>
      <c r="F10" s="5" t="s">
        <v>2631</v>
      </c>
      <c r="G10" s="5" t="s">
        <v>944</v>
      </c>
      <c r="H10" s="5" t="s">
        <v>2632</v>
      </c>
      <c r="I10" s="5">
        <v>62.35</v>
      </c>
      <c r="J10" s="5">
        <v>100000.0</v>
      </c>
      <c r="K10" s="5" t="s">
        <v>2633</v>
      </c>
    </row>
    <row r="11">
      <c r="A11" s="5" t="s">
        <v>26</v>
      </c>
      <c r="B11" s="5" t="s">
        <v>39</v>
      </c>
      <c r="C11" s="5" t="s">
        <v>40</v>
      </c>
      <c r="D11" s="5" t="s">
        <v>944</v>
      </c>
      <c r="E11" s="5" t="s">
        <v>2606</v>
      </c>
      <c r="F11" s="5" t="s">
        <v>2634</v>
      </c>
      <c r="G11" s="5" t="s">
        <v>944</v>
      </c>
      <c r="H11" s="5" t="s">
        <v>2635</v>
      </c>
      <c r="I11" s="5">
        <v>51.25</v>
      </c>
      <c r="J11" s="5">
        <v>200000.0</v>
      </c>
      <c r="K11" s="5" t="s">
        <v>2636</v>
      </c>
    </row>
    <row r="12">
      <c r="A12" s="5" t="s">
        <v>26</v>
      </c>
      <c r="B12" s="5" t="s">
        <v>50</v>
      </c>
      <c r="C12" s="5" t="s">
        <v>51</v>
      </c>
      <c r="D12" s="5" t="s">
        <v>944</v>
      </c>
      <c r="E12" s="5" t="s">
        <v>2637</v>
      </c>
      <c r="F12" s="5" t="s">
        <v>2638</v>
      </c>
      <c r="G12" s="5" t="s">
        <v>944</v>
      </c>
      <c r="H12" s="5" t="s">
        <v>2639</v>
      </c>
      <c r="I12" s="5">
        <v>24855.56</v>
      </c>
      <c r="J12" s="5">
        <v>60900.0</v>
      </c>
    </row>
    <row r="13">
      <c r="A13" s="5" t="s">
        <v>26</v>
      </c>
      <c r="B13" s="5" t="s">
        <v>50</v>
      </c>
      <c r="C13" s="5" t="s">
        <v>51</v>
      </c>
      <c r="D13" s="5" t="s">
        <v>944</v>
      </c>
      <c r="E13" s="5" t="s">
        <v>2640</v>
      </c>
      <c r="F13" s="5" t="s">
        <v>2641</v>
      </c>
      <c r="G13" s="5" t="s">
        <v>944</v>
      </c>
      <c r="H13" s="5" t="s">
        <v>2642</v>
      </c>
      <c r="I13" s="5">
        <v>22571.08</v>
      </c>
      <c r="J13" s="5">
        <v>505161.9</v>
      </c>
      <c r="K13" s="5" t="s">
        <v>2643</v>
      </c>
    </row>
    <row r="14">
      <c r="A14" s="5" t="s">
        <v>26</v>
      </c>
      <c r="B14" s="5" t="s">
        <v>50</v>
      </c>
      <c r="C14" s="5" t="s">
        <v>51</v>
      </c>
      <c r="D14" s="5" t="s">
        <v>944</v>
      </c>
      <c r="E14" s="5" t="s">
        <v>2606</v>
      </c>
      <c r="F14" s="5" t="s">
        <v>2644</v>
      </c>
      <c r="G14" s="5" t="s">
        <v>944</v>
      </c>
      <c r="H14" s="5" t="s">
        <v>2645</v>
      </c>
      <c r="I14" s="5">
        <v>105462.0</v>
      </c>
      <c r="J14" s="5">
        <v>399697.89</v>
      </c>
      <c r="K14" s="5" t="s">
        <v>2646</v>
      </c>
    </row>
    <row r="15">
      <c r="A15" s="5" t="s">
        <v>26</v>
      </c>
      <c r="B15" s="5" t="s">
        <v>60</v>
      </c>
      <c r="C15" s="5" t="s">
        <v>61</v>
      </c>
      <c r="D15" s="5" t="s">
        <v>944</v>
      </c>
      <c r="E15" s="5" t="s">
        <v>2613</v>
      </c>
      <c r="F15" s="5" t="s">
        <v>2647</v>
      </c>
      <c r="G15" s="5" t="s">
        <v>944</v>
      </c>
      <c r="H15" s="5" t="s">
        <v>2648</v>
      </c>
      <c r="I15" s="5">
        <v>2256.03</v>
      </c>
      <c r="J15" s="5">
        <v>30000.0</v>
      </c>
    </row>
    <row r="16">
      <c r="A16" s="5" t="s">
        <v>26</v>
      </c>
      <c r="B16" s="5" t="s">
        <v>71</v>
      </c>
      <c r="C16" s="5" t="s">
        <v>72</v>
      </c>
      <c r="D16" s="5" t="s">
        <v>944</v>
      </c>
      <c r="E16" s="5" t="s">
        <v>2606</v>
      </c>
      <c r="F16" s="5" t="s">
        <v>2649</v>
      </c>
      <c r="G16" s="5" t="s">
        <v>944</v>
      </c>
      <c r="H16" s="5" t="s">
        <v>2650</v>
      </c>
      <c r="I16" s="5">
        <v>178632.25</v>
      </c>
      <c r="J16" s="5">
        <v>178632.25</v>
      </c>
      <c r="K16" s="5" t="s">
        <v>2651</v>
      </c>
    </row>
    <row r="17">
      <c r="A17" s="5" t="s">
        <v>26</v>
      </c>
      <c r="B17" s="5" t="s">
        <v>80</v>
      </c>
      <c r="C17" s="5" t="s">
        <v>81</v>
      </c>
      <c r="D17" s="5" t="s">
        <v>1560</v>
      </c>
    </row>
    <row r="18">
      <c r="A18" s="5" t="s">
        <v>26</v>
      </c>
      <c r="B18" s="5" t="s">
        <v>91</v>
      </c>
      <c r="C18" s="5" t="s">
        <v>92</v>
      </c>
      <c r="D18" s="5" t="s">
        <v>944</v>
      </c>
      <c r="E18" s="5" t="s">
        <v>2652</v>
      </c>
      <c r="F18" s="5" t="s">
        <v>2653</v>
      </c>
      <c r="G18" s="5" t="s">
        <v>944</v>
      </c>
      <c r="H18" s="5" t="s">
        <v>2654</v>
      </c>
      <c r="I18" s="5">
        <v>29127.0</v>
      </c>
      <c r="J18" s="5">
        <v>0.0</v>
      </c>
      <c r="K18" s="5" t="s">
        <v>2655</v>
      </c>
    </row>
    <row r="19">
      <c r="A19" s="5" t="s">
        <v>26</v>
      </c>
      <c r="B19" s="5" t="s">
        <v>100</v>
      </c>
      <c r="C19" s="5" t="s">
        <v>101</v>
      </c>
      <c r="D19" s="5" t="s">
        <v>944</v>
      </c>
      <c r="E19" s="5" t="s">
        <v>2606</v>
      </c>
      <c r="F19" s="5" t="s">
        <v>2656</v>
      </c>
      <c r="G19" s="5" t="s">
        <v>944</v>
      </c>
      <c r="H19" s="5" t="s">
        <v>2657</v>
      </c>
      <c r="I19" s="5">
        <v>3.5</v>
      </c>
      <c r="J19" s="5">
        <v>7698.96</v>
      </c>
      <c r="K19" s="5" t="s">
        <v>2658</v>
      </c>
    </row>
    <row r="20">
      <c r="A20" s="5" t="s">
        <v>26</v>
      </c>
      <c r="B20" s="5" t="s">
        <v>100</v>
      </c>
      <c r="C20" s="5" t="s">
        <v>101</v>
      </c>
      <c r="D20" s="5" t="s">
        <v>944</v>
      </c>
      <c r="E20" s="5" t="s">
        <v>2659</v>
      </c>
      <c r="F20" s="5" t="s">
        <v>2660</v>
      </c>
      <c r="I20" s="5">
        <v>2.0</v>
      </c>
      <c r="J20" s="5">
        <v>250000.0</v>
      </c>
      <c r="K20" s="5" t="s">
        <v>2661</v>
      </c>
    </row>
    <row r="21" ht="15.75" customHeight="1">
      <c r="A21" s="5" t="s">
        <v>26</v>
      </c>
      <c r="B21" s="5" t="s">
        <v>100</v>
      </c>
      <c r="C21" s="5" t="s">
        <v>101</v>
      </c>
      <c r="D21" s="5" t="s">
        <v>944</v>
      </c>
      <c r="E21" s="5" t="s">
        <v>2662</v>
      </c>
      <c r="F21" s="5" t="s">
        <v>2663</v>
      </c>
      <c r="I21" s="5">
        <v>1.0</v>
      </c>
      <c r="J21" s="5">
        <v>80000.0</v>
      </c>
      <c r="K21" s="5" t="s">
        <v>2661</v>
      </c>
    </row>
    <row r="22" ht="15.75" customHeight="1">
      <c r="A22" s="5" t="s">
        <v>26</v>
      </c>
      <c r="B22" s="5" t="s">
        <v>110</v>
      </c>
      <c r="C22" s="5" t="s">
        <v>111</v>
      </c>
      <c r="D22" s="5" t="s">
        <v>1560</v>
      </c>
    </row>
    <row r="23" ht="15.75" customHeight="1">
      <c r="A23" s="5" t="s">
        <v>121</v>
      </c>
      <c r="B23" s="5" t="s">
        <v>122</v>
      </c>
      <c r="C23" s="5" t="s">
        <v>123</v>
      </c>
      <c r="D23" s="5" t="s">
        <v>944</v>
      </c>
      <c r="E23" s="5" t="s">
        <v>2606</v>
      </c>
      <c r="F23" s="5" t="s">
        <v>2664</v>
      </c>
      <c r="G23" s="5" t="s">
        <v>944</v>
      </c>
      <c r="H23" s="5" t="s">
        <v>2665</v>
      </c>
      <c r="I23" s="5">
        <v>117739.94</v>
      </c>
      <c r="J23" s="5">
        <v>9807.74</v>
      </c>
      <c r="K23" s="5" t="s">
        <v>2666</v>
      </c>
    </row>
    <row r="24" ht="15.75" customHeight="1">
      <c r="A24" s="5" t="s">
        <v>121</v>
      </c>
      <c r="B24" s="5" t="s">
        <v>122</v>
      </c>
      <c r="C24" s="5" t="s">
        <v>123</v>
      </c>
      <c r="D24" s="5" t="s">
        <v>944</v>
      </c>
      <c r="E24" s="5" t="s">
        <v>2606</v>
      </c>
      <c r="F24" s="5" t="s">
        <v>2667</v>
      </c>
      <c r="G24" s="5" t="s">
        <v>944</v>
      </c>
      <c r="H24" s="5" t="s">
        <v>2668</v>
      </c>
      <c r="I24" s="5">
        <v>149874.05</v>
      </c>
      <c r="J24" s="5">
        <v>698930.0</v>
      </c>
      <c r="K24" s="5" t="s">
        <v>2669</v>
      </c>
    </row>
    <row r="25" ht="15.75" customHeight="1">
      <c r="A25" s="5" t="s">
        <v>121</v>
      </c>
      <c r="B25" s="5" t="s">
        <v>122</v>
      </c>
      <c r="C25" s="5" t="s">
        <v>123</v>
      </c>
      <c r="D25" s="5" t="s">
        <v>944</v>
      </c>
      <c r="E25" s="5" t="s">
        <v>2606</v>
      </c>
      <c r="F25" s="5" t="s">
        <v>2670</v>
      </c>
      <c r="G25" s="5" t="s">
        <v>944</v>
      </c>
      <c r="H25" s="5" t="s">
        <v>2671</v>
      </c>
      <c r="I25" s="5">
        <v>47475.46</v>
      </c>
      <c r="J25" s="5">
        <v>47250.0</v>
      </c>
      <c r="K25" s="5" t="s">
        <v>2669</v>
      </c>
    </row>
    <row r="26" ht="15.75" customHeight="1">
      <c r="A26" s="5" t="s">
        <v>121</v>
      </c>
      <c r="B26" s="5" t="s">
        <v>133</v>
      </c>
      <c r="C26" s="5" t="s">
        <v>134</v>
      </c>
      <c r="D26" s="5" t="s">
        <v>1560</v>
      </c>
    </row>
    <row r="27" ht="15.75" customHeight="1">
      <c r="A27" s="5" t="s">
        <v>121</v>
      </c>
      <c r="B27" s="5" t="s">
        <v>142</v>
      </c>
      <c r="C27" s="5" t="s">
        <v>143</v>
      </c>
      <c r="D27" s="5" t="s">
        <v>944</v>
      </c>
      <c r="E27" s="5" t="s">
        <v>2662</v>
      </c>
      <c r="F27" s="5" t="s">
        <v>2672</v>
      </c>
      <c r="I27" s="5">
        <v>480453.96</v>
      </c>
      <c r="J27" s="5">
        <v>700000.0</v>
      </c>
      <c r="K27" s="5" t="s">
        <v>2673</v>
      </c>
    </row>
    <row r="28" ht="15.75" customHeight="1">
      <c r="A28" s="5" t="s">
        <v>121</v>
      </c>
      <c r="B28" s="5" t="s">
        <v>142</v>
      </c>
      <c r="C28" s="5" t="s">
        <v>143</v>
      </c>
      <c r="D28" s="5" t="s">
        <v>944</v>
      </c>
      <c r="E28" s="5" t="s">
        <v>2659</v>
      </c>
      <c r="F28" s="5" t="s">
        <v>2674</v>
      </c>
      <c r="I28" s="5">
        <v>213033.75</v>
      </c>
      <c r="J28" s="5">
        <v>550000.0</v>
      </c>
      <c r="K28" s="5" t="s">
        <v>2675</v>
      </c>
    </row>
    <row r="29" ht="15.75" customHeight="1">
      <c r="A29" s="5" t="s">
        <v>121</v>
      </c>
      <c r="B29" s="5" t="s">
        <v>142</v>
      </c>
      <c r="C29" s="5" t="s">
        <v>143</v>
      </c>
      <c r="D29" s="5" t="s">
        <v>944</v>
      </c>
      <c r="E29" s="5" t="s">
        <v>2662</v>
      </c>
      <c r="F29" s="5" t="s">
        <v>2676</v>
      </c>
      <c r="I29" s="5">
        <v>83265.68</v>
      </c>
      <c r="J29" s="5">
        <v>450000.0</v>
      </c>
      <c r="K29" s="5" t="s">
        <v>2677</v>
      </c>
    </row>
    <row r="30" ht="15.75" customHeight="1">
      <c r="A30" s="5" t="s">
        <v>121</v>
      </c>
      <c r="B30" s="5" t="s">
        <v>142</v>
      </c>
      <c r="C30" s="5" t="s">
        <v>143</v>
      </c>
      <c r="D30" s="5" t="s">
        <v>944</v>
      </c>
      <c r="E30" s="5" t="s">
        <v>2662</v>
      </c>
      <c r="F30" s="5" t="s">
        <v>2678</v>
      </c>
      <c r="G30" s="5" t="s">
        <v>944</v>
      </c>
      <c r="H30" s="5" t="s">
        <v>2679</v>
      </c>
      <c r="I30" s="5">
        <v>150000.0</v>
      </c>
      <c r="J30" s="5">
        <v>450000.0</v>
      </c>
      <c r="K30" s="5" t="s">
        <v>2680</v>
      </c>
    </row>
    <row r="31" ht="15.75" customHeight="1">
      <c r="A31" s="5" t="s">
        <v>121</v>
      </c>
      <c r="B31" s="5" t="s">
        <v>153</v>
      </c>
      <c r="C31" s="5" t="s">
        <v>154</v>
      </c>
      <c r="D31" s="5" t="s">
        <v>944</v>
      </c>
      <c r="E31" s="5" t="s">
        <v>2681</v>
      </c>
      <c r="F31" s="5" t="s">
        <v>2682</v>
      </c>
      <c r="I31" s="5">
        <v>0.0</v>
      </c>
      <c r="J31" s="5">
        <v>28000.0</v>
      </c>
    </row>
    <row r="32" ht="15.75" customHeight="1">
      <c r="A32" s="5" t="s">
        <v>121</v>
      </c>
      <c r="B32" s="5" t="s">
        <v>161</v>
      </c>
      <c r="C32" s="5" t="s">
        <v>162</v>
      </c>
      <c r="D32" s="5" t="s">
        <v>944</v>
      </c>
      <c r="E32" s="5" t="s">
        <v>2683</v>
      </c>
      <c r="F32" s="5" t="s">
        <v>2684</v>
      </c>
      <c r="I32" s="5">
        <v>417937.85</v>
      </c>
      <c r="J32" s="5">
        <v>1190000.0</v>
      </c>
      <c r="K32" s="5" t="s">
        <v>2685</v>
      </c>
    </row>
    <row r="33" ht="15.75" customHeight="1">
      <c r="A33" s="5" t="s">
        <v>121</v>
      </c>
      <c r="B33" s="5" t="s">
        <v>161</v>
      </c>
      <c r="C33" s="5" t="s">
        <v>162</v>
      </c>
      <c r="D33" s="5" t="s">
        <v>944</v>
      </c>
      <c r="E33" s="5" t="s">
        <v>2683</v>
      </c>
      <c r="F33" s="5" t="s">
        <v>2686</v>
      </c>
      <c r="G33" s="5" t="s">
        <v>944</v>
      </c>
      <c r="H33" s="5" t="s">
        <v>2687</v>
      </c>
      <c r="I33" s="5">
        <v>578750.03</v>
      </c>
      <c r="J33" s="5">
        <v>2856000.0</v>
      </c>
      <c r="K33" s="5" t="s">
        <v>2688</v>
      </c>
    </row>
    <row r="34" ht="15.75" customHeight="1">
      <c r="A34" s="5" t="s">
        <v>121</v>
      </c>
      <c r="B34" s="5" t="s">
        <v>161</v>
      </c>
      <c r="C34" s="5" t="s">
        <v>162</v>
      </c>
      <c r="D34" s="5" t="s">
        <v>944</v>
      </c>
      <c r="E34" s="5" t="s">
        <v>2683</v>
      </c>
      <c r="F34" s="5" t="s">
        <v>2689</v>
      </c>
      <c r="I34" s="5">
        <v>12500.0</v>
      </c>
      <c r="J34" s="5">
        <v>150000.0</v>
      </c>
      <c r="K34" s="5" t="s">
        <v>2685</v>
      </c>
    </row>
    <row r="35" ht="15.75" customHeight="1">
      <c r="A35" s="5" t="s">
        <v>121</v>
      </c>
      <c r="B35" s="5" t="s">
        <v>161</v>
      </c>
      <c r="C35" s="5" t="s">
        <v>162</v>
      </c>
      <c r="D35" s="5" t="s">
        <v>944</v>
      </c>
      <c r="E35" s="5" t="s">
        <v>2606</v>
      </c>
      <c r="F35" s="5" t="s">
        <v>2690</v>
      </c>
      <c r="G35" s="5" t="s">
        <v>944</v>
      </c>
      <c r="H35" s="5" t="s">
        <v>2691</v>
      </c>
      <c r="I35" s="5">
        <v>22500.0</v>
      </c>
      <c r="J35" s="5">
        <v>40000.0</v>
      </c>
      <c r="K35" s="5" t="s">
        <v>2692</v>
      </c>
    </row>
    <row r="36" ht="15.75" customHeight="1">
      <c r="A36" s="5" t="s">
        <v>121</v>
      </c>
      <c r="B36" s="5" t="s">
        <v>161</v>
      </c>
      <c r="C36" s="5" t="s">
        <v>162</v>
      </c>
      <c r="D36" s="5" t="s">
        <v>944</v>
      </c>
      <c r="E36" s="5" t="s">
        <v>2606</v>
      </c>
      <c r="F36" s="5" t="s">
        <v>2690</v>
      </c>
      <c r="G36" s="5" t="s">
        <v>944</v>
      </c>
      <c r="H36" s="5" t="s">
        <v>2693</v>
      </c>
      <c r="I36" s="5">
        <v>15500.0</v>
      </c>
      <c r="J36" s="5">
        <v>25000.0</v>
      </c>
      <c r="K36" s="5" t="s">
        <v>2694</v>
      </c>
    </row>
    <row r="37" ht="15.75" customHeight="1">
      <c r="A37" s="5" t="s">
        <v>121</v>
      </c>
      <c r="B37" s="5" t="s">
        <v>161</v>
      </c>
      <c r="C37" s="5" t="s">
        <v>162</v>
      </c>
      <c r="D37" s="5" t="s">
        <v>944</v>
      </c>
      <c r="E37" s="5" t="s">
        <v>2606</v>
      </c>
      <c r="F37" s="5" t="s">
        <v>2695</v>
      </c>
      <c r="G37" s="5" t="s">
        <v>944</v>
      </c>
      <c r="H37" s="5" t="s">
        <v>2696</v>
      </c>
      <c r="I37" s="5">
        <v>173785.47</v>
      </c>
      <c r="J37" s="5">
        <v>616660.0</v>
      </c>
      <c r="K37" s="5" t="s">
        <v>2688</v>
      </c>
    </row>
    <row r="38" ht="15.75" customHeight="1">
      <c r="A38" s="5" t="s">
        <v>121</v>
      </c>
      <c r="B38" s="5" t="s">
        <v>161</v>
      </c>
      <c r="C38" s="5" t="s">
        <v>162</v>
      </c>
      <c r="D38" s="5" t="s">
        <v>944</v>
      </c>
      <c r="E38" s="5" t="s">
        <v>2606</v>
      </c>
      <c r="F38" s="5" t="s">
        <v>2697</v>
      </c>
      <c r="G38" s="5" t="s">
        <v>944</v>
      </c>
      <c r="H38" s="5" t="s">
        <v>2698</v>
      </c>
      <c r="I38" s="5">
        <v>275332.59</v>
      </c>
      <c r="J38" s="5">
        <v>1190000.0</v>
      </c>
      <c r="K38" s="5" t="s">
        <v>2699</v>
      </c>
    </row>
    <row r="39" ht="15.75" customHeight="1">
      <c r="A39" s="5" t="s">
        <v>121</v>
      </c>
      <c r="B39" s="5" t="s">
        <v>161</v>
      </c>
      <c r="C39" s="5" t="s">
        <v>162</v>
      </c>
      <c r="D39" s="5" t="s">
        <v>944</v>
      </c>
      <c r="E39" s="5" t="s">
        <v>2606</v>
      </c>
      <c r="F39" s="5" t="s">
        <v>2700</v>
      </c>
      <c r="G39" s="5" t="s">
        <v>944</v>
      </c>
      <c r="H39" s="5" t="s">
        <v>2701</v>
      </c>
      <c r="I39" s="5">
        <v>13150.0</v>
      </c>
      <c r="J39" s="5">
        <v>25000.0</v>
      </c>
      <c r="K39" s="5" t="s">
        <v>2688</v>
      </c>
    </row>
    <row r="40" ht="15.75" customHeight="1">
      <c r="A40" s="5" t="s">
        <v>121</v>
      </c>
      <c r="B40" s="5" t="s">
        <v>170</v>
      </c>
      <c r="C40" s="5" t="s">
        <v>171</v>
      </c>
      <c r="D40" s="5" t="s">
        <v>944</v>
      </c>
      <c r="E40" s="5" t="s">
        <v>2702</v>
      </c>
      <c r="F40" s="5" t="s">
        <v>2703</v>
      </c>
      <c r="G40" s="5" t="s">
        <v>944</v>
      </c>
      <c r="H40" s="5" t="s">
        <v>2704</v>
      </c>
      <c r="I40" s="5">
        <v>2963.75</v>
      </c>
      <c r="J40" s="5">
        <v>2963.75</v>
      </c>
      <c r="K40" s="5" t="s">
        <v>2705</v>
      </c>
    </row>
    <row r="41" ht="15.75" customHeight="1">
      <c r="A41" s="5" t="s">
        <v>121</v>
      </c>
      <c r="B41" s="5" t="s">
        <v>170</v>
      </c>
      <c r="C41" s="5" t="s">
        <v>171</v>
      </c>
      <c r="D41" s="5" t="s">
        <v>944</v>
      </c>
      <c r="E41" s="5" t="s">
        <v>2706</v>
      </c>
      <c r="F41" s="5" t="s">
        <v>2707</v>
      </c>
      <c r="G41" s="5" t="s">
        <v>944</v>
      </c>
      <c r="H41" s="5" t="s">
        <v>2708</v>
      </c>
      <c r="I41" s="5">
        <v>2376.14</v>
      </c>
      <c r="J41" s="5">
        <v>2376.14</v>
      </c>
      <c r="K41" s="5" t="s">
        <v>2705</v>
      </c>
    </row>
    <row r="42" ht="15.75" customHeight="1">
      <c r="A42" s="5" t="s">
        <v>121</v>
      </c>
      <c r="B42" s="5" t="s">
        <v>170</v>
      </c>
      <c r="C42" s="5" t="s">
        <v>171</v>
      </c>
      <c r="D42" s="5" t="s">
        <v>944</v>
      </c>
      <c r="E42" s="5" t="s">
        <v>2659</v>
      </c>
      <c r="F42" s="5" t="s">
        <v>2709</v>
      </c>
      <c r="G42" s="5" t="s">
        <v>944</v>
      </c>
      <c r="H42" s="5" t="s">
        <v>2710</v>
      </c>
      <c r="I42" s="5">
        <v>156477.54</v>
      </c>
      <c r="J42" s="5">
        <v>156477.54</v>
      </c>
      <c r="K42" s="5" t="s">
        <v>2705</v>
      </c>
    </row>
    <row r="43" ht="15.75" customHeight="1">
      <c r="A43" s="5" t="s">
        <v>121</v>
      </c>
      <c r="B43" s="5" t="s">
        <v>180</v>
      </c>
      <c r="C43" s="5" t="s">
        <v>181</v>
      </c>
      <c r="D43" s="5" t="s">
        <v>1560</v>
      </c>
    </row>
    <row r="44" ht="15.75" customHeight="1">
      <c r="A44" s="5" t="s">
        <v>121</v>
      </c>
      <c r="B44" s="5" t="s">
        <v>190</v>
      </c>
      <c r="C44" s="5" t="s">
        <v>191</v>
      </c>
      <c r="D44" s="5" t="s">
        <v>944</v>
      </c>
      <c r="E44" s="5" t="s">
        <v>2711</v>
      </c>
      <c r="F44" s="5" t="s">
        <v>2712</v>
      </c>
      <c r="G44" s="5" t="s">
        <v>944</v>
      </c>
      <c r="H44" s="5" t="s">
        <v>2713</v>
      </c>
      <c r="I44" s="5">
        <v>181000.0</v>
      </c>
      <c r="J44" s="5">
        <v>1750000.0</v>
      </c>
      <c r="K44" s="5" t="s">
        <v>2714</v>
      </c>
    </row>
    <row r="45" ht="15.75" customHeight="1">
      <c r="A45" s="5" t="s">
        <v>121</v>
      </c>
      <c r="B45" s="5" t="s">
        <v>201</v>
      </c>
      <c r="C45" s="5" t="s">
        <v>202</v>
      </c>
      <c r="D45" s="5" t="s">
        <v>1560</v>
      </c>
    </row>
    <row r="46" ht="15.75" customHeight="1">
      <c r="A46" s="5" t="s">
        <v>121</v>
      </c>
      <c r="B46" s="5" t="s">
        <v>211</v>
      </c>
      <c r="C46" s="5" t="s">
        <v>212</v>
      </c>
      <c r="D46" s="5" t="s">
        <v>944</v>
      </c>
      <c r="E46" s="5" t="s">
        <v>2606</v>
      </c>
      <c r="F46" s="5" t="s">
        <v>2715</v>
      </c>
      <c r="G46" s="5" t="s">
        <v>944</v>
      </c>
      <c r="H46" s="5" t="s">
        <v>2716</v>
      </c>
      <c r="I46" s="5">
        <v>54173.07</v>
      </c>
      <c r="J46" s="5">
        <v>1500.0</v>
      </c>
      <c r="K46" s="5" t="s">
        <v>2717</v>
      </c>
    </row>
    <row r="47" ht="15.75" customHeight="1">
      <c r="A47" s="5" t="s">
        <v>121</v>
      </c>
      <c r="B47" s="5" t="s">
        <v>211</v>
      </c>
      <c r="C47" s="5" t="s">
        <v>212</v>
      </c>
      <c r="D47" s="5" t="s">
        <v>944</v>
      </c>
      <c r="E47" s="5" t="s">
        <v>2606</v>
      </c>
      <c r="F47" s="5" t="s">
        <v>2718</v>
      </c>
      <c r="G47" s="5" t="s">
        <v>944</v>
      </c>
      <c r="H47" s="5" t="s">
        <v>2719</v>
      </c>
      <c r="I47" s="5">
        <v>15519.5</v>
      </c>
      <c r="J47" s="5">
        <v>100000.0</v>
      </c>
      <c r="K47" s="5" t="s">
        <v>2720</v>
      </c>
    </row>
    <row r="48" ht="15.75" customHeight="1">
      <c r="A48" s="5" t="s">
        <v>121</v>
      </c>
      <c r="B48" s="5" t="s">
        <v>211</v>
      </c>
      <c r="C48" s="5" t="s">
        <v>212</v>
      </c>
      <c r="D48" s="5" t="s">
        <v>944</v>
      </c>
      <c r="E48" s="5" t="s">
        <v>2606</v>
      </c>
      <c r="F48" s="5" t="s">
        <v>2721</v>
      </c>
      <c r="G48" s="5" t="s">
        <v>944</v>
      </c>
      <c r="H48" s="5" t="s">
        <v>2722</v>
      </c>
      <c r="I48" s="5">
        <v>15519.5</v>
      </c>
      <c r="J48" s="5">
        <v>100000.0</v>
      </c>
      <c r="K48" s="5" t="s">
        <v>2720</v>
      </c>
    </row>
    <row r="49" ht="15.75" customHeight="1">
      <c r="A49" s="5" t="s">
        <v>121</v>
      </c>
      <c r="B49" s="5" t="s">
        <v>211</v>
      </c>
      <c r="C49" s="5" t="s">
        <v>212</v>
      </c>
      <c r="D49" s="5" t="s">
        <v>944</v>
      </c>
      <c r="E49" s="5" t="s">
        <v>2606</v>
      </c>
      <c r="F49" s="5" t="s">
        <v>2723</v>
      </c>
      <c r="G49" s="5" t="s">
        <v>944</v>
      </c>
      <c r="H49" s="5" t="s">
        <v>2724</v>
      </c>
      <c r="I49" s="5">
        <v>14780.48</v>
      </c>
      <c r="J49" s="5">
        <v>40320.0</v>
      </c>
      <c r="K49" s="5" t="s">
        <v>2720</v>
      </c>
    </row>
    <row r="50" ht="15.75" customHeight="1">
      <c r="A50" s="5" t="s">
        <v>121</v>
      </c>
      <c r="B50" s="5" t="s">
        <v>211</v>
      </c>
      <c r="C50" s="5" t="s">
        <v>212</v>
      </c>
      <c r="D50" s="5" t="s">
        <v>944</v>
      </c>
      <c r="E50" s="5" t="s">
        <v>2606</v>
      </c>
      <c r="F50" s="5" t="s">
        <v>2725</v>
      </c>
      <c r="G50" s="5" t="s">
        <v>944</v>
      </c>
      <c r="H50" s="5" t="s">
        <v>2726</v>
      </c>
      <c r="I50" s="5">
        <v>14780.48</v>
      </c>
      <c r="J50" s="5">
        <v>40320.0</v>
      </c>
      <c r="K50" s="5" t="s">
        <v>2720</v>
      </c>
    </row>
    <row r="51" ht="15.75" customHeight="1">
      <c r="A51" s="5" t="s">
        <v>121</v>
      </c>
      <c r="B51" s="5" t="s">
        <v>211</v>
      </c>
      <c r="C51" s="5" t="s">
        <v>212</v>
      </c>
      <c r="D51" s="5" t="s">
        <v>944</v>
      </c>
      <c r="E51" s="5" t="s">
        <v>2606</v>
      </c>
      <c r="F51" s="5" t="s">
        <v>2727</v>
      </c>
      <c r="G51" s="5" t="s">
        <v>944</v>
      </c>
      <c r="H51" s="5" t="s">
        <v>2728</v>
      </c>
      <c r="I51" s="5">
        <v>5000.0</v>
      </c>
      <c r="J51" s="5">
        <v>7000.0</v>
      </c>
      <c r="K51" s="5" t="s">
        <v>2720</v>
      </c>
    </row>
    <row r="52" ht="15.75" customHeight="1">
      <c r="A52" s="5" t="s">
        <v>121</v>
      </c>
      <c r="B52" s="5" t="s">
        <v>211</v>
      </c>
      <c r="C52" s="5" t="s">
        <v>212</v>
      </c>
      <c r="D52" s="5" t="s">
        <v>944</v>
      </c>
      <c r="E52" s="5" t="s">
        <v>2606</v>
      </c>
      <c r="F52" s="5" t="s">
        <v>2729</v>
      </c>
      <c r="G52" s="5" t="s">
        <v>944</v>
      </c>
      <c r="H52" s="5" t="s">
        <v>2730</v>
      </c>
      <c r="I52" s="5">
        <v>5000.0</v>
      </c>
      <c r="J52" s="5">
        <v>7000.0</v>
      </c>
      <c r="K52" s="5" t="s">
        <v>2720</v>
      </c>
    </row>
    <row r="53" ht="15.75" customHeight="1">
      <c r="A53" s="5" t="s">
        <v>121</v>
      </c>
      <c r="B53" s="5" t="s">
        <v>211</v>
      </c>
      <c r="C53" s="5" t="s">
        <v>212</v>
      </c>
      <c r="D53" s="5" t="s">
        <v>944</v>
      </c>
      <c r="E53" s="5" t="s">
        <v>2606</v>
      </c>
      <c r="F53" s="5" t="s">
        <v>2731</v>
      </c>
      <c r="G53" s="5" t="s">
        <v>944</v>
      </c>
      <c r="H53" s="5" t="s">
        <v>2732</v>
      </c>
      <c r="I53" s="5">
        <v>5000.0</v>
      </c>
      <c r="J53" s="5">
        <v>7000.0</v>
      </c>
      <c r="K53" s="5" t="s">
        <v>2720</v>
      </c>
    </row>
    <row r="54" ht="15.75" customHeight="1">
      <c r="A54" s="5" t="s">
        <v>121</v>
      </c>
      <c r="B54" s="5" t="s">
        <v>211</v>
      </c>
      <c r="C54" s="5" t="s">
        <v>212</v>
      </c>
      <c r="D54" s="5" t="s">
        <v>944</v>
      </c>
      <c r="E54" s="5" t="s">
        <v>2606</v>
      </c>
      <c r="F54" s="5" t="s">
        <v>2733</v>
      </c>
      <c r="G54" s="5" t="s">
        <v>944</v>
      </c>
      <c r="H54" s="5" t="s">
        <v>2734</v>
      </c>
      <c r="I54" s="5">
        <v>5000.0</v>
      </c>
      <c r="J54" s="5">
        <v>7000.0</v>
      </c>
      <c r="K54" s="5" t="s">
        <v>2720</v>
      </c>
    </row>
    <row r="55" ht="15.75" customHeight="1">
      <c r="A55" s="5" t="s">
        <v>121</v>
      </c>
      <c r="B55" s="5" t="s">
        <v>219</v>
      </c>
      <c r="C55" s="5" t="s">
        <v>220</v>
      </c>
      <c r="D55" s="5" t="s">
        <v>1560</v>
      </c>
    </row>
    <row r="56" ht="15.75" customHeight="1">
      <c r="A56" s="5" t="s">
        <v>121</v>
      </c>
      <c r="B56" s="5" t="s">
        <v>227</v>
      </c>
      <c r="C56" s="5" t="s">
        <v>228</v>
      </c>
      <c r="D56" s="5" t="s">
        <v>944</v>
      </c>
      <c r="E56" s="5" t="s">
        <v>939</v>
      </c>
      <c r="F56" s="5" t="s">
        <v>56</v>
      </c>
      <c r="G56" s="5" t="s">
        <v>944</v>
      </c>
      <c r="H56" s="5" t="s">
        <v>2735</v>
      </c>
      <c r="I56" s="5">
        <v>0.0</v>
      </c>
      <c r="J56" s="5">
        <v>429000.0</v>
      </c>
    </row>
    <row r="57" ht="15.75" customHeight="1">
      <c r="A57" s="5" t="s">
        <v>121</v>
      </c>
      <c r="B57" s="5" t="s">
        <v>227</v>
      </c>
      <c r="C57" s="5" t="s">
        <v>228</v>
      </c>
      <c r="D57" s="5" t="s">
        <v>944</v>
      </c>
      <c r="E57" s="5" t="s">
        <v>2681</v>
      </c>
      <c r="F57" s="5" t="s">
        <v>2736</v>
      </c>
      <c r="G57" s="5" t="s">
        <v>944</v>
      </c>
      <c r="H57" s="5" t="s">
        <v>2737</v>
      </c>
      <c r="I57" s="5">
        <v>0.0</v>
      </c>
      <c r="J57" s="5">
        <v>90160.0</v>
      </c>
    </row>
    <row r="58" ht="15.75" customHeight="1">
      <c r="A58" s="5" t="s">
        <v>121</v>
      </c>
      <c r="B58" s="5" t="s">
        <v>227</v>
      </c>
      <c r="C58" s="5" t="s">
        <v>228</v>
      </c>
      <c r="D58" s="5" t="s">
        <v>944</v>
      </c>
      <c r="E58" s="5" t="s">
        <v>2738</v>
      </c>
      <c r="F58" s="5" t="s">
        <v>56</v>
      </c>
      <c r="G58" s="5" t="s">
        <v>944</v>
      </c>
      <c r="H58" s="5" t="s">
        <v>2739</v>
      </c>
      <c r="I58" s="5">
        <v>0.0</v>
      </c>
      <c r="J58" s="5">
        <v>49500.0</v>
      </c>
    </row>
    <row r="59" ht="15.75" customHeight="1">
      <c r="A59" s="5" t="s">
        <v>121</v>
      </c>
      <c r="B59" s="5" t="s">
        <v>236</v>
      </c>
      <c r="C59" s="5" t="s">
        <v>237</v>
      </c>
      <c r="D59" s="5" t="s">
        <v>944</v>
      </c>
      <c r="E59" s="5" t="s">
        <v>2606</v>
      </c>
      <c r="F59" s="5" t="s">
        <v>2740</v>
      </c>
      <c r="G59" s="5" t="s">
        <v>944</v>
      </c>
      <c r="H59" s="5" t="s">
        <v>2741</v>
      </c>
      <c r="I59" s="5">
        <v>66345.75</v>
      </c>
      <c r="J59" s="5">
        <v>66345.75</v>
      </c>
      <c r="K59" s="5" t="s">
        <v>2742</v>
      </c>
    </row>
    <row r="60" ht="15.75" customHeight="1">
      <c r="A60" s="5" t="s">
        <v>121</v>
      </c>
      <c r="B60" s="5" t="s">
        <v>244</v>
      </c>
      <c r="C60" s="5" t="s">
        <v>245</v>
      </c>
      <c r="D60" s="5" t="s">
        <v>944</v>
      </c>
      <c r="E60" s="5" t="s">
        <v>2743</v>
      </c>
      <c r="F60" s="5" t="s">
        <v>2744</v>
      </c>
      <c r="G60" s="5" t="s">
        <v>944</v>
      </c>
      <c r="H60" s="5" t="s">
        <v>2745</v>
      </c>
      <c r="I60" s="5">
        <v>43422.34</v>
      </c>
      <c r="J60" s="5">
        <v>43422.34</v>
      </c>
    </row>
    <row r="61" ht="15.75" customHeight="1">
      <c r="A61" s="5" t="s">
        <v>121</v>
      </c>
      <c r="B61" s="5" t="s">
        <v>244</v>
      </c>
      <c r="C61" s="5" t="s">
        <v>245</v>
      </c>
      <c r="D61" s="5" t="s">
        <v>944</v>
      </c>
      <c r="E61" s="5" t="s">
        <v>939</v>
      </c>
      <c r="F61" s="5" t="s">
        <v>2746</v>
      </c>
      <c r="G61" s="5" t="s">
        <v>944</v>
      </c>
      <c r="H61" s="5" t="s">
        <v>2747</v>
      </c>
      <c r="I61" s="5">
        <v>143669.45</v>
      </c>
      <c r="J61" s="5">
        <v>143669.45</v>
      </c>
      <c r="K61" s="5" t="s">
        <v>2748</v>
      </c>
    </row>
    <row r="62" ht="15.75" customHeight="1">
      <c r="A62" s="5" t="s">
        <v>121</v>
      </c>
      <c r="B62" s="5" t="s">
        <v>253</v>
      </c>
      <c r="C62" s="5" t="s">
        <v>254</v>
      </c>
      <c r="D62" s="5" t="s">
        <v>944</v>
      </c>
      <c r="E62" s="5" t="s">
        <v>2711</v>
      </c>
      <c r="F62" s="5" t="s">
        <v>2749</v>
      </c>
      <c r="I62" s="5">
        <v>1004260.32</v>
      </c>
      <c r="J62" s="5">
        <v>1382844.96</v>
      </c>
      <c r="K62" s="5" t="s">
        <v>2750</v>
      </c>
    </row>
    <row r="63" ht="15.75" customHeight="1">
      <c r="A63" s="5" t="s">
        <v>121</v>
      </c>
      <c r="B63" s="5" t="s">
        <v>261</v>
      </c>
      <c r="C63" s="5" t="s">
        <v>262</v>
      </c>
      <c r="D63" s="5" t="s">
        <v>944</v>
      </c>
      <c r="E63" s="5" t="s">
        <v>2751</v>
      </c>
      <c r="F63" s="5" t="s">
        <v>2752</v>
      </c>
      <c r="G63" s="5" t="s">
        <v>944</v>
      </c>
      <c r="H63" s="5" t="s">
        <v>2753</v>
      </c>
      <c r="I63" s="5">
        <v>759162.6</v>
      </c>
      <c r="J63" s="5">
        <v>0.0</v>
      </c>
    </row>
    <row r="64" ht="15.75" customHeight="1">
      <c r="A64" s="5" t="s">
        <v>121</v>
      </c>
      <c r="B64" s="5" t="s">
        <v>261</v>
      </c>
      <c r="C64" s="5" t="s">
        <v>262</v>
      </c>
      <c r="D64" s="5" t="s">
        <v>944</v>
      </c>
      <c r="E64" s="5" t="s">
        <v>2659</v>
      </c>
      <c r="F64" s="5" t="s">
        <v>2754</v>
      </c>
      <c r="G64" s="5" t="s">
        <v>944</v>
      </c>
      <c r="H64" s="5" t="s">
        <v>2755</v>
      </c>
      <c r="I64" s="5">
        <v>159701.02</v>
      </c>
      <c r="J64" s="5">
        <v>0.0</v>
      </c>
    </row>
    <row r="65" ht="15.75" customHeight="1">
      <c r="A65" s="5" t="s">
        <v>121</v>
      </c>
      <c r="B65" s="5" t="s">
        <v>261</v>
      </c>
      <c r="C65" s="5" t="s">
        <v>262</v>
      </c>
      <c r="D65" s="5" t="s">
        <v>944</v>
      </c>
      <c r="E65" s="5" t="s">
        <v>2751</v>
      </c>
      <c r="F65" s="5" t="s">
        <v>2756</v>
      </c>
      <c r="G65" s="5" t="s">
        <v>944</v>
      </c>
      <c r="H65" s="5" t="s">
        <v>2757</v>
      </c>
      <c r="I65" s="5">
        <v>207426.45</v>
      </c>
      <c r="J65" s="5">
        <v>0.0</v>
      </c>
    </row>
    <row r="66" ht="15.75" customHeight="1">
      <c r="A66" s="5" t="s">
        <v>121</v>
      </c>
      <c r="B66" s="5" t="s">
        <v>261</v>
      </c>
      <c r="C66" s="5" t="s">
        <v>262</v>
      </c>
      <c r="D66" s="5" t="s">
        <v>944</v>
      </c>
      <c r="E66" s="5" t="s">
        <v>2758</v>
      </c>
      <c r="F66" s="5" t="s">
        <v>2759</v>
      </c>
      <c r="G66" s="5" t="s">
        <v>944</v>
      </c>
      <c r="H66" s="5" t="s">
        <v>2760</v>
      </c>
      <c r="I66" s="5">
        <v>4281.53</v>
      </c>
      <c r="J66" s="5">
        <v>0.0</v>
      </c>
    </row>
    <row r="67" ht="15.75" customHeight="1">
      <c r="A67" s="5" t="s">
        <v>121</v>
      </c>
      <c r="B67" s="5" t="s">
        <v>261</v>
      </c>
      <c r="C67" s="5" t="s">
        <v>262</v>
      </c>
      <c r="D67" s="5" t="s">
        <v>944</v>
      </c>
      <c r="E67" s="5" t="s">
        <v>2751</v>
      </c>
      <c r="F67" s="5" t="s">
        <v>2761</v>
      </c>
      <c r="G67" s="5" t="s">
        <v>944</v>
      </c>
      <c r="H67" s="5" t="s">
        <v>2762</v>
      </c>
      <c r="I67" s="5">
        <v>184419.93</v>
      </c>
      <c r="J67" s="5">
        <v>0.0</v>
      </c>
    </row>
    <row r="68" ht="15.75" customHeight="1">
      <c r="A68" s="5" t="s">
        <v>121</v>
      </c>
      <c r="B68" s="5" t="s">
        <v>261</v>
      </c>
      <c r="C68" s="5" t="s">
        <v>262</v>
      </c>
      <c r="D68" s="5" t="s">
        <v>944</v>
      </c>
      <c r="E68" s="5" t="s">
        <v>2763</v>
      </c>
      <c r="F68" s="5" t="s">
        <v>2764</v>
      </c>
      <c r="G68" s="5" t="s">
        <v>944</v>
      </c>
      <c r="H68" s="5" t="s">
        <v>2765</v>
      </c>
      <c r="I68" s="5">
        <v>60876.1</v>
      </c>
      <c r="J68" s="5">
        <v>0.0</v>
      </c>
    </row>
    <row r="69" ht="15.75" customHeight="1">
      <c r="A69" s="5" t="s">
        <v>121</v>
      </c>
      <c r="B69" s="5" t="s">
        <v>270</v>
      </c>
      <c r="C69" s="5" t="s">
        <v>271</v>
      </c>
      <c r="D69" s="5" t="s">
        <v>1560</v>
      </c>
    </row>
    <row r="70" ht="15.75" customHeight="1">
      <c r="A70" s="5" t="s">
        <v>121</v>
      </c>
      <c r="B70" s="5" t="s">
        <v>279</v>
      </c>
      <c r="C70" s="5" t="s">
        <v>280</v>
      </c>
      <c r="D70" s="5" t="s">
        <v>944</v>
      </c>
      <c r="E70" s="5" t="s">
        <v>2766</v>
      </c>
      <c r="F70" s="5" t="s">
        <v>2767</v>
      </c>
      <c r="I70" s="5">
        <v>1082.0</v>
      </c>
      <c r="J70" s="5">
        <v>513500.0</v>
      </c>
    </row>
    <row r="71" ht="15.75" customHeight="1">
      <c r="A71" s="5" t="s">
        <v>121</v>
      </c>
      <c r="B71" s="5" t="s">
        <v>279</v>
      </c>
      <c r="C71" s="5" t="s">
        <v>280</v>
      </c>
      <c r="D71" s="5" t="s">
        <v>944</v>
      </c>
      <c r="E71" s="5" t="s">
        <v>2766</v>
      </c>
      <c r="F71" s="5" t="s">
        <v>2768</v>
      </c>
      <c r="I71" s="5">
        <v>18088.0</v>
      </c>
      <c r="J71" s="5">
        <v>1382500.0</v>
      </c>
      <c r="K71" s="5" t="s">
        <v>2769</v>
      </c>
    </row>
    <row r="72" ht="15.75" customHeight="1">
      <c r="A72" s="5" t="s">
        <v>121</v>
      </c>
      <c r="B72" s="5" t="s">
        <v>279</v>
      </c>
      <c r="C72" s="5" t="s">
        <v>280</v>
      </c>
      <c r="D72" s="5" t="s">
        <v>944</v>
      </c>
      <c r="E72" s="5" t="s">
        <v>2606</v>
      </c>
      <c r="F72" s="5" t="s">
        <v>2770</v>
      </c>
      <c r="G72" s="5" t="s">
        <v>944</v>
      </c>
      <c r="H72" s="5" t="s">
        <v>2771</v>
      </c>
      <c r="I72" s="5">
        <v>660.0</v>
      </c>
      <c r="J72" s="5">
        <v>150000.0</v>
      </c>
    </row>
    <row r="73" ht="15.75" customHeight="1">
      <c r="A73" s="5" t="s">
        <v>121</v>
      </c>
      <c r="B73" s="5" t="s">
        <v>279</v>
      </c>
      <c r="C73" s="5" t="s">
        <v>280</v>
      </c>
      <c r="D73" s="5" t="s">
        <v>944</v>
      </c>
      <c r="E73" s="5" t="s">
        <v>2772</v>
      </c>
      <c r="F73" s="5" t="s">
        <v>2773</v>
      </c>
      <c r="I73" s="5">
        <v>850.81</v>
      </c>
      <c r="J73" s="5">
        <v>158000.0</v>
      </c>
      <c r="K73" s="5" t="s">
        <v>2774</v>
      </c>
    </row>
    <row r="74" ht="15.75" customHeight="1">
      <c r="A74" s="5" t="s">
        <v>121</v>
      </c>
      <c r="B74" s="5" t="s">
        <v>279</v>
      </c>
      <c r="C74" s="5" t="s">
        <v>280</v>
      </c>
      <c r="D74" s="5" t="s">
        <v>944</v>
      </c>
      <c r="E74" s="5" t="s">
        <v>2772</v>
      </c>
      <c r="F74" s="5" t="s">
        <v>2775</v>
      </c>
      <c r="I74" s="5">
        <v>1560.0</v>
      </c>
      <c r="J74" s="5">
        <v>1185000.0</v>
      </c>
      <c r="K74" s="5" t="s">
        <v>2776</v>
      </c>
    </row>
    <row r="75" ht="15.75" customHeight="1">
      <c r="A75" s="5" t="s">
        <v>121</v>
      </c>
      <c r="B75" s="5" t="s">
        <v>288</v>
      </c>
      <c r="C75" s="5" t="s">
        <v>289</v>
      </c>
      <c r="D75" s="5" t="s">
        <v>944</v>
      </c>
      <c r="E75" s="5" t="s">
        <v>2606</v>
      </c>
      <c r="F75" s="5" t="s">
        <v>2777</v>
      </c>
      <c r="G75" s="5" t="s">
        <v>944</v>
      </c>
      <c r="H75" s="5" t="s">
        <v>2778</v>
      </c>
      <c r="I75" s="5">
        <v>122065.7</v>
      </c>
      <c r="J75" s="5">
        <v>80000.0</v>
      </c>
      <c r="K75" s="5" t="s">
        <v>2779</v>
      </c>
    </row>
    <row r="76" ht="15.75" customHeight="1">
      <c r="A76" s="5" t="s">
        <v>121</v>
      </c>
      <c r="B76" s="5" t="s">
        <v>288</v>
      </c>
      <c r="C76" s="5" t="s">
        <v>289</v>
      </c>
      <c r="D76" s="5" t="s">
        <v>944</v>
      </c>
      <c r="E76" s="5" t="s">
        <v>2606</v>
      </c>
      <c r="F76" s="5" t="s">
        <v>2780</v>
      </c>
      <c r="G76" s="5" t="s">
        <v>944</v>
      </c>
      <c r="H76" s="5" t="s">
        <v>2781</v>
      </c>
      <c r="I76" s="5">
        <v>46649.75</v>
      </c>
      <c r="J76" s="5">
        <v>20000.0</v>
      </c>
      <c r="K76" s="5" t="s">
        <v>2782</v>
      </c>
    </row>
    <row r="77" ht="15.75" customHeight="1">
      <c r="A77" s="5" t="s">
        <v>121</v>
      </c>
      <c r="B77" s="5" t="s">
        <v>288</v>
      </c>
      <c r="C77" s="5" t="s">
        <v>289</v>
      </c>
      <c r="D77" s="5" t="s">
        <v>944</v>
      </c>
      <c r="E77" s="5" t="s">
        <v>2606</v>
      </c>
      <c r="F77" s="5" t="s">
        <v>2783</v>
      </c>
      <c r="G77" s="5" t="s">
        <v>944</v>
      </c>
      <c r="H77" s="5" t="s">
        <v>2784</v>
      </c>
      <c r="I77" s="5">
        <v>131175.12</v>
      </c>
      <c r="J77" s="5">
        <v>6000.0</v>
      </c>
    </row>
    <row r="78" ht="15.75" customHeight="1">
      <c r="A78" s="5" t="s">
        <v>121</v>
      </c>
      <c r="B78" s="5" t="s">
        <v>288</v>
      </c>
      <c r="C78" s="5" t="s">
        <v>289</v>
      </c>
      <c r="D78" s="5" t="s">
        <v>944</v>
      </c>
      <c r="E78" s="5" t="s">
        <v>2606</v>
      </c>
      <c r="F78" s="5" t="s">
        <v>2785</v>
      </c>
      <c r="G78" s="5" t="s">
        <v>944</v>
      </c>
      <c r="H78" s="5" t="s">
        <v>2786</v>
      </c>
      <c r="I78" s="5">
        <v>14697.06</v>
      </c>
      <c r="J78" s="5">
        <v>2000.0</v>
      </c>
    </row>
    <row r="79" ht="15.75" customHeight="1">
      <c r="A79" s="5" t="s">
        <v>121</v>
      </c>
      <c r="B79" s="5" t="s">
        <v>296</v>
      </c>
      <c r="C79" s="5" t="s">
        <v>297</v>
      </c>
      <c r="D79" s="5" t="s">
        <v>944</v>
      </c>
      <c r="E79" s="5" t="s">
        <v>2659</v>
      </c>
      <c r="F79" s="5" t="s">
        <v>2787</v>
      </c>
      <c r="G79" s="5" t="s">
        <v>944</v>
      </c>
      <c r="H79" s="5" t="s">
        <v>2788</v>
      </c>
      <c r="I79" s="5">
        <v>755493.86</v>
      </c>
      <c r="J79" s="5">
        <v>755493.86</v>
      </c>
      <c r="K79" s="5" t="s">
        <v>2789</v>
      </c>
    </row>
    <row r="80" ht="15.75" customHeight="1">
      <c r="A80" s="5" t="s">
        <v>121</v>
      </c>
      <c r="B80" s="5" t="s">
        <v>296</v>
      </c>
      <c r="C80" s="5" t="s">
        <v>297</v>
      </c>
      <c r="D80" s="5" t="s">
        <v>944</v>
      </c>
      <c r="E80" s="5" t="s">
        <v>2763</v>
      </c>
      <c r="F80" s="5" t="s">
        <v>2790</v>
      </c>
      <c r="G80" s="5" t="s">
        <v>944</v>
      </c>
      <c r="H80" s="5" t="s">
        <v>2791</v>
      </c>
      <c r="I80" s="5">
        <v>147959.82</v>
      </c>
      <c r="J80" s="5">
        <v>147959.82</v>
      </c>
      <c r="K80" s="5" t="s">
        <v>2792</v>
      </c>
    </row>
    <row r="81" ht="15.75" customHeight="1">
      <c r="A81" s="5" t="s">
        <v>121</v>
      </c>
      <c r="B81" s="5" t="s">
        <v>296</v>
      </c>
      <c r="C81" s="5" t="s">
        <v>297</v>
      </c>
      <c r="D81" s="5" t="s">
        <v>944</v>
      </c>
      <c r="E81" s="5" t="s">
        <v>2763</v>
      </c>
      <c r="F81" s="5" t="s">
        <v>2793</v>
      </c>
      <c r="G81" s="5" t="s">
        <v>944</v>
      </c>
      <c r="H81" s="5" t="s">
        <v>2794</v>
      </c>
      <c r="I81" s="5">
        <v>0.0</v>
      </c>
      <c r="J81" s="5">
        <v>37026.0</v>
      </c>
      <c r="K81" s="5" t="s">
        <v>2795</v>
      </c>
    </row>
    <row r="82" ht="15.75" customHeight="1">
      <c r="A82" s="5" t="s">
        <v>121</v>
      </c>
      <c r="B82" s="5" t="s">
        <v>296</v>
      </c>
      <c r="C82" s="5" t="s">
        <v>297</v>
      </c>
      <c r="D82" s="5" t="s">
        <v>944</v>
      </c>
      <c r="E82" s="5" t="s">
        <v>2758</v>
      </c>
      <c r="F82" s="5" t="s">
        <v>2796</v>
      </c>
      <c r="G82" s="5" t="s">
        <v>944</v>
      </c>
      <c r="H82" s="5" t="s">
        <v>2797</v>
      </c>
      <c r="I82" s="5">
        <v>18321.49</v>
      </c>
      <c r="J82" s="5">
        <v>18321.49</v>
      </c>
      <c r="K82" s="5" t="s">
        <v>2792</v>
      </c>
    </row>
    <row r="83" ht="15.75" customHeight="1">
      <c r="A83" s="5" t="s">
        <v>121</v>
      </c>
      <c r="B83" s="5" t="s">
        <v>296</v>
      </c>
      <c r="C83" s="5" t="s">
        <v>297</v>
      </c>
      <c r="D83" s="5" t="s">
        <v>944</v>
      </c>
      <c r="E83" s="5" t="s">
        <v>2659</v>
      </c>
      <c r="F83" s="5" t="s">
        <v>2798</v>
      </c>
      <c r="I83" s="5">
        <v>54281.6</v>
      </c>
      <c r="J83" s="5">
        <v>54281.6</v>
      </c>
      <c r="K83" s="5" t="s">
        <v>2799</v>
      </c>
    </row>
    <row r="84" ht="15.75" customHeight="1">
      <c r="A84" s="5" t="s">
        <v>121</v>
      </c>
      <c r="B84" s="5" t="s">
        <v>296</v>
      </c>
      <c r="C84" s="5" t="s">
        <v>297</v>
      </c>
      <c r="D84" s="5" t="s">
        <v>944</v>
      </c>
      <c r="E84" s="5" t="s">
        <v>2702</v>
      </c>
      <c r="F84" s="5" t="s">
        <v>2800</v>
      </c>
      <c r="G84" s="5" t="s">
        <v>944</v>
      </c>
      <c r="H84" s="5" t="s">
        <v>2801</v>
      </c>
      <c r="I84" s="5">
        <v>3382.16</v>
      </c>
      <c r="J84" s="5">
        <v>3382.16</v>
      </c>
      <c r="K84" s="5" t="s">
        <v>2802</v>
      </c>
    </row>
    <row r="85" ht="15.75" customHeight="1">
      <c r="A85" s="5" t="s">
        <v>121</v>
      </c>
      <c r="B85" s="5" t="s">
        <v>304</v>
      </c>
      <c r="C85" s="5" t="s">
        <v>305</v>
      </c>
      <c r="D85" s="5" t="s">
        <v>944</v>
      </c>
      <c r="E85" s="5" t="s">
        <v>939</v>
      </c>
      <c r="F85" s="5" t="s">
        <v>2803</v>
      </c>
      <c r="G85" s="5" t="s">
        <v>944</v>
      </c>
      <c r="H85" s="5" t="s">
        <v>2804</v>
      </c>
      <c r="I85" s="5">
        <v>98072.3</v>
      </c>
      <c r="J85" s="5">
        <v>421200.0</v>
      </c>
      <c r="K85" s="5" t="s">
        <v>2805</v>
      </c>
    </row>
    <row r="86" ht="15.75" customHeight="1">
      <c r="A86" s="5" t="s">
        <v>121</v>
      </c>
      <c r="B86" s="5" t="s">
        <v>304</v>
      </c>
      <c r="C86" s="5" t="s">
        <v>305</v>
      </c>
      <c r="D86" s="5" t="s">
        <v>944</v>
      </c>
      <c r="E86" s="5" t="s">
        <v>2738</v>
      </c>
      <c r="F86" s="5" t="s">
        <v>2803</v>
      </c>
      <c r="G86" s="5" t="s">
        <v>944</v>
      </c>
      <c r="H86" s="5" t="s">
        <v>2806</v>
      </c>
      <c r="I86" s="5">
        <v>18901.05</v>
      </c>
      <c r="J86" s="5">
        <v>39000.0</v>
      </c>
      <c r="K86" s="5" t="s">
        <v>2805</v>
      </c>
    </row>
    <row r="87" ht="15.75" customHeight="1">
      <c r="A87" s="5" t="s">
        <v>121</v>
      </c>
      <c r="B87" s="5" t="s">
        <v>304</v>
      </c>
      <c r="C87" s="5" t="s">
        <v>305</v>
      </c>
      <c r="D87" s="5" t="s">
        <v>944</v>
      </c>
      <c r="E87" s="5" t="s">
        <v>2807</v>
      </c>
      <c r="F87" s="5" t="s">
        <v>2803</v>
      </c>
      <c r="G87" s="5" t="s">
        <v>944</v>
      </c>
      <c r="H87" s="5" t="s">
        <v>2808</v>
      </c>
      <c r="I87" s="5">
        <v>6972.18</v>
      </c>
      <c r="J87" s="5">
        <v>19500.0</v>
      </c>
      <c r="K87" s="5" t="s">
        <v>2805</v>
      </c>
    </row>
    <row r="88" ht="15.75" customHeight="1">
      <c r="A88" s="5" t="s">
        <v>121</v>
      </c>
      <c r="B88" s="5" t="s">
        <v>313</v>
      </c>
      <c r="C88" s="5" t="s">
        <v>314</v>
      </c>
      <c r="D88" s="5" t="s">
        <v>944</v>
      </c>
      <c r="E88" s="5" t="s">
        <v>2809</v>
      </c>
      <c r="F88" s="5" t="s">
        <v>1051</v>
      </c>
      <c r="G88" s="5" t="s">
        <v>944</v>
      </c>
      <c r="H88" s="5" t="s">
        <v>2810</v>
      </c>
      <c r="I88" s="5">
        <v>17500.04</v>
      </c>
      <c r="J88" s="5">
        <v>50000.0</v>
      </c>
      <c r="K88" s="5" t="s">
        <v>2811</v>
      </c>
    </row>
    <row r="89" ht="15.75" customHeight="1">
      <c r="A89" s="5" t="s">
        <v>121</v>
      </c>
      <c r="B89" s="5" t="s">
        <v>313</v>
      </c>
      <c r="C89" s="5" t="s">
        <v>314</v>
      </c>
      <c r="D89" s="5" t="s">
        <v>944</v>
      </c>
      <c r="E89" s="5" t="s">
        <v>2711</v>
      </c>
      <c r="F89" s="5" t="s">
        <v>318</v>
      </c>
      <c r="G89" s="5" t="s">
        <v>944</v>
      </c>
      <c r="H89" s="5" t="s">
        <v>2812</v>
      </c>
      <c r="I89" s="5">
        <v>0.0</v>
      </c>
      <c r="J89" s="5">
        <v>50000.0</v>
      </c>
      <c r="K89" s="5" t="s">
        <v>2813</v>
      </c>
    </row>
    <row r="90" ht="15.75" customHeight="1">
      <c r="A90" s="5" t="s">
        <v>121</v>
      </c>
      <c r="B90" s="5" t="s">
        <v>313</v>
      </c>
      <c r="C90" s="5" t="s">
        <v>314</v>
      </c>
      <c r="D90" s="5" t="s">
        <v>944</v>
      </c>
      <c r="E90" s="5" t="s">
        <v>939</v>
      </c>
      <c r="F90" s="5" t="s">
        <v>1051</v>
      </c>
      <c r="G90" s="5" t="s">
        <v>944</v>
      </c>
      <c r="H90" s="5" t="s">
        <v>2814</v>
      </c>
      <c r="I90" s="5">
        <v>141896.29</v>
      </c>
      <c r="J90" s="5">
        <v>1500000.0</v>
      </c>
      <c r="K90" s="5" t="s">
        <v>2811</v>
      </c>
    </row>
    <row r="91" ht="15.75" customHeight="1">
      <c r="A91" s="5" t="s">
        <v>121</v>
      </c>
      <c r="B91" s="5" t="s">
        <v>313</v>
      </c>
      <c r="C91" s="5" t="s">
        <v>314</v>
      </c>
      <c r="D91" s="5" t="s">
        <v>944</v>
      </c>
      <c r="E91" s="5" t="s">
        <v>2711</v>
      </c>
      <c r="F91" s="5" t="s">
        <v>318</v>
      </c>
      <c r="G91" s="5" t="s">
        <v>944</v>
      </c>
      <c r="H91" s="5" t="s">
        <v>2815</v>
      </c>
      <c r="I91" s="5">
        <v>0.0</v>
      </c>
      <c r="J91" s="5">
        <v>50000.0</v>
      </c>
      <c r="K91" s="5" t="s">
        <v>2813</v>
      </c>
    </row>
    <row r="92" ht="15.75" customHeight="1">
      <c r="A92" s="5" t="s">
        <v>121</v>
      </c>
      <c r="B92" s="5" t="s">
        <v>313</v>
      </c>
      <c r="C92" s="5" t="s">
        <v>314</v>
      </c>
      <c r="D92" s="5" t="s">
        <v>944</v>
      </c>
      <c r="E92" s="5" t="s">
        <v>2711</v>
      </c>
      <c r="F92" s="5" t="s">
        <v>88</v>
      </c>
      <c r="G92" s="5" t="s">
        <v>944</v>
      </c>
      <c r="H92" s="5" t="s">
        <v>2816</v>
      </c>
      <c r="I92" s="5">
        <v>513144.72</v>
      </c>
      <c r="J92" s="5">
        <v>2000000.0</v>
      </c>
      <c r="K92" s="5" t="s">
        <v>2811</v>
      </c>
    </row>
    <row r="93" ht="15.75" customHeight="1">
      <c r="A93" s="5" t="s">
        <v>121</v>
      </c>
      <c r="B93" s="5" t="s">
        <v>313</v>
      </c>
      <c r="C93" s="5" t="s">
        <v>314</v>
      </c>
      <c r="D93" s="5" t="s">
        <v>944</v>
      </c>
      <c r="E93" s="5" t="s">
        <v>2711</v>
      </c>
      <c r="F93" s="5" t="s">
        <v>318</v>
      </c>
      <c r="G93" s="5" t="s">
        <v>944</v>
      </c>
      <c r="H93" s="5" t="s">
        <v>2817</v>
      </c>
      <c r="I93" s="5">
        <v>0.0</v>
      </c>
      <c r="J93" s="5">
        <v>100000.0</v>
      </c>
      <c r="K93" s="5" t="s">
        <v>2813</v>
      </c>
    </row>
    <row r="94" ht="15.75" customHeight="1">
      <c r="A94" s="5" t="s">
        <v>121</v>
      </c>
      <c r="B94" s="5" t="s">
        <v>313</v>
      </c>
      <c r="C94" s="5" t="s">
        <v>314</v>
      </c>
      <c r="D94" s="5" t="s">
        <v>944</v>
      </c>
      <c r="E94" s="5" t="s">
        <v>2711</v>
      </c>
      <c r="F94" s="5" t="s">
        <v>318</v>
      </c>
      <c r="G94" s="5" t="s">
        <v>944</v>
      </c>
      <c r="H94" s="5" t="s">
        <v>2818</v>
      </c>
      <c r="I94" s="5">
        <v>0.0</v>
      </c>
      <c r="J94" s="5">
        <v>100000.0</v>
      </c>
      <c r="K94" s="5" t="s">
        <v>2813</v>
      </c>
    </row>
    <row r="95" ht="15.75" customHeight="1">
      <c r="A95" s="5" t="s">
        <v>121</v>
      </c>
      <c r="B95" s="5" t="s">
        <v>313</v>
      </c>
      <c r="C95" s="5" t="s">
        <v>314</v>
      </c>
      <c r="D95" s="5" t="s">
        <v>944</v>
      </c>
      <c r="E95" s="5" t="s">
        <v>2819</v>
      </c>
      <c r="F95" s="5" t="s">
        <v>1051</v>
      </c>
      <c r="G95" s="5" t="s">
        <v>944</v>
      </c>
      <c r="H95" s="5" t="s">
        <v>2820</v>
      </c>
      <c r="I95" s="5">
        <v>17510.62</v>
      </c>
      <c r="J95" s="5">
        <v>40000.0</v>
      </c>
      <c r="K95" s="5" t="s">
        <v>2811</v>
      </c>
    </row>
    <row r="96" ht="15.75" customHeight="1">
      <c r="A96" s="5" t="s">
        <v>121</v>
      </c>
      <c r="B96" s="5" t="s">
        <v>313</v>
      </c>
      <c r="C96" s="5" t="s">
        <v>314</v>
      </c>
      <c r="D96" s="5" t="s">
        <v>944</v>
      </c>
      <c r="E96" s="5" t="s">
        <v>2821</v>
      </c>
      <c r="F96" s="5" t="s">
        <v>1051</v>
      </c>
      <c r="G96" s="5" t="s">
        <v>944</v>
      </c>
      <c r="H96" s="5" t="s">
        <v>2822</v>
      </c>
      <c r="I96" s="5">
        <v>6685.96</v>
      </c>
      <c r="J96" s="5">
        <v>50000.0</v>
      </c>
      <c r="K96" s="5" t="s">
        <v>2811</v>
      </c>
    </row>
    <row r="97" ht="15.75" customHeight="1">
      <c r="A97" s="5" t="s">
        <v>121</v>
      </c>
      <c r="B97" s="5" t="s">
        <v>321</v>
      </c>
      <c r="C97" s="5" t="s">
        <v>322</v>
      </c>
      <c r="D97" s="5" t="s">
        <v>1560</v>
      </c>
    </row>
    <row r="98" ht="15.75" customHeight="1">
      <c r="A98" s="5" t="s">
        <v>121</v>
      </c>
      <c r="B98" s="5" t="s">
        <v>330</v>
      </c>
      <c r="C98" s="5" t="s">
        <v>331</v>
      </c>
      <c r="D98" s="5" t="s">
        <v>1560</v>
      </c>
    </row>
    <row r="99" ht="15.75" customHeight="1">
      <c r="A99" s="5" t="s">
        <v>121</v>
      </c>
      <c r="B99" s="5" t="s">
        <v>338</v>
      </c>
      <c r="C99" s="5" t="s">
        <v>339</v>
      </c>
      <c r="D99" s="5" t="s">
        <v>944</v>
      </c>
      <c r="E99" s="5" t="s">
        <v>2606</v>
      </c>
      <c r="F99" s="5" t="s">
        <v>2823</v>
      </c>
      <c r="G99" s="5" t="s">
        <v>944</v>
      </c>
      <c r="H99" s="5" t="s">
        <v>2824</v>
      </c>
      <c r="I99" s="5">
        <v>0.0</v>
      </c>
      <c r="J99" s="5">
        <v>395606.0</v>
      </c>
      <c r="K99" s="5" t="s">
        <v>2825</v>
      </c>
    </row>
    <row r="100" ht="15.75" customHeight="1">
      <c r="A100" s="5" t="s">
        <v>121</v>
      </c>
      <c r="B100" s="5" t="s">
        <v>338</v>
      </c>
      <c r="C100" s="5" t="s">
        <v>339</v>
      </c>
      <c r="D100" s="5" t="s">
        <v>944</v>
      </c>
      <c r="E100" s="5" t="s">
        <v>2606</v>
      </c>
      <c r="F100" s="5" t="s">
        <v>2826</v>
      </c>
      <c r="G100" s="5" t="s">
        <v>944</v>
      </c>
      <c r="H100" s="5" t="s">
        <v>2827</v>
      </c>
      <c r="I100" s="5">
        <v>0.0</v>
      </c>
      <c r="J100" s="5">
        <v>43218.0</v>
      </c>
      <c r="K100" s="5" t="s">
        <v>2825</v>
      </c>
    </row>
    <row r="101" ht="15.75" customHeight="1">
      <c r="A101" s="5" t="s">
        <v>121</v>
      </c>
      <c r="B101" s="5" t="s">
        <v>338</v>
      </c>
      <c r="C101" s="5" t="s">
        <v>339</v>
      </c>
      <c r="D101" s="5" t="s">
        <v>944</v>
      </c>
      <c r="E101" s="5" t="s">
        <v>2606</v>
      </c>
      <c r="F101" s="5" t="s">
        <v>2828</v>
      </c>
      <c r="G101" s="5" t="s">
        <v>944</v>
      </c>
      <c r="H101" s="5" t="s">
        <v>2829</v>
      </c>
      <c r="I101" s="5">
        <v>35927.69</v>
      </c>
      <c r="J101" s="5">
        <v>36000.0</v>
      </c>
    </row>
    <row r="102" ht="15.75" customHeight="1">
      <c r="A102" s="5" t="s">
        <v>121</v>
      </c>
      <c r="B102" s="5" t="s">
        <v>338</v>
      </c>
      <c r="C102" s="5" t="s">
        <v>339</v>
      </c>
      <c r="D102" s="5" t="s">
        <v>944</v>
      </c>
      <c r="E102" s="5" t="s">
        <v>2606</v>
      </c>
      <c r="F102" s="5" t="s">
        <v>2830</v>
      </c>
      <c r="G102" s="5" t="s">
        <v>944</v>
      </c>
      <c r="H102" s="5" t="s">
        <v>2831</v>
      </c>
      <c r="I102" s="5">
        <v>0.0</v>
      </c>
      <c r="J102" s="5">
        <v>14000.0</v>
      </c>
      <c r="K102" s="5" t="s">
        <v>2832</v>
      </c>
    </row>
    <row r="103" ht="15.75" customHeight="1">
      <c r="A103" s="5" t="s">
        <v>121</v>
      </c>
      <c r="B103" s="5" t="s">
        <v>348</v>
      </c>
      <c r="C103" s="5" t="s">
        <v>349</v>
      </c>
      <c r="D103" s="5" t="s">
        <v>1560</v>
      </c>
    </row>
    <row r="104" ht="15.75" customHeight="1">
      <c r="A104" s="5" t="s">
        <v>121</v>
      </c>
      <c r="B104" s="5" t="s">
        <v>355</v>
      </c>
      <c r="C104" s="5" t="s">
        <v>356</v>
      </c>
      <c r="D104" s="5" t="s">
        <v>1560</v>
      </c>
    </row>
    <row r="105" ht="15.75" customHeight="1">
      <c r="A105" s="5" t="s">
        <v>121</v>
      </c>
      <c r="B105" s="5" t="s">
        <v>365</v>
      </c>
      <c r="C105" s="5" t="s">
        <v>366</v>
      </c>
      <c r="D105" s="5" t="s">
        <v>944</v>
      </c>
      <c r="E105" s="5" t="s">
        <v>2606</v>
      </c>
      <c r="F105" s="5" t="s">
        <v>2833</v>
      </c>
      <c r="G105" s="5" t="s">
        <v>944</v>
      </c>
      <c r="H105" s="5" t="s">
        <v>2834</v>
      </c>
      <c r="I105" s="5">
        <v>273148.62</v>
      </c>
      <c r="J105" s="5">
        <v>3100000.0</v>
      </c>
      <c r="K105" s="5" t="s">
        <v>2835</v>
      </c>
    </row>
    <row r="106" ht="15.75" customHeight="1">
      <c r="A106" s="5" t="s">
        <v>121</v>
      </c>
      <c r="B106" s="5" t="s">
        <v>365</v>
      </c>
      <c r="C106" s="5" t="s">
        <v>366</v>
      </c>
      <c r="D106" s="5" t="s">
        <v>944</v>
      </c>
      <c r="E106" s="5" t="s">
        <v>2613</v>
      </c>
      <c r="F106" s="5" t="s">
        <v>2836</v>
      </c>
      <c r="G106" s="5" t="s">
        <v>944</v>
      </c>
      <c r="H106" s="5" t="s">
        <v>2837</v>
      </c>
      <c r="I106" s="5">
        <v>22650.6</v>
      </c>
      <c r="J106" s="5">
        <v>600000.0</v>
      </c>
      <c r="K106" s="5" t="s">
        <v>2838</v>
      </c>
    </row>
    <row r="107" ht="15.75" customHeight="1">
      <c r="A107" s="5" t="s">
        <v>121</v>
      </c>
      <c r="B107" s="5" t="s">
        <v>365</v>
      </c>
      <c r="C107" s="5" t="s">
        <v>366</v>
      </c>
      <c r="D107" s="5" t="s">
        <v>944</v>
      </c>
      <c r="E107" s="5" t="s">
        <v>2613</v>
      </c>
      <c r="F107" s="5" t="s">
        <v>2839</v>
      </c>
      <c r="G107" s="5" t="s">
        <v>944</v>
      </c>
      <c r="H107" s="5" t="s">
        <v>2840</v>
      </c>
      <c r="I107" s="5">
        <v>36136.69</v>
      </c>
      <c r="J107" s="5">
        <v>550000.0</v>
      </c>
      <c r="K107" s="5" t="s">
        <v>2838</v>
      </c>
    </row>
    <row r="108" ht="15.75" customHeight="1">
      <c r="A108" s="5" t="s">
        <v>121</v>
      </c>
      <c r="B108" s="5" t="s">
        <v>365</v>
      </c>
      <c r="C108" s="5" t="s">
        <v>366</v>
      </c>
      <c r="D108" s="5" t="s">
        <v>944</v>
      </c>
      <c r="E108" s="5" t="s">
        <v>2613</v>
      </c>
      <c r="F108" s="5" t="s">
        <v>2841</v>
      </c>
      <c r="G108" s="5" t="s">
        <v>944</v>
      </c>
      <c r="H108" s="5" t="s">
        <v>2842</v>
      </c>
      <c r="I108" s="5">
        <v>1766097.97</v>
      </c>
      <c r="J108" s="5">
        <v>9400000.0</v>
      </c>
      <c r="K108" s="5" t="s">
        <v>2835</v>
      </c>
    </row>
    <row r="109" ht="15.75" customHeight="1">
      <c r="A109" s="5" t="s">
        <v>121</v>
      </c>
      <c r="B109" s="5" t="s">
        <v>365</v>
      </c>
      <c r="C109" s="5" t="s">
        <v>366</v>
      </c>
      <c r="D109" s="5" t="s">
        <v>944</v>
      </c>
      <c r="E109" s="5" t="s">
        <v>2606</v>
      </c>
      <c r="F109" s="5" t="s">
        <v>2843</v>
      </c>
      <c r="G109" s="5" t="s">
        <v>944</v>
      </c>
      <c r="H109" s="5" t="s">
        <v>2844</v>
      </c>
      <c r="I109" s="5">
        <v>434253.41</v>
      </c>
      <c r="J109" s="5">
        <v>2050000.0</v>
      </c>
      <c r="K109" s="5" t="s">
        <v>2845</v>
      </c>
    </row>
    <row r="110" ht="15.75" customHeight="1">
      <c r="A110" s="5" t="s">
        <v>121</v>
      </c>
      <c r="B110" s="5" t="s">
        <v>365</v>
      </c>
      <c r="C110" s="5" t="s">
        <v>366</v>
      </c>
      <c r="D110" s="5" t="s">
        <v>944</v>
      </c>
      <c r="E110" s="5" t="s">
        <v>2606</v>
      </c>
      <c r="F110" s="5" t="s">
        <v>2846</v>
      </c>
      <c r="G110" s="5" t="s">
        <v>944</v>
      </c>
      <c r="H110" s="5" t="s">
        <v>2847</v>
      </c>
      <c r="I110" s="5">
        <v>114913.5</v>
      </c>
      <c r="J110" s="5">
        <v>2200000.0</v>
      </c>
      <c r="K110" s="5" t="s">
        <v>2835</v>
      </c>
    </row>
    <row r="111" ht="15.75" customHeight="1">
      <c r="A111" s="5" t="s">
        <v>121</v>
      </c>
      <c r="B111" s="5" t="s">
        <v>365</v>
      </c>
      <c r="C111" s="5" t="s">
        <v>366</v>
      </c>
      <c r="D111" s="5" t="s">
        <v>944</v>
      </c>
      <c r="E111" s="5" t="s">
        <v>2606</v>
      </c>
      <c r="F111" s="5" t="s">
        <v>2848</v>
      </c>
      <c r="G111" s="5" t="s">
        <v>944</v>
      </c>
      <c r="H111" s="5" t="s">
        <v>2849</v>
      </c>
      <c r="I111" s="5">
        <v>108113.12</v>
      </c>
      <c r="J111" s="5">
        <v>550000.0</v>
      </c>
      <c r="K111" s="5" t="s">
        <v>2845</v>
      </c>
    </row>
    <row r="112" ht="15.75" customHeight="1">
      <c r="A112" s="5" t="s">
        <v>121</v>
      </c>
      <c r="B112" s="5" t="s">
        <v>375</v>
      </c>
      <c r="C112" s="5" t="s">
        <v>376</v>
      </c>
      <c r="D112" s="5" t="s">
        <v>944</v>
      </c>
      <c r="E112" s="5" t="s">
        <v>2606</v>
      </c>
      <c r="F112" s="5" t="s">
        <v>2850</v>
      </c>
      <c r="G112" s="5" t="s">
        <v>944</v>
      </c>
      <c r="H112" s="5" t="s">
        <v>2851</v>
      </c>
      <c r="I112" s="5">
        <v>0.0</v>
      </c>
      <c r="J112" s="5">
        <v>0.0</v>
      </c>
      <c r="K112" s="5" t="s">
        <v>2852</v>
      </c>
    </row>
    <row r="113" ht="15.75" customHeight="1">
      <c r="A113" s="5" t="s">
        <v>121</v>
      </c>
      <c r="B113" s="5" t="s">
        <v>375</v>
      </c>
      <c r="C113" s="5" t="s">
        <v>376</v>
      </c>
      <c r="D113" s="5" t="s">
        <v>944</v>
      </c>
      <c r="E113" s="5" t="s">
        <v>2606</v>
      </c>
      <c r="F113" s="5" t="s">
        <v>2853</v>
      </c>
      <c r="G113" s="5" t="s">
        <v>944</v>
      </c>
      <c r="H113" s="5" t="s">
        <v>2854</v>
      </c>
      <c r="I113" s="5">
        <v>0.0</v>
      </c>
      <c r="J113" s="5">
        <v>0.0</v>
      </c>
      <c r="K113" s="5" t="s">
        <v>2855</v>
      </c>
    </row>
    <row r="114" ht="15.75" customHeight="1">
      <c r="A114" s="5" t="s">
        <v>121</v>
      </c>
      <c r="B114" s="5" t="s">
        <v>375</v>
      </c>
      <c r="C114" s="5" t="s">
        <v>376</v>
      </c>
      <c r="D114" s="5" t="s">
        <v>944</v>
      </c>
      <c r="E114" s="5" t="s">
        <v>2606</v>
      </c>
      <c r="F114" s="5" t="s">
        <v>2856</v>
      </c>
      <c r="G114" s="5" t="s">
        <v>944</v>
      </c>
      <c r="H114" s="5" t="s">
        <v>2857</v>
      </c>
      <c r="I114" s="5">
        <v>149263.59</v>
      </c>
      <c r="J114" s="5">
        <v>149263.59</v>
      </c>
      <c r="K114" s="5" t="s">
        <v>2858</v>
      </c>
    </row>
    <row r="115" ht="15.75" customHeight="1">
      <c r="A115" s="5" t="s">
        <v>121</v>
      </c>
      <c r="B115" s="5" t="s">
        <v>375</v>
      </c>
      <c r="C115" s="5" t="s">
        <v>376</v>
      </c>
      <c r="D115" s="5" t="s">
        <v>944</v>
      </c>
      <c r="E115" s="5" t="s">
        <v>2606</v>
      </c>
      <c r="F115" s="5" t="s">
        <v>2850</v>
      </c>
      <c r="G115" s="5" t="s">
        <v>944</v>
      </c>
      <c r="H115" s="5" t="s">
        <v>2851</v>
      </c>
      <c r="I115" s="5">
        <v>0.0</v>
      </c>
      <c r="J115" s="5">
        <v>0.0</v>
      </c>
      <c r="K115" s="5" t="s">
        <v>2852</v>
      </c>
    </row>
    <row r="116" ht="15.75" customHeight="1">
      <c r="A116" s="5" t="s">
        <v>121</v>
      </c>
      <c r="B116" s="5" t="s">
        <v>375</v>
      </c>
      <c r="C116" s="5" t="s">
        <v>376</v>
      </c>
      <c r="D116" s="5" t="s">
        <v>944</v>
      </c>
      <c r="E116" s="5" t="s">
        <v>2606</v>
      </c>
      <c r="F116" s="5" t="s">
        <v>2859</v>
      </c>
      <c r="G116" s="5" t="s">
        <v>944</v>
      </c>
      <c r="H116" s="5" t="s">
        <v>2860</v>
      </c>
      <c r="I116" s="5">
        <v>206242.52</v>
      </c>
      <c r="J116" s="5">
        <v>206242.52</v>
      </c>
      <c r="K116" s="5" t="s">
        <v>2861</v>
      </c>
    </row>
    <row r="117" ht="15.75" customHeight="1">
      <c r="A117" s="5" t="s">
        <v>121</v>
      </c>
      <c r="B117" s="5" t="s">
        <v>375</v>
      </c>
      <c r="C117" s="5" t="s">
        <v>376</v>
      </c>
      <c r="D117" s="5" t="s">
        <v>944</v>
      </c>
      <c r="E117" s="5" t="s">
        <v>2606</v>
      </c>
      <c r="F117" s="5" t="s">
        <v>2862</v>
      </c>
      <c r="G117" s="5" t="s">
        <v>944</v>
      </c>
      <c r="H117" s="5" t="s">
        <v>2863</v>
      </c>
      <c r="I117" s="5">
        <v>0.0</v>
      </c>
      <c r="J117" s="5">
        <v>0.0</v>
      </c>
      <c r="K117" s="5" t="s">
        <v>2864</v>
      </c>
    </row>
    <row r="118" ht="15.75" customHeight="1">
      <c r="A118" s="5" t="s">
        <v>121</v>
      </c>
      <c r="B118" s="5" t="s">
        <v>375</v>
      </c>
      <c r="C118" s="5" t="s">
        <v>376</v>
      </c>
      <c r="D118" s="5" t="s">
        <v>944</v>
      </c>
      <c r="E118" s="5" t="s">
        <v>2606</v>
      </c>
      <c r="F118" s="5" t="s">
        <v>2859</v>
      </c>
      <c r="G118" s="5" t="s">
        <v>944</v>
      </c>
      <c r="H118" s="5" t="s">
        <v>2860</v>
      </c>
      <c r="I118" s="5">
        <v>206242.52</v>
      </c>
      <c r="J118" s="5">
        <v>206242.52</v>
      </c>
      <c r="K118" s="5" t="s">
        <v>2861</v>
      </c>
    </row>
    <row r="119" ht="15.75" customHeight="1">
      <c r="A119" s="5" t="s">
        <v>121</v>
      </c>
      <c r="B119" s="5" t="s">
        <v>375</v>
      </c>
      <c r="C119" s="5" t="s">
        <v>376</v>
      </c>
      <c r="D119" s="5" t="s">
        <v>944</v>
      </c>
      <c r="E119" s="5" t="s">
        <v>2606</v>
      </c>
      <c r="F119" s="5" t="s">
        <v>2865</v>
      </c>
      <c r="G119" s="5" t="s">
        <v>944</v>
      </c>
      <c r="H119" s="5" t="s">
        <v>2866</v>
      </c>
      <c r="I119" s="5">
        <v>54386.56</v>
      </c>
      <c r="J119" s="5">
        <v>54386.56</v>
      </c>
      <c r="K119" s="5" t="s">
        <v>2867</v>
      </c>
    </row>
    <row r="120" ht="15.75" customHeight="1">
      <c r="A120" s="5" t="s">
        <v>121</v>
      </c>
      <c r="B120" s="5" t="s">
        <v>375</v>
      </c>
      <c r="C120" s="5" t="s">
        <v>376</v>
      </c>
      <c r="D120" s="5" t="s">
        <v>944</v>
      </c>
      <c r="E120" s="5" t="s">
        <v>2606</v>
      </c>
      <c r="F120" s="5" t="s">
        <v>2853</v>
      </c>
      <c r="G120" s="5" t="s">
        <v>944</v>
      </c>
      <c r="H120" s="5" t="s">
        <v>2854</v>
      </c>
      <c r="I120" s="5">
        <v>0.0</v>
      </c>
      <c r="J120" s="5">
        <v>0.0</v>
      </c>
      <c r="K120" s="5" t="s">
        <v>2855</v>
      </c>
    </row>
    <row r="121" ht="15.75" customHeight="1">
      <c r="A121" s="5" t="s">
        <v>121</v>
      </c>
      <c r="B121" s="5" t="s">
        <v>375</v>
      </c>
      <c r="C121" s="5" t="s">
        <v>376</v>
      </c>
      <c r="D121" s="5" t="s">
        <v>944</v>
      </c>
      <c r="E121" s="5" t="s">
        <v>2606</v>
      </c>
      <c r="F121" s="5" t="s">
        <v>2856</v>
      </c>
      <c r="G121" s="5" t="s">
        <v>944</v>
      </c>
      <c r="H121" s="5" t="s">
        <v>2857</v>
      </c>
      <c r="I121" s="5">
        <v>149263.59</v>
      </c>
      <c r="J121" s="5">
        <v>149263.59</v>
      </c>
      <c r="K121" s="5" t="s">
        <v>2858</v>
      </c>
    </row>
    <row r="122" ht="15.75" customHeight="1">
      <c r="A122" s="5" t="s">
        <v>121</v>
      </c>
      <c r="B122" s="5" t="s">
        <v>375</v>
      </c>
      <c r="C122" s="5" t="s">
        <v>376</v>
      </c>
      <c r="D122" s="5" t="s">
        <v>944</v>
      </c>
      <c r="E122" s="5" t="s">
        <v>2606</v>
      </c>
      <c r="F122" s="5" t="s">
        <v>2865</v>
      </c>
      <c r="G122" s="5" t="s">
        <v>944</v>
      </c>
      <c r="H122" s="5" t="s">
        <v>2866</v>
      </c>
      <c r="I122" s="5">
        <v>54386.56</v>
      </c>
      <c r="J122" s="5">
        <v>54386.56</v>
      </c>
      <c r="K122" s="5" t="s">
        <v>2867</v>
      </c>
    </row>
    <row r="123" ht="15.75" customHeight="1">
      <c r="A123" s="5" t="s">
        <v>121</v>
      </c>
      <c r="B123" s="5" t="s">
        <v>375</v>
      </c>
      <c r="C123" s="5" t="s">
        <v>376</v>
      </c>
      <c r="D123" s="5" t="s">
        <v>944</v>
      </c>
      <c r="E123" s="5" t="s">
        <v>2606</v>
      </c>
      <c r="F123" s="5" t="s">
        <v>2868</v>
      </c>
      <c r="G123" s="5" t="s">
        <v>944</v>
      </c>
      <c r="H123" s="5" t="s">
        <v>2869</v>
      </c>
      <c r="I123" s="5">
        <v>0.0</v>
      </c>
      <c r="J123" s="5">
        <v>0.0</v>
      </c>
      <c r="K123" s="5" t="s">
        <v>2870</v>
      </c>
    </row>
    <row r="124" ht="15.75" customHeight="1">
      <c r="A124" s="5" t="s">
        <v>121</v>
      </c>
      <c r="B124" s="5" t="s">
        <v>375</v>
      </c>
      <c r="C124" s="5" t="s">
        <v>376</v>
      </c>
      <c r="D124" s="5" t="s">
        <v>944</v>
      </c>
      <c r="E124" s="5" t="s">
        <v>2606</v>
      </c>
      <c r="F124" s="5" t="s">
        <v>2862</v>
      </c>
      <c r="G124" s="5" t="s">
        <v>944</v>
      </c>
      <c r="H124" s="5" t="s">
        <v>2863</v>
      </c>
      <c r="I124" s="5">
        <v>0.0</v>
      </c>
      <c r="J124" s="5">
        <v>0.0</v>
      </c>
      <c r="K124" s="5" t="s">
        <v>2864</v>
      </c>
    </row>
    <row r="125" ht="15.75" customHeight="1">
      <c r="A125" s="5" t="s">
        <v>121</v>
      </c>
      <c r="B125" s="5" t="s">
        <v>375</v>
      </c>
      <c r="C125" s="5" t="s">
        <v>376</v>
      </c>
      <c r="D125" s="5" t="s">
        <v>944</v>
      </c>
      <c r="E125" s="5" t="s">
        <v>2606</v>
      </c>
      <c r="F125" s="5" t="s">
        <v>2868</v>
      </c>
      <c r="G125" s="5" t="s">
        <v>944</v>
      </c>
      <c r="H125" s="5" t="s">
        <v>2869</v>
      </c>
      <c r="I125" s="5">
        <v>0.0</v>
      </c>
      <c r="J125" s="5">
        <v>0.0</v>
      </c>
      <c r="K125" s="5" t="s">
        <v>2870</v>
      </c>
    </row>
    <row r="126" ht="15.75" customHeight="1">
      <c r="A126" s="5" t="s">
        <v>121</v>
      </c>
      <c r="B126" s="5" t="s">
        <v>387</v>
      </c>
      <c r="C126" s="5" t="s">
        <v>388</v>
      </c>
      <c r="D126" s="5" t="s">
        <v>944</v>
      </c>
      <c r="E126" s="5" t="s">
        <v>2613</v>
      </c>
      <c r="F126" s="5" t="s">
        <v>2871</v>
      </c>
      <c r="G126" s="5" t="s">
        <v>944</v>
      </c>
      <c r="H126" s="5" t="s">
        <v>2872</v>
      </c>
      <c r="I126" s="5">
        <v>126650.0</v>
      </c>
      <c r="J126" s="5">
        <v>126650.0</v>
      </c>
      <c r="K126" s="5" t="s">
        <v>2873</v>
      </c>
    </row>
    <row r="127" ht="15.75" customHeight="1">
      <c r="A127" s="5" t="s">
        <v>121</v>
      </c>
      <c r="B127" s="5" t="s">
        <v>387</v>
      </c>
      <c r="C127" s="5" t="s">
        <v>388</v>
      </c>
      <c r="D127" s="5" t="s">
        <v>944</v>
      </c>
      <c r="E127" s="5" t="s">
        <v>2606</v>
      </c>
      <c r="F127" s="5" t="s">
        <v>2874</v>
      </c>
      <c r="G127" s="5" t="s">
        <v>944</v>
      </c>
      <c r="H127" s="5" t="s">
        <v>2875</v>
      </c>
      <c r="I127" s="5">
        <v>52820.76</v>
      </c>
      <c r="J127" s="5">
        <v>265278.0</v>
      </c>
      <c r="K127" s="5" t="s">
        <v>2876</v>
      </c>
    </row>
    <row r="128" ht="15.75" customHeight="1">
      <c r="A128" s="5" t="s">
        <v>121</v>
      </c>
      <c r="B128" s="5" t="s">
        <v>395</v>
      </c>
      <c r="C128" s="5" t="s">
        <v>396</v>
      </c>
      <c r="D128" s="5" t="s">
        <v>1560</v>
      </c>
    </row>
    <row r="129" ht="15.75" customHeight="1">
      <c r="A129" s="5" t="s">
        <v>121</v>
      </c>
      <c r="B129" s="5" t="s">
        <v>405</v>
      </c>
      <c r="C129" s="5" t="s">
        <v>406</v>
      </c>
      <c r="D129" s="5" t="s">
        <v>944</v>
      </c>
      <c r="E129" s="5" t="s">
        <v>2877</v>
      </c>
      <c r="F129" s="5" t="s">
        <v>2878</v>
      </c>
      <c r="G129" s="5" t="s">
        <v>944</v>
      </c>
      <c r="H129" s="5" t="s">
        <v>2879</v>
      </c>
      <c r="I129" s="5">
        <v>45318.0</v>
      </c>
      <c r="J129" s="5">
        <v>150000.0</v>
      </c>
      <c r="K129" s="5" t="s">
        <v>2880</v>
      </c>
    </row>
    <row r="130" ht="15.75" customHeight="1">
      <c r="A130" s="5" t="s">
        <v>121</v>
      </c>
      <c r="B130" s="5" t="s">
        <v>405</v>
      </c>
      <c r="C130" s="5" t="s">
        <v>406</v>
      </c>
      <c r="D130" s="5" t="s">
        <v>944</v>
      </c>
      <c r="E130" s="5" t="s">
        <v>2877</v>
      </c>
      <c r="F130" s="5" t="s">
        <v>2881</v>
      </c>
      <c r="G130" s="5" t="s">
        <v>944</v>
      </c>
      <c r="H130" s="5" t="s">
        <v>2882</v>
      </c>
      <c r="I130" s="5">
        <v>295842.7</v>
      </c>
      <c r="J130" s="5">
        <v>400000.0</v>
      </c>
      <c r="K130" s="5" t="s">
        <v>2880</v>
      </c>
    </row>
    <row r="131" ht="15.75" customHeight="1">
      <c r="A131" s="5" t="s">
        <v>121</v>
      </c>
      <c r="B131" s="5" t="s">
        <v>405</v>
      </c>
      <c r="C131" s="5" t="s">
        <v>406</v>
      </c>
      <c r="D131" s="5" t="s">
        <v>944</v>
      </c>
      <c r="E131" s="5" t="s">
        <v>2877</v>
      </c>
      <c r="F131" s="5" t="s">
        <v>2883</v>
      </c>
      <c r="G131" s="5" t="s">
        <v>944</v>
      </c>
      <c r="H131" s="5" t="s">
        <v>2884</v>
      </c>
      <c r="I131" s="5">
        <v>106370.21</v>
      </c>
      <c r="J131" s="5">
        <v>300447.47</v>
      </c>
      <c r="K131" s="5" t="s">
        <v>2885</v>
      </c>
    </row>
    <row r="132" ht="15.75" customHeight="1">
      <c r="A132" s="5" t="s">
        <v>121</v>
      </c>
      <c r="B132" s="5" t="s">
        <v>405</v>
      </c>
      <c r="C132" s="5" t="s">
        <v>406</v>
      </c>
      <c r="D132" s="5" t="s">
        <v>944</v>
      </c>
      <c r="E132" s="5" t="s">
        <v>2877</v>
      </c>
      <c r="F132" s="5" t="s">
        <v>2886</v>
      </c>
      <c r="G132" s="5" t="s">
        <v>944</v>
      </c>
      <c r="H132" s="5" t="s">
        <v>2887</v>
      </c>
      <c r="I132" s="5">
        <v>102753.46</v>
      </c>
      <c r="J132" s="5">
        <v>200000.0</v>
      </c>
      <c r="K132" s="5" t="s">
        <v>2880</v>
      </c>
    </row>
    <row r="133" ht="15.75" customHeight="1">
      <c r="A133" s="5" t="s">
        <v>121</v>
      </c>
      <c r="B133" s="5" t="s">
        <v>405</v>
      </c>
      <c r="C133" s="5" t="s">
        <v>406</v>
      </c>
      <c r="D133" s="5" t="s">
        <v>944</v>
      </c>
      <c r="E133" s="5" t="s">
        <v>2877</v>
      </c>
      <c r="F133" s="5" t="s">
        <v>2888</v>
      </c>
      <c r="G133" s="5" t="s">
        <v>944</v>
      </c>
      <c r="H133" s="5" t="s">
        <v>2889</v>
      </c>
      <c r="I133" s="5">
        <v>638977.65</v>
      </c>
      <c r="J133" s="5">
        <v>800000.0</v>
      </c>
      <c r="K133" s="5" t="s">
        <v>2890</v>
      </c>
    </row>
    <row r="134" ht="15.75" customHeight="1">
      <c r="A134" s="5" t="s">
        <v>121</v>
      </c>
      <c r="B134" s="5" t="s">
        <v>405</v>
      </c>
      <c r="C134" s="5" t="s">
        <v>406</v>
      </c>
      <c r="D134" s="5" t="s">
        <v>944</v>
      </c>
      <c r="E134" s="5" t="s">
        <v>2891</v>
      </c>
      <c r="F134" s="5" t="s">
        <v>2892</v>
      </c>
      <c r="G134" s="5" t="s">
        <v>944</v>
      </c>
      <c r="H134" s="5" t="s">
        <v>2893</v>
      </c>
      <c r="I134" s="5">
        <v>99334.72</v>
      </c>
      <c r="J134" s="5">
        <v>120000.0</v>
      </c>
      <c r="K134" s="5" t="s">
        <v>2880</v>
      </c>
    </row>
    <row r="135" ht="15.75" customHeight="1">
      <c r="A135" s="5" t="s">
        <v>121</v>
      </c>
      <c r="B135" s="5" t="s">
        <v>405</v>
      </c>
      <c r="C135" s="5" t="s">
        <v>406</v>
      </c>
      <c r="D135" s="5" t="s">
        <v>944</v>
      </c>
      <c r="E135" s="5" t="s">
        <v>2877</v>
      </c>
      <c r="F135" s="5" t="s">
        <v>2894</v>
      </c>
      <c r="G135" s="5" t="s">
        <v>944</v>
      </c>
      <c r="H135" s="5" t="s">
        <v>2895</v>
      </c>
      <c r="I135" s="5">
        <v>196681.18</v>
      </c>
      <c r="J135" s="5">
        <v>400000.0</v>
      </c>
      <c r="K135" s="5" t="s">
        <v>2880</v>
      </c>
    </row>
    <row r="136" ht="15.75" customHeight="1">
      <c r="A136" s="5" t="s">
        <v>121</v>
      </c>
      <c r="B136" s="5" t="s">
        <v>405</v>
      </c>
      <c r="C136" s="5" t="s">
        <v>406</v>
      </c>
      <c r="D136" s="5" t="s">
        <v>944</v>
      </c>
      <c r="E136" s="5" t="s">
        <v>2877</v>
      </c>
      <c r="F136" s="5" t="s">
        <v>2896</v>
      </c>
      <c r="G136" s="5" t="s">
        <v>944</v>
      </c>
      <c r="H136" s="5" t="s">
        <v>2897</v>
      </c>
      <c r="I136" s="5">
        <v>29808.11</v>
      </c>
      <c r="J136" s="5">
        <v>50000.0</v>
      </c>
    </row>
    <row r="137" ht="15.75" customHeight="1">
      <c r="A137" s="5" t="s">
        <v>121</v>
      </c>
      <c r="B137" s="5" t="s">
        <v>412</v>
      </c>
      <c r="C137" s="5" t="s">
        <v>413</v>
      </c>
      <c r="D137" s="5" t="s">
        <v>944</v>
      </c>
      <c r="E137" s="5" t="s">
        <v>2606</v>
      </c>
      <c r="F137" s="5" t="s">
        <v>2898</v>
      </c>
      <c r="G137" s="5" t="s">
        <v>944</v>
      </c>
      <c r="H137" s="5" t="s">
        <v>2899</v>
      </c>
      <c r="I137" s="5">
        <v>0.0</v>
      </c>
      <c r="J137" s="5">
        <v>0.0</v>
      </c>
      <c r="K137" s="5" t="s">
        <v>2900</v>
      </c>
    </row>
    <row r="138" ht="15.75" customHeight="1">
      <c r="A138" s="5" t="s">
        <v>121</v>
      </c>
      <c r="B138" s="5" t="s">
        <v>412</v>
      </c>
      <c r="C138" s="5" t="s">
        <v>413</v>
      </c>
      <c r="D138" s="5" t="s">
        <v>944</v>
      </c>
      <c r="E138" s="5" t="s">
        <v>2606</v>
      </c>
      <c r="F138" s="5" t="s">
        <v>2901</v>
      </c>
      <c r="G138" s="5" t="s">
        <v>944</v>
      </c>
      <c r="H138" s="5" t="s">
        <v>2902</v>
      </c>
      <c r="I138" s="5">
        <v>66975.46</v>
      </c>
      <c r="J138" s="5">
        <v>267000.0</v>
      </c>
      <c r="K138" s="5" t="s">
        <v>2903</v>
      </c>
    </row>
    <row r="139" ht="15.75" customHeight="1">
      <c r="A139" s="5" t="s">
        <v>419</v>
      </c>
      <c r="B139" s="5" t="s">
        <v>420</v>
      </c>
      <c r="C139" s="5" t="s">
        <v>421</v>
      </c>
      <c r="D139" s="5" t="s">
        <v>1560</v>
      </c>
    </row>
    <row r="140" ht="15.75" customHeight="1">
      <c r="A140" s="5" t="s">
        <v>419</v>
      </c>
      <c r="B140" s="5" t="s">
        <v>430</v>
      </c>
      <c r="C140" s="5" t="s">
        <v>431</v>
      </c>
      <c r="D140" s="5" t="s">
        <v>1560</v>
      </c>
    </row>
    <row r="141" ht="15.75" customHeight="1">
      <c r="A141" s="5" t="s">
        <v>419</v>
      </c>
      <c r="B141" s="5" t="s">
        <v>438</v>
      </c>
      <c r="C141" s="5" t="s">
        <v>439</v>
      </c>
      <c r="D141" s="5" t="s">
        <v>944</v>
      </c>
      <c r="E141" s="5" t="s">
        <v>2606</v>
      </c>
      <c r="F141" s="5" t="s">
        <v>2904</v>
      </c>
      <c r="G141" s="5" t="s">
        <v>944</v>
      </c>
      <c r="H141" s="5" t="s">
        <v>2905</v>
      </c>
      <c r="I141" s="5">
        <v>0.0</v>
      </c>
      <c r="J141" s="5">
        <v>104960.0</v>
      </c>
    </row>
    <row r="142" ht="15.75" customHeight="1">
      <c r="A142" s="5" t="s">
        <v>419</v>
      </c>
      <c r="B142" s="5" t="s">
        <v>438</v>
      </c>
      <c r="C142" s="5" t="s">
        <v>439</v>
      </c>
      <c r="D142" s="5" t="s">
        <v>944</v>
      </c>
      <c r="E142" s="5" t="s">
        <v>2606</v>
      </c>
      <c r="F142" s="5" t="s">
        <v>2906</v>
      </c>
      <c r="G142" s="5" t="s">
        <v>944</v>
      </c>
      <c r="H142" s="5" t="s">
        <v>2907</v>
      </c>
      <c r="I142" s="5">
        <v>0.0</v>
      </c>
      <c r="J142" s="5">
        <v>15000.0</v>
      </c>
    </row>
    <row r="143" ht="15.75" customHeight="1">
      <c r="A143" s="5" t="s">
        <v>419</v>
      </c>
      <c r="B143" s="5" t="s">
        <v>446</v>
      </c>
      <c r="C143" s="5" t="s">
        <v>447</v>
      </c>
      <c r="D143" s="5" t="s">
        <v>944</v>
      </c>
      <c r="E143" s="5" t="s">
        <v>2908</v>
      </c>
      <c r="F143" s="5" t="s">
        <v>2909</v>
      </c>
      <c r="I143" s="5">
        <v>24.14</v>
      </c>
      <c r="J143" s="5">
        <v>24.14</v>
      </c>
    </row>
    <row r="144" ht="15.75" customHeight="1">
      <c r="A144" s="5" t="s">
        <v>419</v>
      </c>
      <c r="B144" s="5" t="s">
        <v>446</v>
      </c>
      <c r="C144" s="5" t="s">
        <v>447</v>
      </c>
      <c r="D144" s="5" t="s">
        <v>944</v>
      </c>
      <c r="E144" s="5" t="s">
        <v>2908</v>
      </c>
      <c r="F144" s="5" t="s">
        <v>2910</v>
      </c>
      <c r="I144" s="5">
        <v>372.56</v>
      </c>
      <c r="J144" s="5">
        <v>372.56</v>
      </c>
    </row>
    <row r="145" ht="15.75" customHeight="1">
      <c r="A145" s="5" t="s">
        <v>419</v>
      </c>
      <c r="B145" s="5" t="s">
        <v>446</v>
      </c>
      <c r="C145" s="5" t="s">
        <v>447</v>
      </c>
      <c r="D145" s="5" t="s">
        <v>944</v>
      </c>
      <c r="E145" s="5" t="s">
        <v>2908</v>
      </c>
      <c r="F145" s="5" t="s">
        <v>2911</v>
      </c>
      <c r="I145" s="5">
        <v>1862.94</v>
      </c>
      <c r="J145" s="5">
        <v>1862.94</v>
      </c>
    </row>
    <row r="146" ht="15.75" customHeight="1">
      <c r="A146" s="5" t="s">
        <v>419</v>
      </c>
      <c r="B146" s="5" t="s">
        <v>446</v>
      </c>
      <c r="C146" s="5" t="s">
        <v>447</v>
      </c>
      <c r="D146" s="5" t="s">
        <v>944</v>
      </c>
      <c r="E146" s="5" t="s">
        <v>2908</v>
      </c>
      <c r="F146" s="5" t="s">
        <v>2912</v>
      </c>
      <c r="I146" s="5">
        <v>1414.0</v>
      </c>
      <c r="J146" s="5">
        <v>1414.0</v>
      </c>
    </row>
    <row r="147" ht="15.75" customHeight="1">
      <c r="A147" s="5" t="s">
        <v>419</v>
      </c>
      <c r="B147" s="5" t="s">
        <v>446</v>
      </c>
      <c r="C147" s="5" t="s">
        <v>447</v>
      </c>
      <c r="D147" s="5" t="s">
        <v>944</v>
      </c>
      <c r="E147" s="5" t="s">
        <v>2908</v>
      </c>
      <c r="F147" s="5" t="s">
        <v>2913</v>
      </c>
      <c r="I147" s="5">
        <v>5265.0</v>
      </c>
      <c r="J147" s="5">
        <v>5265.0</v>
      </c>
    </row>
    <row r="148" ht="15.75" customHeight="1">
      <c r="A148" s="5" t="s">
        <v>419</v>
      </c>
      <c r="B148" s="5" t="s">
        <v>446</v>
      </c>
      <c r="C148" s="5" t="s">
        <v>447</v>
      </c>
      <c r="D148" s="5" t="s">
        <v>944</v>
      </c>
      <c r="E148" s="5" t="s">
        <v>2914</v>
      </c>
      <c r="F148" s="5" t="s">
        <v>2915</v>
      </c>
      <c r="I148" s="5">
        <v>5499.0</v>
      </c>
      <c r="J148" s="5">
        <v>5499.0</v>
      </c>
    </row>
    <row r="149" ht="15.75" customHeight="1">
      <c r="A149" s="5" t="s">
        <v>419</v>
      </c>
      <c r="B149" s="5" t="s">
        <v>446</v>
      </c>
      <c r="C149" s="5" t="s">
        <v>447</v>
      </c>
      <c r="D149" s="5" t="s">
        <v>944</v>
      </c>
      <c r="E149" s="5" t="s">
        <v>2908</v>
      </c>
      <c r="F149" s="5" t="s">
        <v>2916</v>
      </c>
      <c r="I149" s="5">
        <v>622.91</v>
      </c>
      <c r="J149" s="5">
        <v>622.91</v>
      </c>
    </row>
    <row r="150" ht="15.75" customHeight="1">
      <c r="A150" s="5" t="s">
        <v>419</v>
      </c>
      <c r="B150" s="5" t="s">
        <v>446</v>
      </c>
      <c r="C150" s="5" t="s">
        <v>447</v>
      </c>
      <c r="D150" s="5" t="s">
        <v>944</v>
      </c>
      <c r="E150" s="5" t="s">
        <v>2914</v>
      </c>
      <c r="F150" s="5" t="s">
        <v>2917</v>
      </c>
      <c r="I150" s="5">
        <v>35513.0</v>
      </c>
      <c r="J150" s="5">
        <v>35513.0</v>
      </c>
    </row>
    <row r="151" ht="15.75" customHeight="1">
      <c r="A151" s="5" t="s">
        <v>419</v>
      </c>
      <c r="B151" s="5" t="s">
        <v>446</v>
      </c>
      <c r="C151" s="5" t="s">
        <v>447</v>
      </c>
      <c r="D151" s="5" t="s">
        <v>944</v>
      </c>
      <c r="E151" s="5" t="s">
        <v>2908</v>
      </c>
      <c r="F151" s="5" t="s">
        <v>2918</v>
      </c>
      <c r="I151" s="5">
        <v>1351.0</v>
      </c>
      <c r="J151" s="5">
        <v>1351.0</v>
      </c>
    </row>
    <row r="152" ht="15.75" customHeight="1">
      <c r="A152" s="5" t="s">
        <v>419</v>
      </c>
      <c r="B152" s="5" t="s">
        <v>446</v>
      </c>
      <c r="C152" s="5" t="s">
        <v>447</v>
      </c>
      <c r="D152" s="5" t="s">
        <v>944</v>
      </c>
      <c r="E152" s="5" t="s">
        <v>2914</v>
      </c>
      <c r="F152" s="5" t="s">
        <v>2919</v>
      </c>
      <c r="I152" s="5">
        <v>4203.0</v>
      </c>
      <c r="J152" s="5">
        <v>4203.0</v>
      </c>
    </row>
    <row r="153" ht="15.75" customHeight="1">
      <c r="A153" s="5" t="s">
        <v>419</v>
      </c>
      <c r="B153" s="5" t="s">
        <v>446</v>
      </c>
      <c r="C153" s="5" t="s">
        <v>447</v>
      </c>
      <c r="D153" s="5" t="s">
        <v>944</v>
      </c>
      <c r="E153" s="5" t="s">
        <v>2908</v>
      </c>
      <c r="F153" s="5" t="s">
        <v>2920</v>
      </c>
      <c r="I153" s="5">
        <v>3143.0</v>
      </c>
      <c r="J153" s="5">
        <v>3143.0</v>
      </c>
    </row>
    <row r="154" ht="15.75" customHeight="1">
      <c r="A154" s="5" t="s">
        <v>419</v>
      </c>
      <c r="B154" s="5" t="s">
        <v>446</v>
      </c>
      <c r="C154" s="5" t="s">
        <v>447</v>
      </c>
      <c r="D154" s="5" t="s">
        <v>944</v>
      </c>
      <c r="E154" s="5" t="s">
        <v>2914</v>
      </c>
      <c r="F154" s="5" t="s">
        <v>2921</v>
      </c>
      <c r="I154" s="5">
        <v>3241.0</v>
      </c>
      <c r="J154" s="5">
        <v>3241.0</v>
      </c>
    </row>
    <row r="155" ht="15.75" customHeight="1">
      <c r="A155" s="5" t="s">
        <v>419</v>
      </c>
      <c r="B155" s="5" t="s">
        <v>453</v>
      </c>
      <c r="C155" s="5" t="s">
        <v>454</v>
      </c>
      <c r="D155" s="5" t="s">
        <v>944</v>
      </c>
      <c r="E155" s="5" t="s">
        <v>2613</v>
      </c>
      <c r="F155" s="5" t="s">
        <v>2922</v>
      </c>
      <c r="G155" s="5" t="s">
        <v>944</v>
      </c>
      <c r="H155" s="5" t="s">
        <v>2923</v>
      </c>
      <c r="I155" s="5">
        <v>70000.0</v>
      </c>
      <c r="J155" s="5">
        <v>100000.0</v>
      </c>
    </row>
    <row r="156" ht="15.75" customHeight="1">
      <c r="A156" s="5" t="s">
        <v>419</v>
      </c>
      <c r="B156" s="5" t="s">
        <v>461</v>
      </c>
      <c r="C156" s="5" t="s">
        <v>462</v>
      </c>
      <c r="D156" s="5" t="s">
        <v>944</v>
      </c>
      <c r="E156" s="5" t="s">
        <v>2613</v>
      </c>
      <c r="F156" s="5" t="s">
        <v>2924</v>
      </c>
      <c r="G156" s="5" t="s">
        <v>944</v>
      </c>
      <c r="H156" s="5" t="s">
        <v>2925</v>
      </c>
      <c r="I156" s="5">
        <v>54.5</v>
      </c>
      <c r="J156" s="5">
        <v>55000.0</v>
      </c>
      <c r="K156" s="5" t="s">
        <v>2926</v>
      </c>
    </row>
    <row r="157" ht="15.75" customHeight="1">
      <c r="A157" s="5" t="s">
        <v>419</v>
      </c>
      <c r="B157" s="5" t="s">
        <v>469</v>
      </c>
      <c r="C157" s="5" t="s">
        <v>470</v>
      </c>
      <c r="D157" s="5" t="s">
        <v>944</v>
      </c>
      <c r="E157" s="5" t="s">
        <v>2606</v>
      </c>
      <c r="F157" s="5" t="s">
        <v>2927</v>
      </c>
      <c r="G157" s="5" t="s">
        <v>944</v>
      </c>
      <c r="H157" s="5" t="s">
        <v>2928</v>
      </c>
      <c r="I157" s="5">
        <v>83.57</v>
      </c>
      <c r="J157" s="5">
        <v>35000.0</v>
      </c>
    </row>
    <row r="158" ht="15.75" customHeight="1">
      <c r="A158" s="5" t="s">
        <v>419</v>
      </c>
      <c r="B158" s="5" t="s">
        <v>469</v>
      </c>
      <c r="C158" s="5" t="s">
        <v>470</v>
      </c>
      <c r="D158" s="5" t="s">
        <v>944</v>
      </c>
      <c r="E158" s="5" t="s">
        <v>2606</v>
      </c>
      <c r="F158" s="5" t="s">
        <v>2929</v>
      </c>
      <c r="G158" s="5" t="s">
        <v>944</v>
      </c>
      <c r="H158" s="5" t="s">
        <v>2930</v>
      </c>
      <c r="I158" s="5">
        <v>104.06</v>
      </c>
      <c r="J158" s="5">
        <v>41000.0</v>
      </c>
    </row>
    <row r="159" ht="15.75" customHeight="1">
      <c r="A159" s="5" t="s">
        <v>419</v>
      </c>
      <c r="B159" s="5" t="s">
        <v>469</v>
      </c>
      <c r="C159" s="5" t="s">
        <v>470</v>
      </c>
      <c r="D159" s="5" t="s">
        <v>944</v>
      </c>
      <c r="E159" s="5" t="s">
        <v>2606</v>
      </c>
      <c r="F159" s="5" t="s">
        <v>2931</v>
      </c>
      <c r="G159" s="5" t="s">
        <v>944</v>
      </c>
      <c r="H159" s="5" t="s">
        <v>2932</v>
      </c>
      <c r="I159" s="5">
        <v>87.0</v>
      </c>
      <c r="J159" s="5">
        <v>15000.0</v>
      </c>
    </row>
    <row r="160" ht="15.75" customHeight="1">
      <c r="A160" s="5" t="s">
        <v>419</v>
      </c>
      <c r="B160" s="5" t="s">
        <v>469</v>
      </c>
      <c r="C160" s="5" t="s">
        <v>470</v>
      </c>
      <c r="D160" s="5" t="s">
        <v>944</v>
      </c>
      <c r="E160" s="5" t="s">
        <v>2606</v>
      </c>
      <c r="F160" s="5" t="s">
        <v>2933</v>
      </c>
      <c r="G160" s="5" t="s">
        <v>944</v>
      </c>
      <c r="H160" s="5" t="s">
        <v>2934</v>
      </c>
      <c r="I160" s="5">
        <v>218.0</v>
      </c>
      <c r="J160" s="5">
        <v>35000.0</v>
      </c>
    </row>
    <row r="161" ht="15.75" customHeight="1">
      <c r="A161" s="5" t="s">
        <v>419</v>
      </c>
      <c r="B161" s="5" t="s">
        <v>469</v>
      </c>
      <c r="C161" s="5" t="s">
        <v>470</v>
      </c>
      <c r="D161" s="5" t="s">
        <v>944</v>
      </c>
      <c r="E161" s="5" t="s">
        <v>2606</v>
      </c>
      <c r="F161" s="5" t="s">
        <v>2780</v>
      </c>
      <c r="G161" s="5" t="s">
        <v>944</v>
      </c>
      <c r="H161" s="5" t="s">
        <v>2935</v>
      </c>
      <c r="I161" s="5">
        <v>66.77</v>
      </c>
      <c r="J161" s="5">
        <v>45000.0</v>
      </c>
    </row>
    <row r="162" ht="15.75" customHeight="1">
      <c r="A162" s="5" t="s">
        <v>419</v>
      </c>
      <c r="B162" s="5" t="s">
        <v>477</v>
      </c>
      <c r="C162" s="5" t="s">
        <v>478</v>
      </c>
      <c r="D162" s="5" t="s">
        <v>1560</v>
      </c>
    </row>
    <row r="163" ht="15.75" customHeight="1">
      <c r="A163" s="5" t="s">
        <v>419</v>
      </c>
      <c r="B163" s="5" t="s">
        <v>477</v>
      </c>
      <c r="C163" s="5" t="s">
        <v>478</v>
      </c>
      <c r="D163" s="5" t="s">
        <v>1560</v>
      </c>
    </row>
    <row r="164" ht="15.75" customHeight="1">
      <c r="A164" s="5" t="s">
        <v>419</v>
      </c>
      <c r="B164" s="5" t="s">
        <v>488</v>
      </c>
      <c r="C164" s="5" t="s">
        <v>489</v>
      </c>
      <c r="D164" s="5" t="s">
        <v>944</v>
      </c>
      <c r="E164" s="5" t="s">
        <v>2606</v>
      </c>
      <c r="F164" s="5" t="s">
        <v>2936</v>
      </c>
      <c r="G164" s="5" t="s">
        <v>944</v>
      </c>
      <c r="H164" s="5" t="s">
        <v>2937</v>
      </c>
      <c r="I164" s="5">
        <v>1800.63</v>
      </c>
      <c r="J164" s="5">
        <v>5000.0</v>
      </c>
      <c r="K164" s="5" t="s">
        <v>2938</v>
      </c>
    </row>
    <row r="165" ht="15.75" customHeight="1">
      <c r="A165" s="5" t="s">
        <v>419</v>
      </c>
      <c r="B165" s="5" t="s">
        <v>488</v>
      </c>
      <c r="C165" s="5" t="s">
        <v>489</v>
      </c>
      <c r="D165" s="5" t="s">
        <v>944</v>
      </c>
      <c r="E165" s="5" t="s">
        <v>2606</v>
      </c>
      <c r="F165" s="5" t="s">
        <v>2939</v>
      </c>
      <c r="G165" s="5" t="s">
        <v>944</v>
      </c>
      <c r="H165" s="5" t="s">
        <v>2940</v>
      </c>
      <c r="I165" s="5">
        <v>2570.67</v>
      </c>
      <c r="J165" s="5">
        <v>13650.0</v>
      </c>
      <c r="K165" s="5" t="s">
        <v>2941</v>
      </c>
    </row>
    <row r="166" ht="15.75" customHeight="1">
      <c r="A166" s="5" t="s">
        <v>419</v>
      </c>
      <c r="B166" s="5" t="s">
        <v>498</v>
      </c>
      <c r="C166" s="5" t="s">
        <v>499</v>
      </c>
      <c r="D166" s="5" t="s">
        <v>1560</v>
      </c>
    </row>
    <row r="167" ht="15.75" customHeight="1">
      <c r="A167" s="5" t="s">
        <v>419</v>
      </c>
      <c r="B167" s="5" t="s">
        <v>507</v>
      </c>
      <c r="C167" s="5" t="s">
        <v>508</v>
      </c>
      <c r="D167" s="5" t="s">
        <v>944</v>
      </c>
      <c r="E167" s="5" t="s">
        <v>2606</v>
      </c>
      <c r="F167" s="5" t="s">
        <v>2942</v>
      </c>
      <c r="G167" s="5" t="s">
        <v>944</v>
      </c>
      <c r="H167" s="5" t="s">
        <v>2943</v>
      </c>
      <c r="I167" s="5">
        <v>80000.0</v>
      </c>
      <c r="J167" s="5">
        <v>80000.0</v>
      </c>
      <c r="K167" s="5" t="s">
        <v>2944</v>
      </c>
    </row>
    <row r="168" ht="15.75" customHeight="1">
      <c r="A168" s="5" t="s">
        <v>419</v>
      </c>
      <c r="B168" s="5" t="s">
        <v>517</v>
      </c>
      <c r="C168" s="5" t="s">
        <v>518</v>
      </c>
      <c r="D168" s="5" t="s">
        <v>944</v>
      </c>
      <c r="E168" s="5" t="s">
        <v>2613</v>
      </c>
      <c r="F168" s="5" t="s">
        <v>2780</v>
      </c>
      <c r="G168" s="5" t="s">
        <v>944</v>
      </c>
      <c r="H168" s="5" t="s">
        <v>2945</v>
      </c>
      <c r="I168" s="5">
        <v>0.0</v>
      </c>
      <c r="J168" s="5">
        <v>10000.0</v>
      </c>
      <c r="K168" s="5" t="s">
        <v>2946</v>
      </c>
    </row>
    <row r="169" ht="15.75" customHeight="1">
      <c r="A169" s="5" t="s">
        <v>419</v>
      </c>
      <c r="B169" s="5" t="s">
        <v>517</v>
      </c>
      <c r="C169" s="5" t="s">
        <v>518</v>
      </c>
      <c r="D169" s="5" t="s">
        <v>944</v>
      </c>
      <c r="E169" s="5" t="s">
        <v>2613</v>
      </c>
      <c r="F169" s="5" t="s">
        <v>2947</v>
      </c>
      <c r="G169" s="5" t="s">
        <v>944</v>
      </c>
      <c r="H169" s="5" t="s">
        <v>2948</v>
      </c>
      <c r="I169" s="5">
        <v>110000.0</v>
      </c>
      <c r="J169" s="5">
        <v>110000.0</v>
      </c>
    </row>
    <row r="170" ht="15.75" customHeight="1">
      <c r="A170" s="5" t="s">
        <v>419</v>
      </c>
      <c r="B170" s="5" t="s">
        <v>517</v>
      </c>
      <c r="C170" s="5" t="s">
        <v>518</v>
      </c>
      <c r="D170" s="5" t="s">
        <v>944</v>
      </c>
      <c r="E170" s="5" t="s">
        <v>2613</v>
      </c>
      <c r="F170" s="5" t="s">
        <v>2780</v>
      </c>
      <c r="G170" s="5" t="s">
        <v>944</v>
      </c>
      <c r="H170" s="5" t="s">
        <v>2949</v>
      </c>
      <c r="I170" s="5">
        <v>0.0</v>
      </c>
      <c r="J170" s="5">
        <v>25000.0</v>
      </c>
      <c r="K170" s="5" t="s">
        <v>2946</v>
      </c>
    </row>
    <row r="171" ht="15.75" customHeight="1">
      <c r="A171" s="5" t="s">
        <v>419</v>
      </c>
      <c r="B171" s="5" t="s">
        <v>517</v>
      </c>
      <c r="C171" s="5" t="s">
        <v>518</v>
      </c>
      <c r="D171" s="5" t="s">
        <v>944</v>
      </c>
      <c r="E171" s="5" t="s">
        <v>2613</v>
      </c>
      <c r="F171" s="5" t="s">
        <v>2950</v>
      </c>
      <c r="G171" s="5" t="s">
        <v>944</v>
      </c>
      <c r="H171" s="5" t="s">
        <v>2951</v>
      </c>
      <c r="I171" s="5">
        <v>0.0</v>
      </c>
      <c r="J171" s="5">
        <v>30000.0</v>
      </c>
      <c r="K171" s="5" t="s">
        <v>2946</v>
      </c>
    </row>
    <row r="172" ht="15.75" customHeight="1">
      <c r="A172" s="5" t="s">
        <v>419</v>
      </c>
      <c r="B172" s="5" t="s">
        <v>527</v>
      </c>
      <c r="C172" s="5" t="s">
        <v>528</v>
      </c>
      <c r="D172" s="5" t="s">
        <v>944</v>
      </c>
      <c r="E172" s="5" t="s">
        <v>2606</v>
      </c>
      <c r="F172" s="5" t="s">
        <v>2952</v>
      </c>
      <c r="G172" s="5" t="s">
        <v>944</v>
      </c>
      <c r="H172" s="5" t="s">
        <v>2953</v>
      </c>
      <c r="I172" s="5">
        <v>641.25</v>
      </c>
      <c r="J172" s="5">
        <v>148875.76</v>
      </c>
      <c r="K172" s="5" t="s">
        <v>2954</v>
      </c>
    </row>
    <row r="173" ht="15.75" customHeight="1">
      <c r="A173" s="5" t="s">
        <v>419</v>
      </c>
      <c r="B173" s="5" t="s">
        <v>533</v>
      </c>
      <c r="C173" s="5" t="s">
        <v>534</v>
      </c>
      <c r="D173" s="5" t="s">
        <v>1560</v>
      </c>
    </row>
    <row r="174" ht="15.75" customHeight="1">
      <c r="A174" s="5" t="s">
        <v>419</v>
      </c>
      <c r="B174" s="5" t="s">
        <v>541</v>
      </c>
      <c r="C174" s="5" t="s">
        <v>542</v>
      </c>
      <c r="D174" s="5" t="s">
        <v>1560</v>
      </c>
    </row>
    <row r="175" ht="15.75" customHeight="1">
      <c r="A175" s="5" t="s">
        <v>419</v>
      </c>
      <c r="B175" s="5" t="s">
        <v>550</v>
      </c>
      <c r="C175" s="5" t="s">
        <v>551</v>
      </c>
      <c r="D175" s="5" t="s">
        <v>944</v>
      </c>
      <c r="E175" s="5" t="s">
        <v>2659</v>
      </c>
      <c r="F175" s="5" t="s">
        <v>2955</v>
      </c>
      <c r="I175" s="5">
        <v>52.83</v>
      </c>
      <c r="J175" s="5">
        <v>26416.65</v>
      </c>
    </row>
    <row r="176" ht="15.75" customHeight="1">
      <c r="A176" s="5" t="s">
        <v>419</v>
      </c>
      <c r="B176" s="5" t="s">
        <v>559</v>
      </c>
      <c r="C176" s="5" t="s">
        <v>560</v>
      </c>
      <c r="D176" s="5" t="s">
        <v>944</v>
      </c>
      <c r="E176" s="5" t="s">
        <v>2956</v>
      </c>
      <c r="F176" s="5" t="s">
        <v>2957</v>
      </c>
      <c r="I176" s="5">
        <v>7200.0</v>
      </c>
      <c r="J176" s="5">
        <v>80000.0</v>
      </c>
    </row>
    <row r="177" ht="15.75" customHeight="1">
      <c r="A177" s="5" t="s">
        <v>419</v>
      </c>
      <c r="B177" s="5" t="s">
        <v>559</v>
      </c>
      <c r="C177" s="5" t="s">
        <v>560</v>
      </c>
      <c r="D177" s="5" t="s">
        <v>944</v>
      </c>
      <c r="E177" s="5" t="s">
        <v>2956</v>
      </c>
      <c r="F177" s="5" t="s">
        <v>2957</v>
      </c>
      <c r="I177" s="5">
        <v>7200.0</v>
      </c>
      <c r="J177" s="5">
        <v>80000.0</v>
      </c>
    </row>
    <row r="178" ht="15.75" customHeight="1">
      <c r="A178" s="5" t="s">
        <v>567</v>
      </c>
      <c r="B178" s="5" t="s">
        <v>568</v>
      </c>
      <c r="C178" s="5" t="s">
        <v>569</v>
      </c>
      <c r="D178" s="5" t="s">
        <v>1560</v>
      </c>
    </row>
    <row r="179" ht="15.75" customHeight="1">
      <c r="A179" s="5" t="s">
        <v>567</v>
      </c>
      <c r="B179" s="5" t="s">
        <v>577</v>
      </c>
      <c r="C179" s="5" t="s">
        <v>578</v>
      </c>
      <c r="D179" s="5" t="s">
        <v>944</v>
      </c>
      <c r="E179" s="5" t="s">
        <v>2681</v>
      </c>
      <c r="F179" s="5" t="s">
        <v>2958</v>
      </c>
      <c r="G179" s="5" t="s">
        <v>944</v>
      </c>
      <c r="H179" s="5" t="s">
        <v>2959</v>
      </c>
      <c r="I179" s="5">
        <v>3000.0</v>
      </c>
      <c r="J179" s="5">
        <v>10000.0</v>
      </c>
    </row>
    <row r="180" ht="15.75" customHeight="1">
      <c r="A180" s="5" t="s">
        <v>567</v>
      </c>
      <c r="B180" s="5" t="s">
        <v>586</v>
      </c>
      <c r="C180" s="5" t="s">
        <v>587</v>
      </c>
      <c r="D180" s="5" t="s">
        <v>944</v>
      </c>
      <c r="E180" s="5" t="s">
        <v>2606</v>
      </c>
      <c r="F180" s="5" t="s">
        <v>2960</v>
      </c>
      <c r="G180" s="5" t="s">
        <v>944</v>
      </c>
      <c r="H180" s="5" t="s">
        <v>2961</v>
      </c>
      <c r="I180" s="5">
        <v>15000.0</v>
      </c>
      <c r="J180" s="5">
        <v>50000.0</v>
      </c>
    </row>
    <row r="181" ht="15.75" customHeight="1">
      <c r="A181" s="5" t="s">
        <v>567</v>
      </c>
      <c r="B181" s="5" t="s">
        <v>597</v>
      </c>
      <c r="C181" s="5" t="s">
        <v>598</v>
      </c>
      <c r="D181" s="5" t="s">
        <v>944</v>
      </c>
      <c r="E181" s="5" t="s">
        <v>2606</v>
      </c>
      <c r="F181" s="5" t="s">
        <v>2962</v>
      </c>
      <c r="G181" s="5" t="s">
        <v>944</v>
      </c>
      <c r="H181" s="5" t="s">
        <v>2963</v>
      </c>
      <c r="I181" s="5">
        <v>27182.8</v>
      </c>
      <c r="J181" s="5">
        <v>20955.0</v>
      </c>
    </row>
    <row r="182" ht="15.75" customHeight="1">
      <c r="A182" s="5" t="s">
        <v>567</v>
      </c>
      <c r="B182" s="5" t="s">
        <v>606</v>
      </c>
      <c r="C182" s="5" t="s">
        <v>607</v>
      </c>
      <c r="D182" s="5" t="s">
        <v>944</v>
      </c>
      <c r="E182" s="5" t="s">
        <v>2613</v>
      </c>
      <c r="F182" s="5" t="s">
        <v>2964</v>
      </c>
      <c r="G182" s="5" t="s">
        <v>944</v>
      </c>
      <c r="H182" s="5" t="s">
        <v>2965</v>
      </c>
      <c r="I182" s="5">
        <v>14517.0</v>
      </c>
      <c r="J182" s="5">
        <v>6000.0</v>
      </c>
      <c r="K182" s="5" t="s">
        <v>2966</v>
      </c>
    </row>
    <row r="183" ht="15.75" customHeight="1">
      <c r="A183" s="5" t="s">
        <v>567</v>
      </c>
      <c r="B183" s="5" t="s">
        <v>606</v>
      </c>
      <c r="C183" s="5" t="s">
        <v>607</v>
      </c>
      <c r="D183" s="5" t="s">
        <v>944</v>
      </c>
      <c r="E183" s="5" t="s">
        <v>2967</v>
      </c>
      <c r="F183" s="5" t="s">
        <v>2968</v>
      </c>
      <c r="I183" s="5">
        <v>6452.5</v>
      </c>
      <c r="J183" s="5">
        <v>2700.0</v>
      </c>
      <c r="K183" s="5" t="s">
        <v>2969</v>
      </c>
    </row>
    <row r="184" ht="15.75" customHeight="1">
      <c r="A184" s="5" t="s">
        <v>567</v>
      </c>
      <c r="B184" s="5" t="s">
        <v>606</v>
      </c>
      <c r="C184" s="5" t="s">
        <v>607</v>
      </c>
      <c r="D184" s="5" t="s">
        <v>944</v>
      </c>
      <c r="E184" s="5" t="s">
        <v>2711</v>
      </c>
      <c r="F184" s="5" t="s">
        <v>2970</v>
      </c>
      <c r="I184" s="5">
        <v>75000.0</v>
      </c>
      <c r="J184" s="5">
        <v>70000.0</v>
      </c>
      <c r="K184" s="5" t="s">
        <v>35</v>
      </c>
    </row>
    <row r="185" ht="15.75" customHeight="1">
      <c r="A185" s="5" t="s">
        <v>567</v>
      </c>
      <c r="B185" s="5" t="s">
        <v>606</v>
      </c>
      <c r="C185" s="5" t="s">
        <v>607</v>
      </c>
      <c r="D185" s="5" t="s">
        <v>944</v>
      </c>
      <c r="E185" s="5" t="s">
        <v>2711</v>
      </c>
      <c r="F185" s="5" t="s">
        <v>2971</v>
      </c>
      <c r="I185" s="5">
        <v>20000.0</v>
      </c>
      <c r="J185" s="5">
        <v>15414.0</v>
      </c>
      <c r="K185" s="5" t="s">
        <v>1096</v>
      </c>
    </row>
    <row r="186" ht="15.75" customHeight="1">
      <c r="A186" s="5" t="s">
        <v>567</v>
      </c>
      <c r="B186" s="5" t="s">
        <v>606</v>
      </c>
      <c r="C186" s="5" t="s">
        <v>607</v>
      </c>
      <c r="D186" s="5" t="s">
        <v>944</v>
      </c>
      <c r="E186" s="5" t="s">
        <v>2613</v>
      </c>
      <c r="F186" s="5" t="s">
        <v>2964</v>
      </c>
      <c r="G186" s="5" t="s">
        <v>944</v>
      </c>
      <c r="H186" s="5" t="s">
        <v>2965</v>
      </c>
      <c r="I186" s="5">
        <v>14517.0</v>
      </c>
      <c r="J186" s="5">
        <v>6000.0</v>
      </c>
      <c r="K186" s="5" t="s">
        <v>2966</v>
      </c>
    </row>
    <row r="187" ht="15.75" customHeight="1">
      <c r="A187" s="5" t="s">
        <v>567</v>
      </c>
      <c r="B187" s="5" t="s">
        <v>606</v>
      </c>
      <c r="C187" s="5" t="s">
        <v>607</v>
      </c>
      <c r="D187" s="5" t="s">
        <v>944</v>
      </c>
      <c r="E187" s="5" t="s">
        <v>2613</v>
      </c>
      <c r="F187" s="5" t="s">
        <v>2972</v>
      </c>
      <c r="G187" s="5" t="s">
        <v>944</v>
      </c>
      <c r="H187" s="5" t="s">
        <v>2973</v>
      </c>
      <c r="I187" s="5">
        <v>22691.04</v>
      </c>
      <c r="J187" s="5">
        <v>6000.0</v>
      </c>
      <c r="K187" s="5" t="s">
        <v>2974</v>
      </c>
    </row>
    <row r="188" ht="15.75" customHeight="1">
      <c r="A188" s="5" t="s">
        <v>567</v>
      </c>
      <c r="B188" s="5" t="s">
        <v>606</v>
      </c>
      <c r="C188" s="5" t="s">
        <v>607</v>
      </c>
      <c r="D188" s="5" t="s">
        <v>944</v>
      </c>
      <c r="E188" s="5" t="s">
        <v>2711</v>
      </c>
      <c r="F188" s="5" t="s">
        <v>2975</v>
      </c>
      <c r="I188" s="5">
        <v>30750.0</v>
      </c>
      <c r="J188" s="5">
        <v>25770.0</v>
      </c>
      <c r="K188" s="5" t="s">
        <v>1096</v>
      </c>
    </row>
    <row r="189" ht="15.75" customHeight="1">
      <c r="A189" s="5" t="s">
        <v>567</v>
      </c>
      <c r="B189" s="5" t="s">
        <v>606</v>
      </c>
      <c r="C189" s="5" t="s">
        <v>607</v>
      </c>
      <c r="D189" s="5" t="s">
        <v>944</v>
      </c>
      <c r="E189" s="5" t="s">
        <v>2967</v>
      </c>
      <c r="F189" s="5" t="s">
        <v>2968</v>
      </c>
      <c r="I189" s="5">
        <v>6452.5</v>
      </c>
      <c r="J189" s="5">
        <v>2700.0</v>
      </c>
      <c r="K189" s="5" t="s">
        <v>2969</v>
      </c>
    </row>
    <row r="190" ht="15.75" customHeight="1">
      <c r="A190" s="5" t="s">
        <v>567</v>
      </c>
      <c r="B190" s="5" t="s">
        <v>606</v>
      </c>
      <c r="C190" s="5" t="s">
        <v>607</v>
      </c>
      <c r="D190" s="5" t="s">
        <v>944</v>
      </c>
      <c r="E190" s="5" t="s">
        <v>2711</v>
      </c>
      <c r="F190" s="5" t="s">
        <v>2970</v>
      </c>
      <c r="I190" s="5">
        <v>75000.0</v>
      </c>
      <c r="J190" s="5">
        <v>70000.0</v>
      </c>
      <c r="K190" s="5" t="s">
        <v>35</v>
      </c>
    </row>
    <row r="191" ht="15.75" customHeight="1">
      <c r="A191" s="5" t="s">
        <v>567</v>
      </c>
      <c r="B191" s="5" t="s">
        <v>606</v>
      </c>
      <c r="C191" s="5" t="s">
        <v>607</v>
      </c>
      <c r="D191" s="5" t="s">
        <v>944</v>
      </c>
      <c r="E191" s="5" t="s">
        <v>2711</v>
      </c>
      <c r="F191" s="5" t="s">
        <v>2971</v>
      </c>
      <c r="I191" s="5">
        <v>20000.0</v>
      </c>
      <c r="J191" s="5">
        <v>15414.0</v>
      </c>
      <c r="K191" s="5" t="s">
        <v>1096</v>
      </c>
    </row>
    <row r="192" ht="15.75" customHeight="1">
      <c r="A192" s="5" t="s">
        <v>567</v>
      </c>
      <c r="B192" s="5" t="s">
        <v>606</v>
      </c>
      <c r="C192" s="5" t="s">
        <v>607</v>
      </c>
      <c r="D192" s="5" t="s">
        <v>944</v>
      </c>
      <c r="E192" s="5" t="s">
        <v>2711</v>
      </c>
      <c r="F192" s="5" t="s">
        <v>2975</v>
      </c>
      <c r="I192" s="5">
        <v>30750.0</v>
      </c>
      <c r="J192" s="5">
        <v>25770.0</v>
      </c>
      <c r="K192" s="5" t="s">
        <v>1096</v>
      </c>
    </row>
    <row r="193" ht="15.75" customHeight="1">
      <c r="A193" s="5" t="s">
        <v>567</v>
      </c>
      <c r="B193" s="5" t="s">
        <v>606</v>
      </c>
      <c r="C193" s="5" t="s">
        <v>607</v>
      </c>
      <c r="D193" s="5" t="s">
        <v>944</v>
      </c>
      <c r="E193" s="5" t="s">
        <v>2613</v>
      </c>
      <c r="F193" s="5" t="s">
        <v>2972</v>
      </c>
      <c r="G193" s="5" t="s">
        <v>944</v>
      </c>
      <c r="H193" s="5" t="s">
        <v>2973</v>
      </c>
      <c r="I193" s="5">
        <v>22691.04</v>
      </c>
      <c r="J193" s="5">
        <v>6000.0</v>
      </c>
      <c r="K193" s="5" t="s">
        <v>2974</v>
      </c>
    </row>
    <row r="194" ht="15.75" customHeight="1">
      <c r="A194" s="5" t="s">
        <v>567</v>
      </c>
      <c r="B194" s="5" t="s">
        <v>614</v>
      </c>
      <c r="C194" s="5" t="s">
        <v>615</v>
      </c>
      <c r="D194" s="5" t="s">
        <v>1560</v>
      </c>
    </row>
    <row r="195" ht="15.75" customHeight="1">
      <c r="A195" s="5" t="s">
        <v>567</v>
      </c>
      <c r="B195" s="5" t="s">
        <v>624</v>
      </c>
      <c r="C195" s="5" t="s">
        <v>625</v>
      </c>
      <c r="D195" s="5" t="s">
        <v>944</v>
      </c>
      <c r="E195" s="5" t="s">
        <v>2613</v>
      </c>
      <c r="F195" s="5" t="s">
        <v>2976</v>
      </c>
      <c r="G195" s="5" t="s">
        <v>944</v>
      </c>
      <c r="H195" s="5" t="s">
        <v>2977</v>
      </c>
      <c r="I195" s="5">
        <v>100000.0</v>
      </c>
      <c r="J195" s="5">
        <v>2000.0</v>
      </c>
      <c r="K195" s="5" t="s">
        <v>2978</v>
      </c>
    </row>
    <row r="196" ht="15.75" customHeight="1">
      <c r="A196" s="5" t="s">
        <v>567</v>
      </c>
      <c r="B196" s="5" t="s">
        <v>624</v>
      </c>
      <c r="C196" s="5" t="s">
        <v>625</v>
      </c>
      <c r="D196" s="5" t="s">
        <v>944</v>
      </c>
      <c r="E196" s="5" t="s">
        <v>2613</v>
      </c>
      <c r="F196" s="5" t="s">
        <v>2979</v>
      </c>
      <c r="G196" s="5" t="s">
        <v>944</v>
      </c>
      <c r="H196" s="5" t="s">
        <v>2980</v>
      </c>
      <c r="I196" s="5">
        <v>40000.0</v>
      </c>
      <c r="J196" s="5">
        <v>35000.0</v>
      </c>
      <c r="K196" s="5" t="s">
        <v>2981</v>
      </c>
    </row>
    <row r="197" ht="15.75" customHeight="1">
      <c r="A197" s="5" t="s">
        <v>567</v>
      </c>
      <c r="B197" s="5" t="s">
        <v>624</v>
      </c>
      <c r="C197" s="5" t="s">
        <v>625</v>
      </c>
      <c r="D197" s="5" t="s">
        <v>944</v>
      </c>
      <c r="E197" s="5" t="s">
        <v>2982</v>
      </c>
      <c r="F197" s="5" t="s">
        <v>2983</v>
      </c>
      <c r="G197" s="5" t="s">
        <v>944</v>
      </c>
      <c r="H197" s="5" t="s">
        <v>2984</v>
      </c>
      <c r="I197" s="5">
        <v>8500.0</v>
      </c>
      <c r="J197" s="5">
        <v>4000.0</v>
      </c>
      <c r="K197" s="5" t="s">
        <v>2985</v>
      </c>
    </row>
    <row r="198" ht="15.75" customHeight="1">
      <c r="A198" s="5" t="s">
        <v>567</v>
      </c>
      <c r="B198" s="5" t="s">
        <v>634</v>
      </c>
      <c r="C198" s="5" t="s">
        <v>635</v>
      </c>
      <c r="D198" s="5" t="s">
        <v>1560</v>
      </c>
    </row>
    <row r="199" ht="15.75" customHeight="1">
      <c r="A199" s="5" t="s">
        <v>567</v>
      </c>
      <c r="B199" s="5" t="s">
        <v>643</v>
      </c>
      <c r="C199" s="5" t="s">
        <v>644</v>
      </c>
      <c r="D199" s="5" t="s">
        <v>1560</v>
      </c>
    </row>
    <row r="200" ht="15.75" customHeight="1">
      <c r="A200" s="5" t="s">
        <v>567</v>
      </c>
      <c r="B200" s="5" t="s">
        <v>651</v>
      </c>
      <c r="C200" s="5" t="s">
        <v>652</v>
      </c>
      <c r="D200" s="5" t="s">
        <v>1560</v>
      </c>
    </row>
    <row r="201" ht="15.75" customHeight="1">
      <c r="A201" s="5" t="s">
        <v>567</v>
      </c>
      <c r="B201" s="5" t="s">
        <v>659</v>
      </c>
      <c r="C201" s="5" t="s">
        <v>660</v>
      </c>
      <c r="D201" s="5" t="s">
        <v>1560</v>
      </c>
    </row>
    <row r="202" ht="15.75" customHeight="1">
      <c r="A202" s="5" t="s">
        <v>567</v>
      </c>
      <c r="B202" s="5" t="s">
        <v>667</v>
      </c>
      <c r="C202" s="5" t="s">
        <v>668</v>
      </c>
      <c r="D202" s="5" t="s">
        <v>944</v>
      </c>
      <c r="E202" s="5" t="s">
        <v>2606</v>
      </c>
      <c r="F202" s="5" t="s">
        <v>2986</v>
      </c>
      <c r="G202" s="5" t="s">
        <v>944</v>
      </c>
      <c r="H202" s="5" t="s">
        <v>2987</v>
      </c>
      <c r="I202" s="5">
        <v>650.0</v>
      </c>
      <c r="J202" s="5">
        <v>3225.0</v>
      </c>
    </row>
    <row r="203" ht="15.75" customHeight="1">
      <c r="A203" s="5" t="s">
        <v>567</v>
      </c>
      <c r="B203" s="5" t="s">
        <v>674</v>
      </c>
      <c r="C203" s="5" t="s">
        <v>675</v>
      </c>
      <c r="D203" s="5" t="s">
        <v>944</v>
      </c>
      <c r="E203" s="5" t="s">
        <v>2606</v>
      </c>
      <c r="F203" s="5" t="s">
        <v>2988</v>
      </c>
      <c r="G203" s="5" t="s">
        <v>944</v>
      </c>
      <c r="H203" s="5" t="s">
        <v>2989</v>
      </c>
      <c r="I203" s="5">
        <v>39350.0</v>
      </c>
      <c r="J203" s="5">
        <v>65000.0</v>
      </c>
    </row>
    <row r="204" ht="15.75" customHeight="1">
      <c r="A204" s="5" t="s">
        <v>567</v>
      </c>
      <c r="B204" s="5" t="s">
        <v>674</v>
      </c>
      <c r="C204" s="5" t="s">
        <v>675</v>
      </c>
      <c r="D204" s="5" t="s">
        <v>944</v>
      </c>
      <c r="E204" s="5" t="s">
        <v>2606</v>
      </c>
      <c r="F204" s="5" t="s">
        <v>2990</v>
      </c>
      <c r="G204" s="5" t="s">
        <v>944</v>
      </c>
      <c r="H204" s="5" t="s">
        <v>2991</v>
      </c>
      <c r="I204" s="5">
        <v>0.0</v>
      </c>
      <c r="J204" s="5">
        <v>0.0</v>
      </c>
      <c r="K204" s="5" t="s">
        <v>2992</v>
      </c>
    </row>
    <row r="205" ht="15.75" customHeight="1">
      <c r="A205" s="5" t="s">
        <v>567</v>
      </c>
      <c r="B205" s="5" t="s">
        <v>674</v>
      </c>
      <c r="C205" s="5" t="s">
        <v>675</v>
      </c>
      <c r="D205" s="5" t="s">
        <v>944</v>
      </c>
      <c r="E205" s="5" t="s">
        <v>2606</v>
      </c>
      <c r="F205" s="5" t="s">
        <v>2993</v>
      </c>
      <c r="G205" s="5" t="s">
        <v>944</v>
      </c>
      <c r="H205" s="5" t="s">
        <v>2994</v>
      </c>
      <c r="I205" s="5">
        <v>12500.0</v>
      </c>
      <c r="J205" s="5">
        <v>21000.0</v>
      </c>
    </row>
    <row r="206" ht="15.75" customHeight="1">
      <c r="A206" s="5" t="s">
        <v>682</v>
      </c>
      <c r="B206" s="5" t="s">
        <v>683</v>
      </c>
      <c r="C206" s="5" t="s">
        <v>684</v>
      </c>
      <c r="D206" s="5" t="s">
        <v>1560</v>
      </c>
    </row>
    <row r="207" ht="15.75" customHeight="1">
      <c r="A207" s="5" t="s">
        <v>682</v>
      </c>
      <c r="B207" s="5" t="s">
        <v>691</v>
      </c>
      <c r="C207" s="5" t="s">
        <v>692</v>
      </c>
      <c r="D207" s="5" t="s">
        <v>944</v>
      </c>
      <c r="E207" s="5" t="s">
        <v>2662</v>
      </c>
      <c r="F207" s="5" t="s">
        <v>2995</v>
      </c>
      <c r="G207" s="5" t="s">
        <v>944</v>
      </c>
      <c r="H207" s="5" t="s">
        <v>2996</v>
      </c>
      <c r="I207" s="5">
        <v>259.55</v>
      </c>
      <c r="J207" s="5">
        <v>29000.0</v>
      </c>
    </row>
    <row r="208" ht="15.75" customHeight="1">
      <c r="A208" s="5" t="s">
        <v>682</v>
      </c>
      <c r="B208" s="5" t="s">
        <v>699</v>
      </c>
      <c r="C208" s="5" t="s">
        <v>700</v>
      </c>
      <c r="D208" s="5" t="s">
        <v>1560</v>
      </c>
    </row>
    <row r="209" ht="15.75" customHeight="1">
      <c r="A209" s="5" t="s">
        <v>682</v>
      </c>
      <c r="B209" s="5" t="s">
        <v>707</v>
      </c>
      <c r="C209" s="5" t="s">
        <v>708</v>
      </c>
      <c r="D209" s="5" t="s">
        <v>944</v>
      </c>
      <c r="E209" s="5" t="s">
        <v>2763</v>
      </c>
      <c r="F209" s="5" t="s">
        <v>2997</v>
      </c>
      <c r="I209" s="5">
        <v>269392.0</v>
      </c>
      <c r="J209" s="5">
        <v>1207360.0</v>
      </c>
      <c r="K209" s="5" t="s">
        <v>2998</v>
      </c>
    </row>
    <row r="210" ht="15.75" customHeight="1">
      <c r="A210" s="5" t="s">
        <v>682</v>
      </c>
      <c r="B210" s="5" t="s">
        <v>707</v>
      </c>
      <c r="C210" s="5" t="s">
        <v>708</v>
      </c>
      <c r="D210" s="5" t="s">
        <v>944</v>
      </c>
      <c r="E210" s="5" t="s">
        <v>2763</v>
      </c>
      <c r="F210" s="5" t="s">
        <v>2999</v>
      </c>
      <c r="I210" s="5">
        <v>186502.0</v>
      </c>
      <c r="J210" s="5">
        <v>720300.0</v>
      </c>
      <c r="K210" s="5" t="s">
        <v>3000</v>
      </c>
    </row>
    <row r="211" ht="15.75" customHeight="1">
      <c r="A211" s="5" t="s">
        <v>682</v>
      </c>
      <c r="B211" s="5" t="s">
        <v>707</v>
      </c>
      <c r="C211" s="5" t="s">
        <v>708</v>
      </c>
      <c r="D211" s="5" t="s">
        <v>944</v>
      </c>
      <c r="E211" s="5" t="s">
        <v>3001</v>
      </c>
      <c r="F211" s="5" t="s">
        <v>3002</v>
      </c>
      <c r="I211" s="5">
        <v>25160.0</v>
      </c>
      <c r="J211" s="5">
        <v>150000.0</v>
      </c>
      <c r="K211" s="5" t="s">
        <v>3003</v>
      </c>
    </row>
    <row r="212" ht="15.75" customHeight="1">
      <c r="A212" s="5" t="s">
        <v>682</v>
      </c>
      <c r="B212" s="5" t="s">
        <v>715</v>
      </c>
      <c r="C212" s="5" t="s">
        <v>716</v>
      </c>
      <c r="D212" s="5" t="s">
        <v>944</v>
      </c>
      <c r="E212" s="5" t="s">
        <v>2606</v>
      </c>
      <c r="F212" s="5" t="s">
        <v>3004</v>
      </c>
      <c r="G212" s="5" t="s">
        <v>944</v>
      </c>
      <c r="H212" s="5" t="s">
        <v>3005</v>
      </c>
      <c r="I212" s="5">
        <v>3036.18</v>
      </c>
      <c r="J212" s="5">
        <v>2554708.08</v>
      </c>
      <c r="K212" s="5" t="s">
        <v>3006</v>
      </c>
    </row>
    <row r="213" ht="15.75" customHeight="1">
      <c r="A213" s="5" t="s">
        <v>682</v>
      </c>
      <c r="B213" s="5" t="s">
        <v>725</v>
      </c>
      <c r="C213" s="5" t="s">
        <v>726</v>
      </c>
      <c r="D213" s="5" t="s">
        <v>944</v>
      </c>
      <c r="E213" s="5" t="s">
        <v>3007</v>
      </c>
      <c r="F213" s="5" t="s">
        <v>3008</v>
      </c>
      <c r="G213" s="5" t="s">
        <v>944</v>
      </c>
      <c r="H213" s="5" t="s">
        <v>3009</v>
      </c>
      <c r="I213" s="5">
        <v>85386.22</v>
      </c>
      <c r="J213" s="5">
        <v>152320.0</v>
      </c>
    </row>
    <row r="214" ht="15.75" customHeight="1">
      <c r="A214" s="5" t="s">
        <v>682</v>
      </c>
      <c r="B214" s="5" t="s">
        <v>732</v>
      </c>
      <c r="C214" s="5" t="s">
        <v>733</v>
      </c>
      <c r="D214" s="5" t="s">
        <v>944</v>
      </c>
      <c r="E214" s="5" t="s">
        <v>2652</v>
      </c>
      <c r="F214" s="5" t="s">
        <v>3010</v>
      </c>
      <c r="G214" s="5" t="s">
        <v>944</v>
      </c>
      <c r="H214" s="5" t="s">
        <v>3011</v>
      </c>
      <c r="I214" s="5">
        <v>762.0</v>
      </c>
      <c r="J214" s="5">
        <v>200000.0</v>
      </c>
    </row>
    <row r="215" ht="15.75" customHeight="1">
      <c r="A215" s="5" t="s">
        <v>682</v>
      </c>
      <c r="B215" s="5" t="s">
        <v>732</v>
      </c>
      <c r="C215" s="5" t="s">
        <v>733</v>
      </c>
      <c r="D215" s="5" t="s">
        <v>944</v>
      </c>
      <c r="E215" s="5" t="s">
        <v>2606</v>
      </c>
      <c r="F215" s="5" t="s">
        <v>3012</v>
      </c>
      <c r="G215" s="5" t="s">
        <v>944</v>
      </c>
      <c r="H215" s="5" t="s">
        <v>3013</v>
      </c>
      <c r="I215" s="5">
        <v>450.0</v>
      </c>
      <c r="J215" s="5">
        <v>15000.0</v>
      </c>
    </row>
    <row r="216" ht="15.75" customHeight="1">
      <c r="A216" s="5" t="s">
        <v>682</v>
      </c>
      <c r="B216" s="5" t="s">
        <v>732</v>
      </c>
      <c r="C216" s="5" t="s">
        <v>733</v>
      </c>
      <c r="D216" s="5" t="s">
        <v>944</v>
      </c>
      <c r="E216" s="5" t="s">
        <v>2606</v>
      </c>
      <c r="F216" s="5" t="s">
        <v>3014</v>
      </c>
      <c r="G216" s="5" t="s">
        <v>944</v>
      </c>
      <c r="H216" s="5" t="s">
        <v>3015</v>
      </c>
      <c r="I216" s="5">
        <v>450.0</v>
      </c>
      <c r="J216" s="5">
        <v>15000.0</v>
      </c>
    </row>
    <row r="217" ht="15.75" customHeight="1">
      <c r="A217" s="5" t="s">
        <v>682</v>
      </c>
      <c r="B217" s="5" t="s">
        <v>732</v>
      </c>
      <c r="C217" s="5" t="s">
        <v>733</v>
      </c>
      <c r="D217" s="5" t="s">
        <v>944</v>
      </c>
      <c r="E217" s="5" t="s">
        <v>2606</v>
      </c>
      <c r="F217" s="5" t="s">
        <v>3016</v>
      </c>
      <c r="G217" s="5" t="s">
        <v>944</v>
      </c>
      <c r="H217" s="5" t="s">
        <v>3017</v>
      </c>
      <c r="I217" s="5">
        <v>500.0</v>
      </c>
      <c r="J217" s="5">
        <v>180000.0</v>
      </c>
    </row>
    <row r="218" ht="15.75" customHeight="1">
      <c r="A218" s="5" t="s">
        <v>682</v>
      </c>
      <c r="B218" s="5" t="s">
        <v>739</v>
      </c>
      <c r="C218" s="5" t="s">
        <v>740</v>
      </c>
      <c r="D218" s="5" t="s">
        <v>944</v>
      </c>
      <c r="E218" s="5" t="s">
        <v>2613</v>
      </c>
      <c r="F218" s="5" t="s">
        <v>3018</v>
      </c>
      <c r="G218" s="5" t="s">
        <v>944</v>
      </c>
      <c r="H218" s="5" t="s">
        <v>3019</v>
      </c>
      <c r="I218" s="5">
        <v>261952.0</v>
      </c>
      <c r="J218" s="5">
        <v>500000.0</v>
      </c>
    </row>
    <row r="219" ht="15.75" customHeight="1">
      <c r="A219" s="5" t="s">
        <v>682</v>
      </c>
      <c r="B219" s="5" t="s">
        <v>739</v>
      </c>
      <c r="C219" s="5" t="s">
        <v>740</v>
      </c>
      <c r="D219" s="5" t="s">
        <v>944</v>
      </c>
      <c r="E219" s="5" t="s">
        <v>2613</v>
      </c>
      <c r="F219" s="5" t="s">
        <v>3020</v>
      </c>
      <c r="G219" s="5" t="s">
        <v>944</v>
      </c>
      <c r="H219" s="5" t="s">
        <v>3021</v>
      </c>
      <c r="I219" s="5">
        <v>5000.0</v>
      </c>
      <c r="J219" s="5">
        <v>5000.0</v>
      </c>
    </row>
    <row r="220" ht="15.75" customHeight="1">
      <c r="A220" s="5" t="s">
        <v>682</v>
      </c>
      <c r="B220" s="5" t="s">
        <v>739</v>
      </c>
      <c r="C220" s="5" t="s">
        <v>740</v>
      </c>
      <c r="D220" s="5" t="s">
        <v>944</v>
      </c>
      <c r="E220" s="5" t="s">
        <v>2613</v>
      </c>
      <c r="F220" s="5" t="s">
        <v>3022</v>
      </c>
      <c r="G220" s="5" t="s">
        <v>944</v>
      </c>
      <c r="H220" s="5" t="s">
        <v>3023</v>
      </c>
      <c r="I220" s="5">
        <v>5000.0</v>
      </c>
      <c r="J220" s="5">
        <v>5000.0</v>
      </c>
    </row>
    <row r="221" ht="15.75" customHeight="1">
      <c r="A221" s="5" t="s">
        <v>682</v>
      </c>
      <c r="B221" s="5" t="s">
        <v>739</v>
      </c>
      <c r="C221" s="5" t="s">
        <v>740</v>
      </c>
      <c r="D221" s="5" t="s">
        <v>944</v>
      </c>
      <c r="E221" s="5" t="s">
        <v>2613</v>
      </c>
      <c r="F221" s="5" t="s">
        <v>3024</v>
      </c>
      <c r="G221" s="5" t="s">
        <v>944</v>
      </c>
      <c r="H221" s="5" t="s">
        <v>3025</v>
      </c>
      <c r="I221" s="5">
        <v>5000.0</v>
      </c>
      <c r="J221" s="5">
        <v>5000.0</v>
      </c>
    </row>
    <row r="222" ht="15.75" customHeight="1">
      <c r="A222" s="5" t="s">
        <v>682</v>
      </c>
      <c r="B222" s="5" t="s">
        <v>739</v>
      </c>
      <c r="C222" s="5" t="s">
        <v>740</v>
      </c>
      <c r="D222" s="5" t="s">
        <v>944</v>
      </c>
      <c r="E222" s="5" t="s">
        <v>2606</v>
      </c>
      <c r="F222" s="5" t="s">
        <v>3026</v>
      </c>
      <c r="G222" s="5" t="s">
        <v>944</v>
      </c>
      <c r="H222" s="5" t="s">
        <v>3027</v>
      </c>
      <c r="I222" s="5">
        <v>0.0</v>
      </c>
      <c r="J222" s="5">
        <v>0.0</v>
      </c>
      <c r="K222" s="5" t="s">
        <v>3028</v>
      </c>
    </row>
    <row r="223" ht="15.75" customHeight="1">
      <c r="A223" s="5" t="s">
        <v>682</v>
      </c>
      <c r="B223" s="5" t="s">
        <v>739</v>
      </c>
      <c r="C223" s="5" t="s">
        <v>740</v>
      </c>
      <c r="D223" s="5" t="s">
        <v>944</v>
      </c>
      <c r="E223" s="5" t="s">
        <v>2606</v>
      </c>
      <c r="F223" s="5" t="s">
        <v>3029</v>
      </c>
      <c r="G223" s="5" t="s">
        <v>944</v>
      </c>
      <c r="H223" s="5" t="s">
        <v>3030</v>
      </c>
      <c r="I223" s="5">
        <v>150000.0</v>
      </c>
      <c r="J223" s="5">
        <v>150000.0</v>
      </c>
      <c r="K223" s="5" t="s">
        <v>3031</v>
      </c>
    </row>
    <row r="224" ht="15.75" customHeight="1">
      <c r="A224" s="5" t="s">
        <v>682</v>
      </c>
      <c r="B224" s="5" t="s">
        <v>739</v>
      </c>
      <c r="C224" s="5" t="s">
        <v>740</v>
      </c>
      <c r="D224" s="5" t="s">
        <v>944</v>
      </c>
      <c r="E224" s="5" t="s">
        <v>2613</v>
      </c>
      <c r="F224" s="5" t="s">
        <v>3032</v>
      </c>
      <c r="G224" s="5" t="s">
        <v>944</v>
      </c>
      <c r="H224" s="5" t="s">
        <v>3033</v>
      </c>
      <c r="I224" s="5">
        <v>750.0</v>
      </c>
      <c r="J224" s="5">
        <v>262000.0</v>
      </c>
    </row>
    <row r="225" ht="15.75" customHeight="1">
      <c r="A225" s="5" t="s">
        <v>682</v>
      </c>
      <c r="B225" s="5" t="s">
        <v>739</v>
      </c>
      <c r="C225" s="5" t="s">
        <v>740</v>
      </c>
      <c r="D225" s="5" t="s">
        <v>944</v>
      </c>
      <c r="E225" s="5" t="s">
        <v>2613</v>
      </c>
      <c r="F225" s="5" t="s">
        <v>3034</v>
      </c>
      <c r="G225" s="5" t="s">
        <v>944</v>
      </c>
      <c r="H225" s="5" t="s">
        <v>3035</v>
      </c>
      <c r="I225" s="5">
        <v>5000.0</v>
      </c>
      <c r="J225" s="5">
        <v>5000.0</v>
      </c>
    </row>
    <row r="226" ht="15.75" customHeight="1">
      <c r="A226" s="5" t="s">
        <v>682</v>
      </c>
      <c r="B226" s="5" t="s">
        <v>749</v>
      </c>
      <c r="C226" s="5" t="s">
        <v>750</v>
      </c>
      <c r="D226" s="5" t="s">
        <v>944</v>
      </c>
      <c r="E226" s="5" t="s">
        <v>2606</v>
      </c>
      <c r="F226" s="5" t="s">
        <v>3036</v>
      </c>
      <c r="G226" s="5" t="s">
        <v>944</v>
      </c>
      <c r="H226" s="5" t="s">
        <v>3037</v>
      </c>
      <c r="I226" s="5">
        <v>381.0</v>
      </c>
      <c r="J226" s="5">
        <v>0.0</v>
      </c>
      <c r="K226" s="5" t="s">
        <v>3038</v>
      </c>
    </row>
    <row r="227" ht="15.75" customHeight="1">
      <c r="A227" s="5" t="s">
        <v>682</v>
      </c>
      <c r="B227" s="5" t="s">
        <v>757</v>
      </c>
      <c r="C227" s="5" t="s">
        <v>758</v>
      </c>
      <c r="D227" s="5" t="s">
        <v>944</v>
      </c>
      <c r="E227" s="5" t="s">
        <v>2613</v>
      </c>
      <c r="F227" s="5" t="s">
        <v>3039</v>
      </c>
      <c r="G227" s="5" t="s">
        <v>944</v>
      </c>
      <c r="H227" s="5" t="s">
        <v>3040</v>
      </c>
      <c r="I227" s="5">
        <v>559.8</v>
      </c>
      <c r="J227" s="5">
        <v>0.0</v>
      </c>
    </row>
    <row r="228" ht="15.75" customHeight="1">
      <c r="A228" s="5" t="s">
        <v>682</v>
      </c>
      <c r="B228" s="5" t="s">
        <v>757</v>
      </c>
      <c r="C228" s="5" t="s">
        <v>758</v>
      </c>
      <c r="D228" s="5" t="s">
        <v>944</v>
      </c>
      <c r="E228" s="5" t="s">
        <v>2613</v>
      </c>
      <c r="F228" s="5" t="s">
        <v>3041</v>
      </c>
      <c r="G228" s="5" t="s">
        <v>944</v>
      </c>
      <c r="H228" s="5" t="s">
        <v>3042</v>
      </c>
      <c r="I228" s="5">
        <v>389.54</v>
      </c>
      <c r="J228" s="5">
        <v>0.0</v>
      </c>
    </row>
    <row r="229" ht="15.75" customHeight="1">
      <c r="A229" s="5" t="s">
        <v>682</v>
      </c>
      <c r="B229" s="5" t="s">
        <v>757</v>
      </c>
      <c r="C229" s="5" t="s">
        <v>758</v>
      </c>
      <c r="D229" s="5" t="s">
        <v>944</v>
      </c>
      <c r="E229" s="5" t="s">
        <v>2613</v>
      </c>
      <c r="F229" s="5" t="s">
        <v>3043</v>
      </c>
      <c r="G229" s="5" t="s">
        <v>944</v>
      </c>
      <c r="H229" s="5" t="s">
        <v>3044</v>
      </c>
      <c r="I229" s="5">
        <v>389.54</v>
      </c>
      <c r="J229" s="5">
        <v>0.0</v>
      </c>
    </row>
    <row r="230" ht="15.75" customHeight="1">
      <c r="A230" s="5" t="s">
        <v>682</v>
      </c>
      <c r="B230" s="5" t="s">
        <v>757</v>
      </c>
      <c r="C230" s="5" t="s">
        <v>758</v>
      </c>
      <c r="D230" s="5" t="s">
        <v>944</v>
      </c>
      <c r="E230" s="5" t="s">
        <v>2613</v>
      </c>
      <c r="F230" s="5" t="s">
        <v>3045</v>
      </c>
      <c r="G230" s="5" t="s">
        <v>944</v>
      </c>
      <c r="H230" s="5" t="s">
        <v>3046</v>
      </c>
      <c r="I230" s="5">
        <v>389.54</v>
      </c>
      <c r="J230" s="5">
        <v>0.0</v>
      </c>
    </row>
    <row r="231" ht="15.75" customHeight="1">
      <c r="A231" s="5" t="s">
        <v>682</v>
      </c>
      <c r="B231" s="5" t="s">
        <v>757</v>
      </c>
      <c r="C231" s="5" t="s">
        <v>758</v>
      </c>
      <c r="D231" s="5" t="s">
        <v>944</v>
      </c>
      <c r="E231" s="5" t="s">
        <v>2613</v>
      </c>
      <c r="F231" s="5" t="s">
        <v>3047</v>
      </c>
      <c r="G231" s="5" t="s">
        <v>944</v>
      </c>
      <c r="H231" s="5" t="s">
        <v>3048</v>
      </c>
      <c r="I231" s="5">
        <v>389.54</v>
      </c>
      <c r="J231" s="5">
        <v>0.0</v>
      </c>
    </row>
    <row r="232" ht="15.75" customHeight="1">
      <c r="A232" s="5" t="s">
        <v>682</v>
      </c>
      <c r="B232" s="5" t="s">
        <v>757</v>
      </c>
      <c r="C232" s="5" t="s">
        <v>758</v>
      </c>
      <c r="D232" s="5" t="s">
        <v>944</v>
      </c>
      <c r="E232" s="5" t="s">
        <v>2613</v>
      </c>
      <c r="F232" s="5" t="s">
        <v>3049</v>
      </c>
      <c r="G232" s="5" t="s">
        <v>944</v>
      </c>
      <c r="H232" s="5" t="s">
        <v>3050</v>
      </c>
      <c r="I232" s="5">
        <v>389.54</v>
      </c>
      <c r="J232" s="5">
        <v>0.0</v>
      </c>
    </row>
    <row r="233" ht="15.75" customHeight="1">
      <c r="A233" s="5" t="s">
        <v>682</v>
      </c>
      <c r="B233" s="5" t="s">
        <v>757</v>
      </c>
      <c r="C233" s="5" t="s">
        <v>758</v>
      </c>
      <c r="D233" s="5" t="s">
        <v>944</v>
      </c>
      <c r="E233" s="5" t="s">
        <v>2613</v>
      </c>
      <c r="F233" s="5" t="s">
        <v>3051</v>
      </c>
      <c r="G233" s="5" t="s">
        <v>944</v>
      </c>
      <c r="H233" s="5" t="s">
        <v>3052</v>
      </c>
      <c r="I233" s="5">
        <v>529.12</v>
      </c>
      <c r="J233" s="5">
        <v>0.0</v>
      </c>
    </row>
    <row r="234" ht="15.75" customHeight="1">
      <c r="A234" s="5" t="s">
        <v>682</v>
      </c>
      <c r="B234" s="5" t="s">
        <v>757</v>
      </c>
      <c r="C234" s="5" t="s">
        <v>758</v>
      </c>
      <c r="D234" s="5" t="s">
        <v>944</v>
      </c>
      <c r="E234" s="5" t="s">
        <v>2613</v>
      </c>
      <c r="F234" s="5" t="s">
        <v>3053</v>
      </c>
      <c r="G234" s="5" t="s">
        <v>944</v>
      </c>
      <c r="H234" s="5" t="s">
        <v>3054</v>
      </c>
      <c r="I234" s="5">
        <v>456.52</v>
      </c>
      <c r="J234" s="5">
        <v>0.0</v>
      </c>
    </row>
    <row r="235" ht="15.75" customHeight="1">
      <c r="A235" s="5" t="s">
        <v>682</v>
      </c>
      <c r="B235" s="5" t="s">
        <v>757</v>
      </c>
      <c r="C235" s="5" t="s">
        <v>758</v>
      </c>
      <c r="D235" s="5" t="s">
        <v>944</v>
      </c>
      <c r="E235" s="5" t="s">
        <v>2613</v>
      </c>
      <c r="F235" s="5" t="s">
        <v>3055</v>
      </c>
      <c r="G235" s="5" t="s">
        <v>944</v>
      </c>
      <c r="H235" s="5" t="s">
        <v>3056</v>
      </c>
      <c r="I235" s="5">
        <v>655.6</v>
      </c>
      <c r="J235" s="5">
        <v>0.0</v>
      </c>
    </row>
    <row r="236" ht="15.75" customHeight="1">
      <c r="A236" s="5" t="s">
        <v>682</v>
      </c>
      <c r="B236" s="5" t="s">
        <v>757</v>
      </c>
      <c r="C236" s="5" t="s">
        <v>758</v>
      </c>
      <c r="D236" s="5" t="s">
        <v>944</v>
      </c>
      <c r="E236" s="5" t="s">
        <v>2613</v>
      </c>
      <c r="F236" s="5" t="s">
        <v>3057</v>
      </c>
      <c r="G236" s="5" t="s">
        <v>944</v>
      </c>
      <c r="H236" s="5" t="s">
        <v>3058</v>
      </c>
      <c r="I236" s="5">
        <v>495.44</v>
      </c>
      <c r="J236" s="5">
        <v>0.0</v>
      </c>
    </row>
    <row r="237" ht="15.75" customHeight="1">
      <c r="A237" s="5" t="s">
        <v>682</v>
      </c>
      <c r="B237" s="5" t="s">
        <v>757</v>
      </c>
      <c r="C237" s="5" t="s">
        <v>758</v>
      </c>
      <c r="D237" s="5" t="s">
        <v>944</v>
      </c>
      <c r="E237" s="5" t="s">
        <v>2613</v>
      </c>
      <c r="F237" s="5" t="s">
        <v>3059</v>
      </c>
      <c r="G237" s="5" t="s">
        <v>944</v>
      </c>
      <c r="H237" s="5" t="s">
        <v>3060</v>
      </c>
      <c r="I237" s="5">
        <v>489.83</v>
      </c>
      <c r="J237" s="5">
        <v>0.0</v>
      </c>
    </row>
    <row r="238" ht="15.75" customHeight="1">
      <c r="A238" s="5" t="s">
        <v>682</v>
      </c>
      <c r="B238" s="5" t="s">
        <v>757</v>
      </c>
      <c r="C238" s="5" t="s">
        <v>758</v>
      </c>
      <c r="D238" s="5" t="s">
        <v>944</v>
      </c>
      <c r="E238" s="5" t="s">
        <v>2613</v>
      </c>
      <c r="F238" s="5" t="s">
        <v>3061</v>
      </c>
      <c r="G238" s="5" t="s">
        <v>944</v>
      </c>
      <c r="H238" s="5" t="s">
        <v>3062</v>
      </c>
      <c r="I238" s="5">
        <v>402.64</v>
      </c>
      <c r="J238" s="5">
        <v>0.0</v>
      </c>
    </row>
    <row r="239" ht="15.75" customHeight="1">
      <c r="A239" s="5" t="s">
        <v>682</v>
      </c>
      <c r="B239" s="5" t="s">
        <v>757</v>
      </c>
      <c r="C239" s="5" t="s">
        <v>758</v>
      </c>
      <c r="D239" s="5" t="s">
        <v>944</v>
      </c>
      <c r="E239" s="5" t="s">
        <v>2613</v>
      </c>
      <c r="F239" s="5" t="s">
        <v>3063</v>
      </c>
      <c r="G239" s="5" t="s">
        <v>944</v>
      </c>
      <c r="H239" s="5" t="s">
        <v>3064</v>
      </c>
      <c r="I239" s="5">
        <v>546.33</v>
      </c>
      <c r="J239" s="5">
        <v>0.0</v>
      </c>
    </row>
    <row r="240" ht="15.75" customHeight="1">
      <c r="A240" s="5" t="s">
        <v>682</v>
      </c>
      <c r="B240" s="5" t="s">
        <v>757</v>
      </c>
      <c r="C240" s="5" t="s">
        <v>758</v>
      </c>
      <c r="D240" s="5" t="s">
        <v>944</v>
      </c>
      <c r="E240" s="5" t="s">
        <v>2613</v>
      </c>
      <c r="F240" s="5" t="s">
        <v>3065</v>
      </c>
      <c r="G240" s="5" t="s">
        <v>944</v>
      </c>
      <c r="H240" s="5" t="s">
        <v>3066</v>
      </c>
      <c r="I240" s="5">
        <v>558.31</v>
      </c>
      <c r="J240" s="5">
        <v>0.0</v>
      </c>
    </row>
    <row r="241" ht="15.75" customHeight="1">
      <c r="A241" s="5" t="s">
        <v>682</v>
      </c>
      <c r="B241" s="5" t="s">
        <v>757</v>
      </c>
      <c r="C241" s="5" t="s">
        <v>758</v>
      </c>
      <c r="D241" s="5" t="s">
        <v>944</v>
      </c>
      <c r="E241" s="5" t="s">
        <v>2613</v>
      </c>
      <c r="F241" s="5" t="s">
        <v>3067</v>
      </c>
      <c r="G241" s="5" t="s">
        <v>944</v>
      </c>
      <c r="H241" s="5" t="s">
        <v>3068</v>
      </c>
      <c r="I241" s="5">
        <v>567.29</v>
      </c>
      <c r="J241" s="5">
        <v>0.0</v>
      </c>
    </row>
    <row r="242" ht="15.75" customHeight="1">
      <c r="A242" s="5" t="s">
        <v>682</v>
      </c>
      <c r="B242" s="5" t="s">
        <v>757</v>
      </c>
      <c r="C242" s="5" t="s">
        <v>758</v>
      </c>
      <c r="D242" s="5" t="s">
        <v>944</v>
      </c>
      <c r="E242" s="5" t="s">
        <v>2613</v>
      </c>
      <c r="F242" s="5" t="s">
        <v>3069</v>
      </c>
      <c r="G242" s="5" t="s">
        <v>944</v>
      </c>
      <c r="H242" s="5" t="s">
        <v>3070</v>
      </c>
      <c r="I242" s="5">
        <v>456.15</v>
      </c>
      <c r="J242" s="5">
        <v>0.0</v>
      </c>
    </row>
    <row r="243" ht="15.75" customHeight="1">
      <c r="A243" s="5" t="s">
        <v>682</v>
      </c>
      <c r="B243" s="5" t="s">
        <v>757</v>
      </c>
      <c r="C243" s="5" t="s">
        <v>758</v>
      </c>
      <c r="D243" s="5" t="s">
        <v>944</v>
      </c>
      <c r="E243" s="5" t="s">
        <v>2613</v>
      </c>
      <c r="F243" s="5" t="s">
        <v>3071</v>
      </c>
      <c r="G243" s="5" t="s">
        <v>944</v>
      </c>
      <c r="H243" s="5" t="s">
        <v>3072</v>
      </c>
      <c r="I243" s="5">
        <v>450.54</v>
      </c>
      <c r="J243" s="5">
        <v>0.0</v>
      </c>
    </row>
    <row r="244" ht="15.75" customHeight="1">
      <c r="A244" s="5" t="s">
        <v>682</v>
      </c>
      <c r="B244" s="5" t="s">
        <v>757</v>
      </c>
      <c r="C244" s="5" t="s">
        <v>758</v>
      </c>
      <c r="D244" s="5" t="s">
        <v>944</v>
      </c>
      <c r="E244" s="5" t="s">
        <v>2613</v>
      </c>
      <c r="F244" s="5" t="s">
        <v>3073</v>
      </c>
      <c r="G244" s="5" t="s">
        <v>944</v>
      </c>
      <c r="H244" s="5" t="s">
        <v>3074</v>
      </c>
      <c r="I244" s="5">
        <v>572.53</v>
      </c>
      <c r="J244" s="5">
        <v>0.0</v>
      </c>
    </row>
    <row r="245" ht="15.75" customHeight="1">
      <c r="A245" s="5" t="s">
        <v>682</v>
      </c>
      <c r="B245" s="5" t="s">
        <v>757</v>
      </c>
      <c r="C245" s="5" t="s">
        <v>758</v>
      </c>
      <c r="D245" s="5" t="s">
        <v>944</v>
      </c>
      <c r="E245" s="5" t="s">
        <v>2613</v>
      </c>
      <c r="F245" s="5" t="s">
        <v>3075</v>
      </c>
      <c r="G245" s="5" t="s">
        <v>944</v>
      </c>
      <c r="H245" s="5" t="s">
        <v>3076</v>
      </c>
      <c r="I245" s="5">
        <v>850.18</v>
      </c>
      <c r="J245" s="5">
        <v>0.0</v>
      </c>
    </row>
    <row r="246" ht="15.75" customHeight="1">
      <c r="A246" s="5" t="s">
        <v>682</v>
      </c>
      <c r="B246" s="5" t="s">
        <v>757</v>
      </c>
      <c r="C246" s="5" t="s">
        <v>758</v>
      </c>
      <c r="D246" s="5" t="s">
        <v>944</v>
      </c>
      <c r="E246" s="5" t="s">
        <v>2613</v>
      </c>
      <c r="F246" s="5" t="s">
        <v>3077</v>
      </c>
      <c r="G246" s="5" t="s">
        <v>944</v>
      </c>
      <c r="H246" s="5" t="s">
        <v>3078</v>
      </c>
      <c r="I246" s="5">
        <v>650.36</v>
      </c>
      <c r="J246" s="5">
        <v>0.0</v>
      </c>
    </row>
    <row r="247" ht="15.75" customHeight="1">
      <c r="A247" s="5" t="s">
        <v>682</v>
      </c>
      <c r="B247" s="5" t="s">
        <v>757</v>
      </c>
      <c r="C247" s="5" t="s">
        <v>758</v>
      </c>
      <c r="D247" s="5" t="s">
        <v>944</v>
      </c>
      <c r="E247" s="5" t="s">
        <v>2613</v>
      </c>
      <c r="F247" s="5" t="s">
        <v>3079</v>
      </c>
      <c r="G247" s="5" t="s">
        <v>944</v>
      </c>
      <c r="H247" s="5" t="s">
        <v>3080</v>
      </c>
      <c r="I247" s="5">
        <v>544.46</v>
      </c>
      <c r="J247" s="5">
        <v>0.0</v>
      </c>
    </row>
    <row r="248" ht="15.75" customHeight="1">
      <c r="A248" s="5" t="s">
        <v>682</v>
      </c>
      <c r="B248" s="5" t="s">
        <v>757</v>
      </c>
      <c r="C248" s="5" t="s">
        <v>758</v>
      </c>
      <c r="D248" s="5" t="s">
        <v>944</v>
      </c>
      <c r="E248" s="5" t="s">
        <v>2613</v>
      </c>
      <c r="F248" s="5" t="s">
        <v>3081</v>
      </c>
      <c r="G248" s="5" t="s">
        <v>944</v>
      </c>
      <c r="H248" s="5" t="s">
        <v>3082</v>
      </c>
      <c r="I248" s="5">
        <v>486.83</v>
      </c>
      <c r="J248" s="5">
        <v>0.0</v>
      </c>
    </row>
    <row r="249" ht="15.75" customHeight="1">
      <c r="A249" s="5" t="s">
        <v>682</v>
      </c>
      <c r="B249" s="5" t="s">
        <v>757</v>
      </c>
      <c r="C249" s="5" t="s">
        <v>758</v>
      </c>
      <c r="D249" s="5" t="s">
        <v>944</v>
      </c>
      <c r="E249" s="5" t="s">
        <v>2613</v>
      </c>
      <c r="F249" s="5" t="s">
        <v>3083</v>
      </c>
      <c r="G249" s="5" t="s">
        <v>944</v>
      </c>
      <c r="H249" s="5" t="s">
        <v>3084</v>
      </c>
      <c r="I249" s="5">
        <v>1003.23</v>
      </c>
      <c r="J249" s="5">
        <v>0.0</v>
      </c>
    </row>
    <row r="250" ht="15.75" customHeight="1">
      <c r="A250" s="5" t="s">
        <v>682</v>
      </c>
      <c r="B250" s="5" t="s">
        <v>757</v>
      </c>
      <c r="C250" s="5" t="s">
        <v>758</v>
      </c>
      <c r="D250" s="5" t="s">
        <v>944</v>
      </c>
      <c r="E250" s="5" t="s">
        <v>2613</v>
      </c>
      <c r="F250" s="5" t="s">
        <v>3085</v>
      </c>
      <c r="G250" s="5" t="s">
        <v>944</v>
      </c>
      <c r="H250" s="5" t="s">
        <v>3086</v>
      </c>
      <c r="I250" s="5">
        <v>461.39</v>
      </c>
      <c r="J250" s="5">
        <v>0.0</v>
      </c>
    </row>
    <row r="251" ht="15.75" customHeight="1">
      <c r="A251" s="5" t="s">
        <v>682</v>
      </c>
      <c r="B251" s="5" t="s">
        <v>757</v>
      </c>
      <c r="C251" s="5" t="s">
        <v>758</v>
      </c>
      <c r="D251" s="5" t="s">
        <v>944</v>
      </c>
      <c r="E251" s="5" t="s">
        <v>2613</v>
      </c>
      <c r="F251" s="5" t="s">
        <v>3087</v>
      </c>
      <c r="G251" s="5" t="s">
        <v>944</v>
      </c>
      <c r="H251" s="5" t="s">
        <v>3088</v>
      </c>
      <c r="I251" s="5">
        <v>37420.0</v>
      </c>
      <c r="J251" s="5">
        <v>0.0</v>
      </c>
    </row>
    <row r="252" ht="15.75" customHeight="1">
      <c r="A252" s="5" t="s">
        <v>682</v>
      </c>
      <c r="B252" s="5" t="s">
        <v>757</v>
      </c>
      <c r="C252" s="5" t="s">
        <v>758</v>
      </c>
      <c r="D252" s="5" t="s">
        <v>944</v>
      </c>
      <c r="E252" s="5" t="s">
        <v>2613</v>
      </c>
      <c r="F252" s="5" t="s">
        <v>3089</v>
      </c>
      <c r="G252" s="5" t="s">
        <v>944</v>
      </c>
      <c r="H252" s="5" t="s">
        <v>3090</v>
      </c>
      <c r="I252" s="5">
        <v>376.82</v>
      </c>
      <c r="J252" s="5">
        <v>0.0</v>
      </c>
    </row>
    <row r="253" ht="15.75" customHeight="1">
      <c r="A253" s="5" t="s">
        <v>682</v>
      </c>
      <c r="B253" s="5" t="s">
        <v>757</v>
      </c>
      <c r="C253" s="5" t="s">
        <v>758</v>
      </c>
      <c r="D253" s="5" t="s">
        <v>944</v>
      </c>
      <c r="E253" s="5" t="s">
        <v>2613</v>
      </c>
      <c r="F253" s="5" t="s">
        <v>3091</v>
      </c>
      <c r="G253" s="5" t="s">
        <v>944</v>
      </c>
      <c r="H253" s="5" t="s">
        <v>3092</v>
      </c>
      <c r="I253" s="5">
        <v>587.87</v>
      </c>
      <c r="J253" s="5">
        <v>0.0</v>
      </c>
    </row>
    <row r="254" ht="15.75" customHeight="1">
      <c r="A254" s="5" t="s">
        <v>682</v>
      </c>
      <c r="B254" s="5" t="s">
        <v>757</v>
      </c>
      <c r="C254" s="5" t="s">
        <v>758</v>
      </c>
      <c r="D254" s="5" t="s">
        <v>944</v>
      </c>
      <c r="E254" s="5" t="s">
        <v>2613</v>
      </c>
      <c r="F254" s="5" t="s">
        <v>3093</v>
      </c>
      <c r="G254" s="5" t="s">
        <v>944</v>
      </c>
      <c r="H254" s="5" t="s">
        <v>3094</v>
      </c>
      <c r="I254" s="5">
        <v>389.54</v>
      </c>
      <c r="J254" s="5">
        <v>0.0</v>
      </c>
    </row>
    <row r="255" ht="15.75" customHeight="1">
      <c r="A255" s="5" t="s">
        <v>682</v>
      </c>
      <c r="B255" s="5" t="s">
        <v>757</v>
      </c>
      <c r="C255" s="5" t="s">
        <v>758</v>
      </c>
      <c r="D255" s="5" t="s">
        <v>944</v>
      </c>
      <c r="E255" s="5" t="s">
        <v>2613</v>
      </c>
      <c r="F255" s="5" t="s">
        <v>3095</v>
      </c>
      <c r="G255" s="5" t="s">
        <v>944</v>
      </c>
      <c r="H255" s="5" t="s">
        <v>3096</v>
      </c>
      <c r="I255" s="5">
        <v>389.54</v>
      </c>
      <c r="J255" s="5">
        <v>0.0</v>
      </c>
    </row>
    <row r="256" ht="15.75" customHeight="1">
      <c r="A256" s="5" t="s">
        <v>682</v>
      </c>
      <c r="B256" s="5" t="s">
        <v>757</v>
      </c>
      <c r="C256" s="5" t="s">
        <v>758</v>
      </c>
      <c r="D256" s="5" t="s">
        <v>944</v>
      </c>
      <c r="E256" s="5" t="s">
        <v>2613</v>
      </c>
      <c r="F256" s="5" t="s">
        <v>3097</v>
      </c>
      <c r="G256" s="5" t="s">
        <v>944</v>
      </c>
      <c r="H256" s="5" t="s">
        <v>3098</v>
      </c>
      <c r="I256" s="5">
        <v>389.54</v>
      </c>
      <c r="J256" s="5">
        <v>0.0</v>
      </c>
    </row>
    <row r="257" ht="15.75" customHeight="1">
      <c r="A257" s="5" t="s">
        <v>682</v>
      </c>
      <c r="B257" s="5" t="s">
        <v>757</v>
      </c>
      <c r="C257" s="5" t="s">
        <v>758</v>
      </c>
      <c r="D257" s="5" t="s">
        <v>944</v>
      </c>
      <c r="E257" s="5" t="s">
        <v>2613</v>
      </c>
      <c r="F257" s="5" t="s">
        <v>3099</v>
      </c>
      <c r="G257" s="5" t="s">
        <v>944</v>
      </c>
      <c r="H257" s="5" t="s">
        <v>3100</v>
      </c>
      <c r="I257" s="5">
        <v>389.54</v>
      </c>
      <c r="J257" s="5">
        <v>0.0</v>
      </c>
    </row>
    <row r="258" ht="15.75" customHeight="1">
      <c r="A258" s="5" t="s">
        <v>682</v>
      </c>
      <c r="B258" s="5" t="s">
        <v>757</v>
      </c>
      <c r="C258" s="5" t="s">
        <v>758</v>
      </c>
      <c r="D258" s="5" t="s">
        <v>944</v>
      </c>
      <c r="E258" s="5" t="s">
        <v>2613</v>
      </c>
      <c r="F258" s="5" t="s">
        <v>3101</v>
      </c>
      <c r="G258" s="5" t="s">
        <v>944</v>
      </c>
      <c r="H258" s="5" t="s">
        <v>3102</v>
      </c>
      <c r="I258" s="5">
        <v>1637.13</v>
      </c>
      <c r="J258" s="5">
        <v>0.0</v>
      </c>
    </row>
    <row r="259" ht="15.75" customHeight="1">
      <c r="A259" s="5" t="s">
        <v>682</v>
      </c>
      <c r="B259" s="5" t="s">
        <v>757</v>
      </c>
      <c r="C259" s="5" t="s">
        <v>758</v>
      </c>
      <c r="D259" s="5" t="s">
        <v>944</v>
      </c>
      <c r="E259" s="5" t="s">
        <v>2613</v>
      </c>
      <c r="F259" s="5" t="s">
        <v>3103</v>
      </c>
      <c r="G259" s="5" t="s">
        <v>944</v>
      </c>
      <c r="H259" s="5" t="s">
        <v>3104</v>
      </c>
      <c r="I259" s="5">
        <v>506.29</v>
      </c>
      <c r="J259" s="5">
        <v>0.0</v>
      </c>
    </row>
    <row r="260" ht="15.75" customHeight="1">
      <c r="A260" s="5" t="s">
        <v>682</v>
      </c>
      <c r="B260" s="5" t="s">
        <v>757</v>
      </c>
      <c r="C260" s="5" t="s">
        <v>758</v>
      </c>
      <c r="D260" s="5" t="s">
        <v>944</v>
      </c>
      <c r="E260" s="5" t="s">
        <v>2613</v>
      </c>
      <c r="F260" s="5" t="s">
        <v>3105</v>
      </c>
      <c r="G260" s="5" t="s">
        <v>944</v>
      </c>
      <c r="H260" s="5" t="s">
        <v>3106</v>
      </c>
      <c r="I260" s="5">
        <v>395.53</v>
      </c>
      <c r="J260" s="5">
        <v>0.0</v>
      </c>
    </row>
    <row r="261" ht="15.75" customHeight="1">
      <c r="A261" s="5" t="s">
        <v>682</v>
      </c>
      <c r="B261" s="5" t="s">
        <v>757</v>
      </c>
      <c r="C261" s="5" t="s">
        <v>758</v>
      </c>
      <c r="D261" s="5" t="s">
        <v>944</v>
      </c>
      <c r="E261" s="5" t="s">
        <v>2613</v>
      </c>
      <c r="F261" s="5" t="s">
        <v>3107</v>
      </c>
      <c r="G261" s="5" t="s">
        <v>944</v>
      </c>
      <c r="H261" s="5" t="s">
        <v>3108</v>
      </c>
      <c r="I261" s="5">
        <v>389.54</v>
      </c>
      <c r="J261" s="5">
        <v>0.0</v>
      </c>
    </row>
    <row r="262" ht="15.75" customHeight="1">
      <c r="A262" s="5" t="s">
        <v>682</v>
      </c>
      <c r="B262" s="5" t="s">
        <v>757</v>
      </c>
      <c r="C262" s="5" t="s">
        <v>758</v>
      </c>
      <c r="D262" s="5" t="s">
        <v>944</v>
      </c>
      <c r="E262" s="5" t="s">
        <v>2613</v>
      </c>
      <c r="F262" s="5" t="s">
        <v>3109</v>
      </c>
      <c r="G262" s="5" t="s">
        <v>944</v>
      </c>
      <c r="H262" s="5" t="s">
        <v>3110</v>
      </c>
      <c r="I262" s="5">
        <v>389.54</v>
      </c>
      <c r="J262" s="5">
        <v>0.0</v>
      </c>
    </row>
    <row r="263" ht="15.75" customHeight="1">
      <c r="A263" s="5" t="s">
        <v>682</v>
      </c>
      <c r="B263" s="5" t="s">
        <v>757</v>
      </c>
      <c r="C263" s="5" t="s">
        <v>758</v>
      </c>
      <c r="D263" s="5" t="s">
        <v>944</v>
      </c>
      <c r="E263" s="5" t="s">
        <v>2613</v>
      </c>
      <c r="F263" s="5" t="s">
        <v>3111</v>
      </c>
      <c r="G263" s="5" t="s">
        <v>944</v>
      </c>
      <c r="H263" s="5" t="s">
        <v>3112</v>
      </c>
      <c r="I263" s="5">
        <v>389.54</v>
      </c>
      <c r="J263" s="5">
        <v>0.0</v>
      </c>
    </row>
    <row r="264" ht="15.75" customHeight="1">
      <c r="A264" s="5" t="s">
        <v>682</v>
      </c>
      <c r="B264" s="5" t="s">
        <v>757</v>
      </c>
      <c r="C264" s="5" t="s">
        <v>758</v>
      </c>
      <c r="D264" s="5" t="s">
        <v>944</v>
      </c>
      <c r="E264" s="5" t="s">
        <v>2613</v>
      </c>
      <c r="F264" s="5" t="s">
        <v>3113</v>
      </c>
      <c r="G264" s="5" t="s">
        <v>944</v>
      </c>
      <c r="H264" s="5" t="s">
        <v>3114</v>
      </c>
      <c r="I264" s="5">
        <v>389.54</v>
      </c>
      <c r="J264" s="5">
        <v>0.0</v>
      </c>
    </row>
    <row r="265" ht="15.75" customHeight="1">
      <c r="A265" s="5" t="s">
        <v>682</v>
      </c>
      <c r="B265" s="5" t="s">
        <v>757</v>
      </c>
      <c r="C265" s="5" t="s">
        <v>758</v>
      </c>
      <c r="D265" s="5" t="s">
        <v>944</v>
      </c>
      <c r="E265" s="5" t="s">
        <v>2613</v>
      </c>
      <c r="F265" s="5" t="s">
        <v>3115</v>
      </c>
      <c r="G265" s="5" t="s">
        <v>944</v>
      </c>
      <c r="H265" s="5" t="s">
        <v>3116</v>
      </c>
      <c r="I265" s="5">
        <v>380.19</v>
      </c>
      <c r="J265" s="5">
        <v>0.0</v>
      </c>
    </row>
    <row r="266" ht="15.75" customHeight="1">
      <c r="A266" s="5" t="s">
        <v>682</v>
      </c>
      <c r="B266" s="5" t="s">
        <v>757</v>
      </c>
      <c r="C266" s="5" t="s">
        <v>758</v>
      </c>
      <c r="D266" s="5" t="s">
        <v>944</v>
      </c>
      <c r="E266" s="5" t="s">
        <v>2613</v>
      </c>
      <c r="F266" s="5" t="s">
        <v>3117</v>
      </c>
      <c r="G266" s="5" t="s">
        <v>944</v>
      </c>
      <c r="H266" s="5" t="s">
        <v>3118</v>
      </c>
      <c r="I266" s="5">
        <v>575.89</v>
      </c>
      <c r="J266" s="5">
        <v>0.0</v>
      </c>
    </row>
    <row r="267" ht="15.75" customHeight="1">
      <c r="A267" s="5" t="s">
        <v>682</v>
      </c>
      <c r="B267" s="5" t="s">
        <v>757</v>
      </c>
      <c r="C267" s="5" t="s">
        <v>758</v>
      </c>
      <c r="D267" s="5" t="s">
        <v>944</v>
      </c>
      <c r="E267" s="5" t="s">
        <v>2613</v>
      </c>
      <c r="F267" s="5" t="s">
        <v>3119</v>
      </c>
      <c r="G267" s="5" t="s">
        <v>944</v>
      </c>
      <c r="H267" s="5" t="s">
        <v>3120</v>
      </c>
      <c r="I267" s="5">
        <v>581.13</v>
      </c>
      <c r="J267" s="5">
        <v>0.0</v>
      </c>
    </row>
    <row r="268" ht="15.75" customHeight="1">
      <c r="A268" s="5" t="s">
        <v>682</v>
      </c>
      <c r="B268" s="5" t="s">
        <v>757</v>
      </c>
      <c r="C268" s="5" t="s">
        <v>758</v>
      </c>
      <c r="D268" s="5" t="s">
        <v>944</v>
      </c>
      <c r="E268" s="5" t="s">
        <v>2613</v>
      </c>
      <c r="F268" s="5" t="s">
        <v>3121</v>
      </c>
      <c r="G268" s="5" t="s">
        <v>944</v>
      </c>
      <c r="H268" s="5" t="s">
        <v>3122</v>
      </c>
      <c r="I268" s="5">
        <v>585.62</v>
      </c>
      <c r="J268" s="5">
        <v>0.0</v>
      </c>
    </row>
    <row r="269" ht="15.75" customHeight="1">
      <c r="A269" s="5" t="s">
        <v>682</v>
      </c>
      <c r="B269" s="5" t="s">
        <v>757</v>
      </c>
      <c r="C269" s="5" t="s">
        <v>758</v>
      </c>
      <c r="D269" s="5" t="s">
        <v>944</v>
      </c>
      <c r="E269" s="5" t="s">
        <v>2613</v>
      </c>
      <c r="F269" s="5" t="s">
        <v>3123</v>
      </c>
      <c r="G269" s="5" t="s">
        <v>944</v>
      </c>
      <c r="H269" s="5" t="s">
        <v>3124</v>
      </c>
      <c r="I269" s="5">
        <v>529.38</v>
      </c>
      <c r="J269" s="5">
        <v>0.0</v>
      </c>
    </row>
    <row r="270" ht="15.75" customHeight="1">
      <c r="A270" s="5" t="s">
        <v>682</v>
      </c>
      <c r="B270" s="5" t="s">
        <v>757</v>
      </c>
      <c r="C270" s="5" t="s">
        <v>758</v>
      </c>
      <c r="D270" s="5" t="s">
        <v>944</v>
      </c>
      <c r="E270" s="5" t="s">
        <v>2613</v>
      </c>
      <c r="F270" s="5" t="s">
        <v>3125</v>
      </c>
      <c r="G270" s="5" t="s">
        <v>944</v>
      </c>
      <c r="H270" s="5" t="s">
        <v>3126</v>
      </c>
      <c r="I270" s="5">
        <v>387.3</v>
      </c>
      <c r="J270" s="5">
        <v>0.0</v>
      </c>
    </row>
    <row r="271" ht="15.75" customHeight="1">
      <c r="A271" s="5" t="s">
        <v>682</v>
      </c>
      <c r="B271" s="5" t="s">
        <v>757</v>
      </c>
      <c r="C271" s="5" t="s">
        <v>758</v>
      </c>
      <c r="D271" s="5" t="s">
        <v>944</v>
      </c>
      <c r="E271" s="5" t="s">
        <v>2613</v>
      </c>
      <c r="F271" s="5" t="s">
        <v>3127</v>
      </c>
      <c r="G271" s="5" t="s">
        <v>944</v>
      </c>
      <c r="H271" s="5" t="s">
        <v>3128</v>
      </c>
      <c r="I271" s="5">
        <v>483.47</v>
      </c>
      <c r="J271" s="5">
        <v>0.0</v>
      </c>
    </row>
    <row r="272" ht="15.75" customHeight="1">
      <c r="A272" s="5" t="s">
        <v>682</v>
      </c>
      <c r="B272" s="5" t="s">
        <v>757</v>
      </c>
      <c r="C272" s="5" t="s">
        <v>758</v>
      </c>
      <c r="D272" s="5" t="s">
        <v>944</v>
      </c>
      <c r="E272" s="5" t="s">
        <v>2613</v>
      </c>
      <c r="F272" s="5" t="s">
        <v>3129</v>
      </c>
      <c r="G272" s="5" t="s">
        <v>944</v>
      </c>
      <c r="H272" s="5" t="s">
        <v>3130</v>
      </c>
      <c r="I272" s="5">
        <v>552.32</v>
      </c>
      <c r="J272" s="5">
        <v>0.0</v>
      </c>
    </row>
    <row r="273" ht="15.75" customHeight="1">
      <c r="A273" s="5" t="s">
        <v>682</v>
      </c>
      <c r="B273" s="5" t="s">
        <v>757</v>
      </c>
      <c r="C273" s="5" t="s">
        <v>758</v>
      </c>
      <c r="D273" s="5" t="s">
        <v>944</v>
      </c>
      <c r="E273" s="5" t="s">
        <v>2613</v>
      </c>
      <c r="F273" s="5" t="s">
        <v>3131</v>
      </c>
      <c r="G273" s="5" t="s">
        <v>944</v>
      </c>
      <c r="H273" s="5" t="s">
        <v>3132</v>
      </c>
      <c r="I273" s="5">
        <v>597.6</v>
      </c>
      <c r="J273" s="5">
        <v>0.0</v>
      </c>
    </row>
    <row r="274" ht="15.75" customHeight="1">
      <c r="A274" s="5" t="s">
        <v>682</v>
      </c>
      <c r="B274" s="5" t="s">
        <v>757</v>
      </c>
      <c r="C274" s="5" t="s">
        <v>758</v>
      </c>
      <c r="D274" s="5" t="s">
        <v>944</v>
      </c>
      <c r="E274" s="5" t="s">
        <v>2613</v>
      </c>
      <c r="F274" s="5" t="s">
        <v>3133</v>
      </c>
      <c r="G274" s="5" t="s">
        <v>944</v>
      </c>
      <c r="H274" s="5" t="s">
        <v>3134</v>
      </c>
      <c r="I274" s="5">
        <v>444.92</v>
      </c>
      <c r="J274" s="5">
        <v>0.0</v>
      </c>
    </row>
    <row r="275" ht="15.75" customHeight="1">
      <c r="A275" s="5" t="s">
        <v>682</v>
      </c>
      <c r="B275" s="5" t="s">
        <v>757</v>
      </c>
      <c r="C275" s="5" t="s">
        <v>758</v>
      </c>
      <c r="D275" s="5" t="s">
        <v>944</v>
      </c>
      <c r="E275" s="5" t="s">
        <v>2613</v>
      </c>
      <c r="F275" s="5" t="s">
        <v>3135</v>
      </c>
      <c r="G275" s="5" t="s">
        <v>944</v>
      </c>
      <c r="H275" s="5" t="s">
        <v>3136</v>
      </c>
      <c r="I275" s="5">
        <v>636.89</v>
      </c>
      <c r="J275" s="5">
        <v>0.0</v>
      </c>
    </row>
    <row r="276" ht="15.75" customHeight="1">
      <c r="A276" s="5" t="s">
        <v>682</v>
      </c>
      <c r="B276" s="5" t="s">
        <v>757</v>
      </c>
      <c r="C276" s="5" t="s">
        <v>758</v>
      </c>
      <c r="D276" s="5" t="s">
        <v>944</v>
      </c>
      <c r="E276" s="5" t="s">
        <v>2613</v>
      </c>
      <c r="F276" s="5" t="s">
        <v>3137</v>
      </c>
      <c r="G276" s="5" t="s">
        <v>944</v>
      </c>
      <c r="H276" s="5" t="s">
        <v>3138</v>
      </c>
      <c r="I276" s="5">
        <v>662.33</v>
      </c>
      <c r="J276" s="5">
        <v>0.0</v>
      </c>
    </row>
    <row r="277" ht="15.75" customHeight="1">
      <c r="A277" s="5" t="s">
        <v>682</v>
      </c>
      <c r="B277" s="5" t="s">
        <v>757</v>
      </c>
      <c r="C277" s="5" t="s">
        <v>758</v>
      </c>
      <c r="D277" s="5" t="s">
        <v>944</v>
      </c>
      <c r="E277" s="5" t="s">
        <v>2613</v>
      </c>
      <c r="F277" s="5" t="s">
        <v>3139</v>
      </c>
      <c r="G277" s="5" t="s">
        <v>944</v>
      </c>
      <c r="H277" s="5" t="s">
        <v>3140</v>
      </c>
      <c r="I277" s="5">
        <v>486.83</v>
      </c>
      <c r="J277" s="5">
        <v>0.0</v>
      </c>
    </row>
    <row r="278" ht="15.75" customHeight="1">
      <c r="A278" s="5" t="s">
        <v>682</v>
      </c>
      <c r="B278" s="5" t="s">
        <v>757</v>
      </c>
      <c r="C278" s="5" t="s">
        <v>758</v>
      </c>
      <c r="D278" s="5" t="s">
        <v>944</v>
      </c>
      <c r="E278" s="5" t="s">
        <v>2613</v>
      </c>
      <c r="F278" s="5" t="s">
        <v>3141</v>
      </c>
      <c r="G278" s="5" t="s">
        <v>944</v>
      </c>
      <c r="H278" s="5" t="s">
        <v>3142</v>
      </c>
      <c r="I278" s="5">
        <v>484.21</v>
      </c>
      <c r="J278" s="5">
        <v>0.0</v>
      </c>
    </row>
    <row r="279" ht="15.75" customHeight="1">
      <c r="A279" s="5" t="s">
        <v>682</v>
      </c>
      <c r="B279" s="5" t="s">
        <v>757</v>
      </c>
      <c r="C279" s="5" t="s">
        <v>758</v>
      </c>
      <c r="D279" s="5" t="s">
        <v>944</v>
      </c>
      <c r="E279" s="5" t="s">
        <v>2613</v>
      </c>
      <c r="F279" s="5" t="s">
        <v>3143</v>
      </c>
      <c r="G279" s="5" t="s">
        <v>944</v>
      </c>
      <c r="H279" s="5" t="s">
        <v>3144</v>
      </c>
      <c r="I279" s="5">
        <v>402.64</v>
      </c>
      <c r="J279" s="5">
        <v>0.0</v>
      </c>
    </row>
    <row r="280" ht="15.75" customHeight="1">
      <c r="A280" s="5" t="s">
        <v>682</v>
      </c>
      <c r="B280" s="5" t="s">
        <v>757</v>
      </c>
      <c r="C280" s="5" t="s">
        <v>758</v>
      </c>
      <c r="D280" s="5" t="s">
        <v>944</v>
      </c>
      <c r="E280" s="5" t="s">
        <v>2613</v>
      </c>
      <c r="F280" s="5" t="s">
        <v>3145</v>
      </c>
      <c r="G280" s="5" t="s">
        <v>944</v>
      </c>
      <c r="H280" s="5" t="s">
        <v>3146</v>
      </c>
      <c r="I280" s="5">
        <v>402.64</v>
      </c>
      <c r="J280" s="5">
        <v>0.0</v>
      </c>
    </row>
    <row r="281" ht="15.75" customHeight="1">
      <c r="A281" s="5" t="s">
        <v>682</v>
      </c>
      <c r="B281" s="5" t="s">
        <v>757</v>
      </c>
      <c r="C281" s="5" t="s">
        <v>758</v>
      </c>
      <c r="D281" s="5" t="s">
        <v>944</v>
      </c>
      <c r="E281" s="5" t="s">
        <v>2613</v>
      </c>
      <c r="F281" s="5" t="s">
        <v>3147</v>
      </c>
      <c r="G281" s="5" t="s">
        <v>944</v>
      </c>
      <c r="H281" s="5" t="s">
        <v>3148</v>
      </c>
      <c r="I281" s="5">
        <v>402.64</v>
      </c>
      <c r="J281" s="5">
        <v>0.0</v>
      </c>
    </row>
    <row r="282" ht="15.75" customHeight="1">
      <c r="A282" s="5" t="s">
        <v>682</v>
      </c>
      <c r="B282" s="5" t="s">
        <v>757</v>
      </c>
      <c r="C282" s="5" t="s">
        <v>758</v>
      </c>
      <c r="D282" s="5" t="s">
        <v>944</v>
      </c>
      <c r="E282" s="5" t="s">
        <v>2613</v>
      </c>
      <c r="F282" s="5" t="s">
        <v>3149</v>
      </c>
      <c r="G282" s="5" t="s">
        <v>944</v>
      </c>
      <c r="H282" s="5" t="s">
        <v>3150</v>
      </c>
      <c r="I282" s="5">
        <v>414.61</v>
      </c>
      <c r="J282" s="5">
        <v>0.0</v>
      </c>
    </row>
    <row r="283" ht="15.75" customHeight="1">
      <c r="A283" s="5" t="s">
        <v>682</v>
      </c>
      <c r="B283" s="5" t="s">
        <v>757</v>
      </c>
      <c r="C283" s="5" t="s">
        <v>758</v>
      </c>
      <c r="D283" s="5" t="s">
        <v>944</v>
      </c>
      <c r="E283" s="5" t="s">
        <v>2613</v>
      </c>
      <c r="F283" s="5" t="s">
        <v>3151</v>
      </c>
      <c r="G283" s="5" t="s">
        <v>944</v>
      </c>
      <c r="H283" s="5" t="s">
        <v>3152</v>
      </c>
      <c r="I283" s="5">
        <v>392.16</v>
      </c>
      <c r="J283" s="5">
        <v>0.0</v>
      </c>
    </row>
    <row r="284" ht="15.75" customHeight="1">
      <c r="A284" s="5" t="s">
        <v>682</v>
      </c>
      <c r="B284" s="5" t="s">
        <v>757</v>
      </c>
      <c r="C284" s="5" t="s">
        <v>758</v>
      </c>
      <c r="D284" s="5" t="s">
        <v>944</v>
      </c>
      <c r="E284" s="5" t="s">
        <v>2613</v>
      </c>
      <c r="F284" s="5" t="s">
        <v>3153</v>
      </c>
      <c r="G284" s="5" t="s">
        <v>944</v>
      </c>
      <c r="H284" s="5" t="s">
        <v>3154</v>
      </c>
      <c r="I284" s="5">
        <v>402.64</v>
      </c>
      <c r="J284" s="5">
        <v>0.0</v>
      </c>
    </row>
    <row r="285" ht="15.75" customHeight="1">
      <c r="A285" s="5" t="s">
        <v>682</v>
      </c>
      <c r="B285" s="5" t="s">
        <v>757</v>
      </c>
      <c r="C285" s="5" t="s">
        <v>758</v>
      </c>
      <c r="D285" s="5" t="s">
        <v>944</v>
      </c>
      <c r="E285" s="5" t="s">
        <v>2613</v>
      </c>
      <c r="F285" s="5" t="s">
        <v>3155</v>
      </c>
      <c r="G285" s="5" t="s">
        <v>944</v>
      </c>
      <c r="H285" s="5" t="s">
        <v>3156</v>
      </c>
      <c r="I285" s="5">
        <v>402.94</v>
      </c>
      <c r="J285" s="5">
        <v>0.0</v>
      </c>
    </row>
    <row r="286" ht="15.75" customHeight="1">
      <c r="A286" s="5" t="s">
        <v>682</v>
      </c>
      <c r="B286" s="5" t="s">
        <v>757</v>
      </c>
      <c r="C286" s="5" t="s">
        <v>758</v>
      </c>
      <c r="D286" s="5" t="s">
        <v>944</v>
      </c>
      <c r="E286" s="5" t="s">
        <v>2613</v>
      </c>
      <c r="F286" s="5" t="s">
        <v>3157</v>
      </c>
      <c r="G286" s="5" t="s">
        <v>944</v>
      </c>
      <c r="H286" s="5" t="s">
        <v>3158</v>
      </c>
      <c r="I286" s="5">
        <v>402.64</v>
      </c>
      <c r="J286" s="5">
        <v>0.0</v>
      </c>
    </row>
    <row r="287" ht="15.75" customHeight="1">
      <c r="A287" s="5" t="s">
        <v>682</v>
      </c>
      <c r="B287" s="5" t="s">
        <v>757</v>
      </c>
      <c r="C287" s="5" t="s">
        <v>758</v>
      </c>
      <c r="D287" s="5" t="s">
        <v>944</v>
      </c>
      <c r="E287" s="5" t="s">
        <v>2606</v>
      </c>
      <c r="F287" s="5" t="s">
        <v>3159</v>
      </c>
      <c r="G287" s="5" t="s">
        <v>944</v>
      </c>
      <c r="H287" s="5" t="s">
        <v>3160</v>
      </c>
      <c r="I287" s="5">
        <v>0.0</v>
      </c>
      <c r="J287" s="5">
        <v>0.0</v>
      </c>
    </row>
    <row r="288" ht="15.75" customHeight="1">
      <c r="A288" s="5" t="s">
        <v>682</v>
      </c>
      <c r="B288" s="5" t="s">
        <v>757</v>
      </c>
      <c r="C288" s="5" t="s">
        <v>758</v>
      </c>
      <c r="D288" s="5" t="s">
        <v>944</v>
      </c>
      <c r="E288" s="5" t="s">
        <v>2763</v>
      </c>
      <c r="F288" s="5" t="s">
        <v>3161</v>
      </c>
      <c r="G288" s="5" t="s">
        <v>944</v>
      </c>
      <c r="H288" s="5" t="s">
        <v>3162</v>
      </c>
      <c r="I288" s="5">
        <v>292637.72</v>
      </c>
      <c r="J288" s="5">
        <v>321901.49</v>
      </c>
    </row>
    <row r="289" ht="15.75" customHeight="1">
      <c r="A289" s="5" t="s">
        <v>682</v>
      </c>
      <c r="B289" s="5" t="s">
        <v>757</v>
      </c>
      <c r="C289" s="5" t="s">
        <v>758</v>
      </c>
      <c r="D289" s="5" t="s">
        <v>944</v>
      </c>
      <c r="E289" s="5" t="s">
        <v>2606</v>
      </c>
      <c r="F289" s="5" t="s">
        <v>3163</v>
      </c>
      <c r="G289" s="5" t="s">
        <v>944</v>
      </c>
      <c r="H289" s="5" t="s">
        <v>3164</v>
      </c>
      <c r="I289" s="5">
        <v>130193.64</v>
      </c>
      <c r="J289" s="5">
        <v>143213.0</v>
      </c>
    </row>
    <row r="290" ht="15.75" customHeight="1">
      <c r="A290" s="5" t="s">
        <v>682</v>
      </c>
      <c r="B290" s="5" t="s">
        <v>757</v>
      </c>
      <c r="C290" s="5" t="s">
        <v>758</v>
      </c>
      <c r="D290" s="5" t="s">
        <v>944</v>
      </c>
      <c r="E290" s="5" t="s">
        <v>2613</v>
      </c>
      <c r="F290" s="5" t="s">
        <v>3165</v>
      </c>
      <c r="G290" s="5" t="s">
        <v>944</v>
      </c>
      <c r="H290" s="5" t="s">
        <v>3166</v>
      </c>
      <c r="I290" s="5">
        <v>486.83</v>
      </c>
      <c r="J290" s="5">
        <v>0.0</v>
      </c>
    </row>
    <row r="291" ht="15.75" customHeight="1">
      <c r="A291" s="5" t="s">
        <v>682</v>
      </c>
      <c r="B291" s="5" t="s">
        <v>757</v>
      </c>
      <c r="C291" s="5" t="s">
        <v>758</v>
      </c>
      <c r="D291" s="5" t="s">
        <v>944</v>
      </c>
      <c r="E291" s="5" t="s">
        <v>2763</v>
      </c>
      <c r="F291" s="5" t="s">
        <v>3167</v>
      </c>
      <c r="G291" s="5" t="s">
        <v>944</v>
      </c>
      <c r="H291" s="5" t="s">
        <v>3168</v>
      </c>
      <c r="I291" s="5">
        <v>203750.75</v>
      </c>
      <c r="J291" s="5">
        <v>224125.83</v>
      </c>
    </row>
    <row r="292" ht="15.75" customHeight="1">
      <c r="A292" s="5" t="s">
        <v>682</v>
      </c>
      <c r="B292" s="5" t="s">
        <v>757</v>
      </c>
      <c r="C292" s="5" t="s">
        <v>758</v>
      </c>
      <c r="D292" s="5" t="s">
        <v>944</v>
      </c>
      <c r="E292" s="5" t="s">
        <v>2763</v>
      </c>
      <c r="F292" s="5" t="s">
        <v>3169</v>
      </c>
      <c r="G292" s="5" t="s">
        <v>944</v>
      </c>
      <c r="H292" s="5" t="s">
        <v>3164</v>
      </c>
      <c r="I292" s="5">
        <v>130193.54</v>
      </c>
      <c r="J292" s="5">
        <v>143213.0</v>
      </c>
    </row>
    <row r="293" ht="15.75" customHeight="1">
      <c r="A293" s="5" t="s">
        <v>682</v>
      </c>
      <c r="B293" s="5" t="s">
        <v>757</v>
      </c>
      <c r="C293" s="5" t="s">
        <v>758</v>
      </c>
      <c r="D293" s="5" t="s">
        <v>944</v>
      </c>
      <c r="E293" s="5" t="s">
        <v>2613</v>
      </c>
      <c r="F293" s="5" t="s">
        <v>3170</v>
      </c>
      <c r="G293" s="5" t="s">
        <v>944</v>
      </c>
      <c r="H293" s="5" t="s">
        <v>3171</v>
      </c>
      <c r="I293" s="5">
        <v>389.54</v>
      </c>
      <c r="J293" s="5">
        <v>0.0</v>
      </c>
    </row>
    <row r="294" ht="15.75" customHeight="1">
      <c r="A294" s="5" t="s">
        <v>682</v>
      </c>
      <c r="B294" s="5" t="s">
        <v>765</v>
      </c>
      <c r="C294" s="5" t="s">
        <v>766</v>
      </c>
      <c r="D294" s="5" t="s">
        <v>944</v>
      </c>
      <c r="E294" s="5" t="s">
        <v>2606</v>
      </c>
      <c r="F294" s="5" t="s">
        <v>3172</v>
      </c>
      <c r="G294" s="5" t="s">
        <v>944</v>
      </c>
      <c r="H294" s="5" t="s">
        <v>3173</v>
      </c>
      <c r="I294" s="5">
        <v>0.0</v>
      </c>
      <c r="J294" s="5">
        <v>200000.0</v>
      </c>
    </row>
    <row r="295" ht="15.75" customHeight="1">
      <c r="A295" s="5" t="s">
        <v>682</v>
      </c>
      <c r="B295" s="5" t="s">
        <v>765</v>
      </c>
      <c r="C295" s="5" t="s">
        <v>766</v>
      </c>
      <c r="D295" s="5" t="s">
        <v>944</v>
      </c>
      <c r="E295" s="5" t="s">
        <v>2606</v>
      </c>
      <c r="F295" s="5" t="s">
        <v>3174</v>
      </c>
      <c r="G295" s="5" t="s">
        <v>944</v>
      </c>
      <c r="H295" s="5" t="s">
        <v>3175</v>
      </c>
      <c r="I295" s="5">
        <v>0.0</v>
      </c>
      <c r="J295" s="5">
        <v>30000.0</v>
      </c>
    </row>
    <row r="296" ht="15.75" customHeight="1">
      <c r="A296" s="5" t="s">
        <v>682</v>
      </c>
      <c r="B296" s="5" t="s">
        <v>773</v>
      </c>
      <c r="C296" s="5" t="s">
        <v>774</v>
      </c>
      <c r="D296" s="5" t="s">
        <v>944</v>
      </c>
      <c r="E296" s="5" t="s">
        <v>2613</v>
      </c>
      <c r="F296" s="5" t="s">
        <v>3176</v>
      </c>
      <c r="G296" s="5" t="s">
        <v>944</v>
      </c>
      <c r="H296" s="5" t="s">
        <v>3177</v>
      </c>
      <c r="I296" s="5">
        <v>15000.0</v>
      </c>
      <c r="J296" s="5">
        <v>40000.0</v>
      </c>
    </row>
    <row r="297" ht="15.75" customHeight="1">
      <c r="A297" s="5" t="s">
        <v>682</v>
      </c>
      <c r="B297" s="5" t="s">
        <v>773</v>
      </c>
      <c r="C297" s="5" t="s">
        <v>774</v>
      </c>
      <c r="D297" s="5" t="s">
        <v>944</v>
      </c>
      <c r="E297" s="5" t="s">
        <v>2606</v>
      </c>
      <c r="F297" s="5" t="s">
        <v>3178</v>
      </c>
      <c r="G297" s="5" t="s">
        <v>944</v>
      </c>
      <c r="H297" s="5" t="s">
        <v>3179</v>
      </c>
      <c r="I297" s="5">
        <v>177886.0</v>
      </c>
      <c r="J297" s="5">
        <v>310000.0</v>
      </c>
    </row>
    <row r="298" ht="15.75" customHeight="1">
      <c r="A298" s="5" t="s">
        <v>682</v>
      </c>
      <c r="B298" s="5" t="s">
        <v>782</v>
      </c>
      <c r="C298" s="5" t="s">
        <v>783</v>
      </c>
      <c r="D298" s="5" t="s">
        <v>944</v>
      </c>
      <c r="E298" s="5" t="s">
        <v>3180</v>
      </c>
      <c r="F298" s="5" t="s">
        <v>3181</v>
      </c>
      <c r="G298" s="5" t="s">
        <v>944</v>
      </c>
      <c r="H298" s="5" t="s">
        <v>3182</v>
      </c>
      <c r="I298" s="5">
        <v>1362.0</v>
      </c>
      <c r="J298" s="5">
        <v>100000.0</v>
      </c>
    </row>
    <row r="299" ht="15.75" customHeight="1">
      <c r="A299" s="5" t="s">
        <v>682</v>
      </c>
      <c r="B299" s="5" t="s">
        <v>782</v>
      </c>
      <c r="C299" s="5" t="s">
        <v>783</v>
      </c>
      <c r="D299" s="5" t="s">
        <v>944</v>
      </c>
      <c r="E299" s="5" t="s">
        <v>3180</v>
      </c>
      <c r="F299" s="5" t="s">
        <v>3181</v>
      </c>
      <c r="G299" s="5" t="s">
        <v>944</v>
      </c>
      <c r="H299" s="5" t="s">
        <v>3183</v>
      </c>
      <c r="I299" s="5">
        <v>2500.0</v>
      </c>
      <c r="J299" s="5">
        <v>150000.0</v>
      </c>
      <c r="K299" s="5" t="s">
        <v>3184</v>
      </c>
    </row>
    <row r="300" ht="15.75" customHeight="1">
      <c r="A300" s="5" t="s">
        <v>682</v>
      </c>
      <c r="B300" s="5" t="s">
        <v>782</v>
      </c>
      <c r="C300" s="5" t="s">
        <v>783</v>
      </c>
      <c r="D300" s="5" t="s">
        <v>944</v>
      </c>
      <c r="E300" s="5" t="s">
        <v>3180</v>
      </c>
      <c r="F300" s="5" t="s">
        <v>3181</v>
      </c>
      <c r="G300" s="5" t="s">
        <v>944</v>
      </c>
      <c r="H300" s="5" t="s">
        <v>3185</v>
      </c>
      <c r="I300" s="5">
        <v>23000.0</v>
      </c>
      <c r="J300" s="5">
        <v>500000.0</v>
      </c>
    </row>
    <row r="301" ht="15.75" customHeight="1">
      <c r="A301" s="5" t="s">
        <v>682</v>
      </c>
      <c r="B301" s="5" t="s">
        <v>782</v>
      </c>
      <c r="C301" s="5" t="s">
        <v>783</v>
      </c>
      <c r="D301" s="5" t="s">
        <v>944</v>
      </c>
      <c r="E301" s="5" t="s">
        <v>3180</v>
      </c>
      <c r="F301" s="5" t="s">
        <v>3181</v>
      </c>
      <c r="G301" s="5" t="s">
        <v>944</v>
      </c>
      <c r="H301" s="5" t="s">
        <v>3186</v>
      </c>
      <c r="I301" s="5">
        <v>2515.08</v>
      </c>
      <c r="J301" s="5">
        <v>200000.0</v>
      </c>
    </row>
    <row r="302" ht="15.75" customHeight="1">
      <c r="A302" s="5" t="s">
        <v>682</v>
      </c>
      <c r="B302" s="5" t="s">
        <v>782</v>
      </c>
      <c r="C302" s="5" t="s">
        <v>783</v>
      </c>
      <c r="D302" s="5" t="s">
        <v>944</v>
      </c>
      <c r="E302" s="5" t="s">
        <v>3187</v>
      </c>
      <c r="F302" s="5" t="s">
        <v>3181</v>
      </c>
      <c r="G302" s="5" t="s">
        <v>944</v>
      </c>
      <c r="H302" s="5" t="s">
        <v>3188</v>
      </c>
      <c r="I302" s="5">
        <v>1300.0</v>
      </c>
      <c r="J302" s="5">
        <v>150000.0</v>
      </c>
    </row>
    <row r="303" ht="15.75" customHeight="1">
      <c r="A303" s="5" t="s">
        <v>682</v>
      </c>
      <c r="B303" s="5" t="s">
        <v>782</v>
      </c>
      <c r="C303" s="5" t="s">
        <v>783</v>
      </c>
      <c r="D303" s="5" t="s">
        <v>944</v>
      </c>
      <c r="E303" s="5" t="s">
        <v>3180</v>
      </c>
      <c r="F303" s="5" t="s">
        <v>3181</v>
      </c>
      <c r="G303" s="5" t="s">
        <v>944</v>
      </c>
      <c r="H303" s="5" t="s">
        <v>3189</v>
      </c>
      <c r="I303" s="5">
        <v>1676.72</v>
      </c>
      <c r="J303" s="5">
        <v>80000.0</v>
      </c>
    </row>
    <row r="304" ht="15.75" customHeight="1">
      <c r="A304" s="5" t="s">
        <v>682</v>
      </c>
      <c r="B304" s="5" t="s">
        <v>782</v>
      </c>
      <c r="C304" s="5" t="s">
        <v>783</v>
      </c>
      <c r="D304" s="5" t="s">
        <v>944</v>
      </c>
      <c r="E304" s="5" t="s">
        <v>3180</v>
      </c>
      <c r="F304" s="5" t="s">
        <v>3181</v>
      </c>
      <c r="G304" s="5" t="s">
        <v>944</v>
      </c>
      <c r="H304" s="5" t="s">
        <v>3190</v>
      </c>
      <c r="I304" s="5">
        <v>419.18</v>
      </c>
      <c r="J304" s="5">
        <v>150000.0</v>
      </c>
    </row>
    <row r="305" ht="15.75" customHeight="1">
      <c r="A305" s="5" t="s">
        <v>682</v>
      </c>
      <c r="B305" s="5" t="s">
        <v>782</v>
      </c>
      <c r="C305" s="5" t="s">
        <v>783</v>
      </c>
      <c r="D305" s="5" t="s">
        <v>944</v>
      </c>
      <c r="E305" s="5" t="s">
        <v>2606</v>
      </c>
      <c r="F305" s="5" t="s">
        <v>3191</v>
      </c>
      <c r="G305" s="5" t="s">
        <v>944</v>
      </c>
      <c r="H305" s="5" t="s">
        <v>3192</v>
      </c>
      <c r="I305" s="5">
        <v>32600.0</v>
      </c>
      <c r="J305" s="5">
        <v>168450.15</v>
      </c>
      <c r="K305" s="5" t="s">
        <v>3193</v>
      </c>
    </row>
    <row r="306" ht="15.75" customHeight="1">
      <c r="A306" s="5" t="s">
        <v>682</v>
      </c>
      <c r="B306" s="5" t="s">
        <v>782</v>
      </c>
      <c r="C306" s="5" t="s">
        <v>783</v>
      </c>
      <c r="D306" s="5" t="s">
        <v>944</v>
      </c>
      <c r="E306" s="5" t="s">
        <v>2606</v>
      </c>
      <c r="F306" s="5" t="s">
        <v>3194</v>
      </c>
      <c r="G306" s="5" t="s">
        <v>944</v>
      </c>
      <c r="H306" s="5" t="s">
        <v>3195</v>
      </c>
      <c r="I306" s="5">
        <v>50000.0</v>
      </c>
      <c r="J306" s="5">
        <v>100000.0</v>
      </c>
    </row>
    <row r="307" ht="15.75" customHeight="1">
      <c r="A307" s="5" t="s">
        <v>682</v>
      </c>
      <c r="B307" s="5" t="s">
        <v>791</v>
      </c>
      <c r="C307" s="5" t="s">
        <v>792</v>
      </c>
      <c r="D307" s="5" t="s">
        <v>944</v>
      </c>
      <c r="E307" s="5" t="s">
        <v>2967</v>
      </c>
      <c r="F307" s="5" t="s">
        <v>3196</v>
      </c>
      <c r="I307" s="5">
        <v>0.0</v>
      </c>
      <c r="J307" s="5">
        <v>126000.0</v>
      </c>
    </row>
    <row r="308" ht="15.75" customHeight="1">
      <c r="A308" s="5" t="s">
        <v>682</v>
      </c>
      <c r="B308" s="5" t="s">
        <v>791</v>
      </c>
      <c r="C308" s="5" t="s">
        <v>792</v>
      </c>
      <c r="D308" s="5" t="s">
        <v>944</v>
      </c>
      <c r="E308" s="5" t="s">
        <v>2606</v>
      </c>
      <c r="F308" s="5" t="s">
        <v>3197</v>
      </c>
      <c r="G308" s="5" t="s">
        <v>944</v>
      </c>
      <c r="H308" s="5" t="s">
        <v>3198</v>
      </c>
      <c r="I308" s="5">
        <v>0.0</v>
      </c>
      <c r="J308" s="5">
        <v>1050000.0</v>
      </c>
    </row>
    <row r="309" ht="15.75" customHeight="1">
      <c r="A309" s="5" t="s">
        <v>682</v>
      </c>
      <c r="B309" s="5" t="s">
        <v>791</v>
      </c>
      <c r="C309" s="5" t="s">
        <v>792</v>
      </c>
      <c r="D309" s="5" t="s">
        <v>944</v>
      </c>
      <c r="E309" s="5" t="s">
        <v>2606</v>
      </c>
      <c r="F309" s="5" t="s">
        <v>3199</v>
      </c>
      <c r="G309" s="5" t="s">
        <v>944</v>
      </c>
      <c r="H309" s="5" t="s">
        <v>3200</v>
      </c>
      <c r="I309" s="5">
        <v>0.0</v>
      </c>
      <c r="J309" s="5">
        <v>700000.0</v>
      </c>
    </row>
    <row r="310" ht="15.75" customHeight="1">
      <c r="A310" s="5" t="s">
        <v>682</v>
      </c>
      <c r="B310" s="5" t="s">
        <v>791</v>
      </c>
      <c r="C310" s="5" t="s">
        <v>792</v>
      </c>
      <c r="D310" s="5" t="s">
        <v>944</v>
      </c>
      <c r="E310" s="5" t="s">
        <v>2613</v>
      </c>
      <c r="F310" s="5" t="s">
        <v>3201</v>
      </c>
      <c r="G310" s="5" t="s">
        <v>944</v>
      </c>
      <c r="H310" s="5" t="s">
        <v>3202</v>
      </c>
      <c r="I310" s="5">
        <v>0.0</v>
      </c>
      <c r="J310" s="5">
        <v>1.998E9</v>
      </c>
      <c r="K310" s="5" t="s">
        <v>3203</v>
      </c>
    </row>
    <row r="311" ht="15.75" customHeight="1">
      <c r="A311" s="5" t="s">
        <v>801</v>
      </c>
      <c r="B311" s="5" t="s">
        <v>802</v>
      </c>
      <c r="C311" s="5" t="s">
        <v>803</v>
      </c>
      <c r="D311" s="5" t="s">
        <v>1560</v>
      </c>
    </row>
    <row r="312" ht="15.75" customHeight="1">
      <c r="A312" s="5" t="s">
        <v>801</v>
      </c>
      <c r="B312" s="5" t="s">
        <v>810</v>
      </c>
      <c r="C312" s="5" t="s">
        <v>811</v>
      </c>
      <c r="D312" s="5" t="s">
        <v>944</v>
      </c>
      <c r="E312" s="5" t="s">
        <v>2606</v>
      </c>
      <c r="F312" s="5" t="s">
        <v>3204</v>
      </c>
      <c r="G312" s="5" t="s">
        <v>944</v>
      </c>
      <c r="H312" s="5" t="s">
        <v>3205</v>
      </c>
      <c r="I312" s="5">
        <v>31521.14</v>
      </c>
      <c r="J312" s="5">
        <v>100000.0</v>
      </c>
      <c r="K312" s="5" t="s">
        <v>3206</v>
      </c>
    </row>
    <row r="313" ht="15.75" customHeight="1">
      <c r="A313" s="5" t="s">
        <v>801</v>
      </c>
      <c r="B313" s="5" t="s">
        <v>810</v>
      </c>
      <c r="C313" s="5" t="s">
        <v>811</v>
      </c>
      <c r="D313" s="5" t="s">
        <v>944</v>
      </c>
      <c r="E313" s="5" t="s">
        <v>2606</v>
      </c>
      <c r="F313" s="5" t="s">
        <v>3207</v>
      </c>
      <c r="G313" s="5" t="s">
        <v>944</v>
      </c>
      <c r="H313" s="5" t="s">
        <v>3208</v>
      </c>
      <c r="I313" s="5">
        <v>188163.95</v>
      </c>
      <c r="J313" s="5">
        <v>600000.0</v>
      </c>
    </row>
    <row r="314" ht="15.75" customHeight="1">
      <c r="A314" s="5" t="s">
        <v>801</v>
      </c>
      <c r="B314" s="5" t="s">
        <v>818</v>
      </c>
      <c r="C314" s="5" t="s">
        <v>819</v>
      </c>
      <c r="D314" s="5" t="s">
        <v>944</v>
      </c>
      <c r="E314" s="5" t="s">
        <v>939</v>
      </c>
      <c r="F314" s="5" t="s">
        <v>3209</v>
      </c>
      <c r="I314" s="5">
        <v>160000.0</v>
      </c>
      <c r="J314" s="5">
        <v>160000.0</v>
      </c>
      <c r="K314" s="5" t="s">
        <v>3210</v>
      </c>
    </row>
    <row r="315" ht="15.75" customHeight="1">
      <c r="A315" s="5" t="s">
        <v>801</v>
      </c>
      <c r="B315" s="5" t="s">
        <v>818</v>
      </c>
      <c r="C315" s="5" t="s">
        <v>819</v>
      </c>
      <c r="D315" s="5" t="s">
        <v>944</v>
      </c>
      <c r="E315" s="5" t="s">
        <v>2613</v>
      </c>
      <c r="F315" s="5" t="s">
        <v>3211</v>
      </c>
      <c r="G315" s="5" t="s">
        <v>944</v>
      </c>
      <c r="H315" s="5" t="s">
        <v>3212</v>
      </c>
      <c r="I315" s="5">
        <v>1006918.0</v>
      </c>
      <c r="J315" s="5">
        <v>1006918.0</v>
      </c>
      <c r="K315" s="5" t="s">
        <v>3210</v>
      </c>
    </row>
    <row r="316" ht="15.75" customHeight="1">
      <c r="A316" s="5" t="s">
        <v>801</v>
      </c>
      <c r="B316" s="5" t="s">
        <v>826</v>
      </c>
      <c r="C316" s="5" t="s">
        <v>827</v>
      </c>
      <c r="D316" s="5" t="s">
        <v>1560</v>
      </c>
    </row>
    <row r="317" ht="15.75" customHeight="1">
      <c r="A317" s="5" t="s">
        <v>801</v>
      </c>
      <c r="B317" s="5" t="s">
        <v>836</v>
      </c>
      <c r="C317" s="5" t="s">
        <v>837</v>
      </c>
      <c r="D317" s="5" t="s">
        <v>944</v>
      </c>
      <c r="E317" s="5" t="s">
        <v>3213</v>
      </c>
      <c r="F317" s="5" t="s">
        <v>3214</v>
      </c>
      <c r="I317" s="5">
        <v>140000.0</v>
      </c>
      <c r="J317" s="5">
        <v>140000.0</v>
      </c>
    </row>
    <row r="318" ht="15.75" customHeight="1">
      <c r="A318" s="5" t="s">
        <v>801</v>
      </c>
      <c r="B318" s="5" t="s">
        <v>844</v>
      </c>
      <c r="C318" s="5" t="s">
        <v>845</v>
      </c>
      <c r="D318" s="5" t="s">
        <v>944</v>
      </c>
      <c r="E318" s="5" t="s">
        <v>2606</v>
      </c>
      <c r="F318" s="5" t="s">
        <v>3215</v>
      </c>
      <c r="G318" s="5" t="s">
        <v>944</v>
      </c>
      <c r="H318" s="5" t="s">
        <v>3216</v>
      </c>
      <c r="I318" s="5">
        <v>83473.36</v>
      </c>
      <c r="J318" s="5">
        <v>285600.0</v>
      </c>
    </row>
    <row r="319" ht="15.75" customHeight="1">
      <c r="A319" s="5" t="s">
        <v>801</v>
      </c>
      <c r="B319" s="5" t="s">
        <v>853</v>
      </c>
      <c r="C319" s="5" t="s">
        <v>854</v>
      </c>
      <c r="D319" s="5" t="s">
        <v>1560</v>
      </c>
    </row>
    <row r="320" ht="15.75" customHeight="1">
      <c r="A320" s="5" t="s">
        <v>801</v>
      </c>
      <c r="B320" s="5" t="s">
        <v>860</v>
      </c>
      <c r="C320" s="5" t="s">
        <v>861</v>
      </c>
      <c r="D320" s="5" t="s">
        <v>944</v>
      </c>
      <c r="E320" s="5" t="s">
        <v>3217</v>
      </c>
      <c r="F320" s="5" t="s">
        <v>3218</v>
      </c>
      <c r="I320" s="5">
        <v>9103.81</v>
      </c>
      <c r="J320" s="5">
        <v>271200.0</v>
      </c>
      <c r="K320" s="5" t="s">
        <v>3219</v>
      </c>
    </row>
    <row r="321" ht="15.75" customHeight="1">
      <c r="A321" s="5" t="s">
        <v>801</v>
      </c>
      <c r="B321" s="5" t="s">
        <v>860</v>
      </c>
      <c r="C321" s="5" t="s">
        <v>861</v>
      </c>
      <c r="D321" s="5" t="s">
        <v>944</v>
      </c>
      <c r="E321" s="5" t="s">
        <v>2606</v>
      </c>
      <c r="F321" s="5" t="s">
        <v>3220</v>
      </c>
      <c r="G321" s="5" t="s">
        <v>944</v>
      </c>
      <c r="H321" s="5" t="s">
        <v>3221</v>
      </c>
      <c r="I321" s="5">
        <v>23280.0</v>
      </c>
      <c r="J321" s="5">
        <v>544000.0</v>
      </c>
    </row>
    <row r="322" ht="15.75" customHeight="1">
      <c r="A322" s="5" t="s">
        <v>801</v>
      </c>
      <c r="B322" s="5" t="s">
        <v>860</v>
      </c>
      <c r="C322" s="5" t="s">
        <v>861</v>
      </c>
      <c r="D322" s="5" t="s">
        <v>944</v>
      </c>
      <c r="E322" s="5" t="s">
        <v>2606</v>
      </c>
      <c r="F322" s="5" t="s">
        <v>3222</v>
      </c>
      <c r="G322" s="5" t="s">
        <v>944</v>
      </c>
      <c r="H322" s="5" t="s">
        <v>3223</v>
      </c>
      <c r="I322" s="5">
        <v>83280.88</v>
      </c>
      <c r="J322" s="5">
        <v>390000.0</v>
      </c>
      <c r="K322" s="5" t="s">
        <v>3224</v>
      </c>
    </row>
    <row r="323" ht="15.75" customHeight="1">
      <c r="A323" s="5" t="s">
        <v>801</v>
      </c>
      <c r="B323" s="5" t="s">
        <v>867</v>
      </c>
      <c r="C323" s="5" t="s">
        <v>868</v>
      </c>
      <c r="D323" s="5" t="s">
        <v>944</v>
      </c>
      <c r="E323" s="5" t="s">
        <v>2606</v>
      </c>
      <c r="F323" s="5" t="s">
        <v>3225</v>
      </c>
      <c r="G323" s="5" t="s">
        <v>944</v>
      </c>
      <c r="H323" s="5" t="s">
        <v>3226</v>
      </c>
      <c r="I323" s="5">
        <v>20845.81</v>
      </c>
      <c r="J323" s="5">
        <v>60000.0</v>
      </c>
    </row>
    <row r="324" ht="15.75" customHeight="1">
      <c r="A324" s="5" t="s">
        <v>801</v>
      </c>
      <c r="B324" s="5" t="s">
        <v>867</v>
      </c>
      <c r="C324" s="5" t="s">
        <v>868</v>
      </c>
      <c r="D324" s="5" t="s">
        <v>944</v>
      </c>
      <c r="E324" s="5" t="s">
        <v>2606</v>
      </c>
      <c r="F324" s="5" t="s">
        <v>3227</v>
      </c>
      <c r="G324" s="5" t="s">
        <v>944</v>
      </c>
      <c r="H324" s="5" t="s">
        <v>3228</v>
      </c>
      <c r="I324" s="5">
        <v>21466.42</v>
      </c>
      <c r="J324" s="5">
        <v>60000.0</v>
      </c>
    </row>
    <row r="325" ht="15.75" customHeight="1">
      <c r="A325" s="5" t="s">
        <v>801</v>
      </c>
      <c r="B325" s="5" t="s">
        <v>867</v>
      </c>
      <c r="C325" s="5" t="s">
        <v>868</v>
      </c>
      <c r="D325" s="5" t="s">
        <v>944</v>
      </c>
      <c r="E325" s="5" t="s">
        <v>2606</v>
      </c>
      <c r="F325" s="5" t="s">
        <v>3229</v>
      </c>
      <c r="G325" s="5" t="s">
        <v>944</v>
      </c>
      <c r="H325" s="5" t="s">
        <v>3230</v>
      </c>
      <c r="I325" s="5">
        <v>10147.32</v>
      </c>
      <c r="J325" s="5">
        <v>30000.0</v>
      </c>
    </row>
    <row r="326" ht="15.75" customHeight="1">
      <c r="A326" s="5" t="s">
        <v>801</v>
      </c>
      <c r="B326" s="5" t="s">
        <v>867</v>
      </c>
      <c r="C326" s="5" t="s">
        <v>868</v>
      </c>
      <c r="D326" s="5" t="s">
        <v>944</v>
      </c>
      <c r="E326" s="5" t="s">
        <v>2606</v>
      </c>
      <c r="F326" s="5" t="s">
        <v>3231</v>
      </c>
      <c r="G326" s="5" t="s">
        <v>944</v>
      </c>
      <c r="H326" s="5" t="s">
        <v>3232</v>
      </c>
      <c r="I326" s="5">
        <v>544534.95</v>
      </c>
      <c r="J326" s="5">
        <v>1680000.0</v>
      </c>
    </row>
    <row r="327" ht="15.75" customHeight="1">
      <c r="A327" s="5" t="s">
        <v>801</v>
      </c>
      <c r="B327" s="5" t="s">
        <v>867</v>
      </c>
      <c r="C327" s="5" t="s">
        <v>868</v>
      </c>
      <c r="D327" s="5" t="s">
        <v>944</v>
      </c>
      <c r="E327" s="5" t="s">
        <v>2606</v>
      </c>
      <c r="F327" s="5" t="s">
        <v>3233</v>
      </c>
      <c r="G327" s="5" t="s">
        <v>944</v>
      </c>
      <c r="H327" s="5" t="s">
        <v>3234</v>
      </c>
      <c r="I327" s="5">
        <v>22687.26</v>
      </c>
      <c r="J327" s="5">
        <v>60000.0</v>
      </c>
    </row>
    <row r="328" ht="15.75" customHeight="1">
      <c r="A328" s="5" t="s">
        <v>801</v>
      </c>
      <c r="B328" s="5" t="s">
        <v>875</v>
      </c>
      <c r="C328" s="5" t="s">
        <v>876</v>
      </c>
      <c r="D328" s="5" t="s">
        <v>944</v>
      </c>
      <c r="E328" s="5" t="s">
        <v>2613</v>
      </c>
      <c r="F328" s="5" t="s">
        <v>3235</v>
      </c>
      <c r="G328" s="5" t="s">
        <v>944</v>
      </c>
      <c r="H328" s="5" t="s">
        <v>3236</v>
      </c>
      <c r="I328" s="5">
        <v>2404.08</v>
      </c>
      <c r="J328" s="5">
        <v>9600.0</v>
      </c>
      <c r="K328" s="5" t="s">
        <v>3237</v>
      </c>
    </row>
    <row r="329" ht="15.75" customHeight="1">
      <c r="A329" s="5" t="s">
        <v>801</v>
      </c>
      <c r="B329" s="5" t="s">
        <v>875</v>
      </c>
      <c r="C329" s="5" t="s">
        <v>876</v>
      </c>
      <c r="D329" s="5" t="s">
        <v>944</v>
      </c>
      <c r="E329" s="5" t="s">
        <v>2606</v>
      </c>
      <c r="F329" s="5" t="s">
        <v>3238</v>
      </c>
      <c r="G329" s="5" t="s">
        <v>944</v>
      </c>
      <c r="H329" s="5" t="s">
        <v>3239</v>
      </c>
      <c r="I329" s="5">
        <v>110654.51</v>
      </c>
      <c r="J329" s="5">
        <v>2900.0</v>
      </c>
    </row>
    <row r="330" ht="15.75" customHeight="1">
      <c r="A330" s="5" t="s">
        <v>801</v>
      </c>
      <c r="B330" s="5" t="s">
        <v>883</v>
      </c>
      <c r="C330" s="5" t="s">
        <v>884</v>
      </c>
      <c r="D330" s="5" t="s">
        <v>944</v>
      </c>
      <c r="E330" s="5" t="s">
        <v>2606</v>
      </c>
      <c r="F330" s="5" t="s">
        <v>3240</v>
      </c>
      <c r="G330" s="5" t="s">
        <v>944</v>
      </c>
      <c r="H330" s="5" t="s">
        <v>3241</v>
      </c>
      <c r="I330" s="5">
        <v>102315.23</v>
      </c>
      <c r="J330" s="5">
        <v>102315.23</v>
      </c>
      <c r="K330" s="5" t="s">
        <v>2681</v>
      </c>
    </row>
    <row r="331" ht="15.75" customHeight="1">
      <c r="A331" s="5" t="s">
        <v>801</v>
      </c>
      <c r="B331" s="5" t="s">
        <v>890</v>
      </c>
      <c r="C331" s="5" t="s">
        <v>891</v>
      </c>
      <c r="D331" s="5" t="s">
        <v>944</v>
      </c>
      <c r="E331" s="5" t="s">
        <v>2967</v>
      </c>
      <c r="F331" s="5" t="s">
        <v>3242</v>
      </c>
      <c r="G331" s="5" t="s">
        <v>944</v>
      </c>
      <c r="H331" s="5" t="s">
        <v>3243</v>
      </c>
      <c r="I331" s="5">
        <v>191899.25</v>
      </c>
      <c r="J331" s="5">
        <v>191899.25</v>
      </c>
      <c r="K331" s="5" t="s">
        <v>3244</v>
      </c>
    </row>
    <row r="332" ht="15.75" customHeight="1">
      <c r="A332" s="5" t="s">
        <v>801</v>
      </c>
      <c r="B332" s="5" t="s">
        <v>890</v>
      </c>
      <c r="C332" s="5" t="s">
        <v>891</v>
      </c>
      <c r="D332" s="5" t="s">
        <v>944</v>
      </c>
      <c r="E332" s="5" t="s">
        <v>939</v>
      </c>
      <c r="F332" s="5" t="s">
        <v>3245</v>
      </c>
      <c r="G332" s="5" t="s">
        <v>944</v>
      </c>
      <c r="H332" s="5" t="s">
        <v>3246</v>
      </c>
      <c r="I332" s="5">
        <v>189462.04</v>
      </c>
      <c r="J332" s="5">
        <v>650000.0</v>
      </c>
      <c r="K332" s="5" t="s">
        <v>3247</v>
      </c>
    </row>
    <row r="333" ht="15.75" customHeight="1">
      <c r="A333" s="5" t="s">
        <v>801</v>
      </c>
      <c r="B333" s="5" t="s">
        <v>890</v>
      </c>
      <c r="C333" s="5" t="s">
        <v>891</v>
      </c>
      <c r="D333" s="5" t="s">
        <v>944</v>
      </c>
      <c r="E333" s="5" t="s">
        <v>2711</v>
      </c>
      <c r="F333" s="5" t="s">
        <v>3248</v>
      </c>
      <c r="G333" s="5" t="s">
        <v>944</v>
      </c>
      <c r="H333" s="5" t="s">
        <v>3249</v>
      </c>
      <c r="I333" s="5">
        <v>225309.95</v>
      </c>
      <c r="J333" s="5">
        <v>1942810.37</v>
      </c>
    </row>
    <row r="334" ht="15.75" customHeight="1">
      <c r="A334" s="5" t="s">
        <v>801</v>
      </c>
      <c r="B334" s="5" t="s">
        <v>890</v>
      </c>
      <c r="C334" s="5" t="s">
        <v>891</v>
      </c>
      <c r="D334" s="5" t="s">
        <v>944</v>
      </c>
      <c r="E334" s="5" t="s">
        <v>2711</v>
      </c>
      <c r="F334" s="5" t="s">
        <v>3248</v>
      </c>
      <c r="G334" s="5" t="s">
        <v>944</v>
      </c>
      <c r="H334" s="5" t="s">
        <v>3249</v>
      </c>
      <c r="I334" s="5">
        <v>225309.95</v>
      </c>
      <c r="J334" s="5">
        <v>1942810.37</v>
      </c>
    </row>
    <row r="335" ht="15.75" customHeight="1">
      <c r="A335" s="5" t="s">
        <v>801</v>
      </c>
      <c r="B335" s="5" t="s">
        <v>890</v>
      </c>
      <c r="C335" s="5" t="s">
        <v>891</v>
      </c>
      <c r="D335" s="5" t="s">
        <v>944</v>
      </c>
      <c r="E335" s="5" t="s">
        <v>2967</v>
      </c>
      <c r="F335" s="5" t="s">
        <v>3242</v>
      </c>
      <c r="G335" s="5" t="s">
        <v>944</v>
      </c>
      <c r="H335" s="5" t="s">
        <v>3243</v>
      </c>
      <c r="I335" s="5">
        <v>191899.25</v>
      </c>
      <c r="J335" s="5">
        <v>191899.25</v>
      </c>
      <c r="K335" s="5" t="s">
        <v>3244</v>
      </c>
    </row>
    <row r="336" ht="15.75" customHeight="1">
      <c r="A336" s="5" t="s">
        <v>801</v>
      </c>
      <c r="B336" s="5" t="s">
        <v>890</v>
      </c>
      <c r="C336" s="5" t="s">
        <v>891</v>
      </c>
      <c r="D336" s="5" t="s">
        <v>944</v>
      </c>
      <c r="E336" s="5" t="s">
        <v>939</v>
      </c>
      <c r="F336" s="5" t="s">
        <v>3245</v>
      </c>
      <c r="G336" s="5" t="s">
        <v>944</v>
      </c>
      <c r="H336" s="5" t="s">
        <v>3246</v>
      </c>
      <c r="I336" s="5">
        <v>189462.04</v>
      </c>
      <c r="J336" s="5">
        <v>650000.0</v>
      </c>
      <c r="K336" s="5" t="s">
        <v>3247</v>
      </c>
    </row>
    <row r="337" ht="15.75" customHeight="1">
      <c r="A337" s="5" t="s">
        <v>801</v>
      </c>
      <c r="B337" s="5" t="s">
        <v>898</v>
      </c>
      <c r="C337" s="5" t="s">
        <v>899</v>
      </c>
      <c r="D337" s="5" t="s">
        <v>944</v>
      </c>
      <c r="E337" s="5" t="s">
        <v>2683</v>
      </c>
      <c r="F337" s="5" t="s">
        <v>3250</v>
      </c>
      <c r="I337" s="5">
        <v>0.0</v>
      </c>
      <c r="J337" s="5">
        <v>52103.9</v>
      </c>
      <c r="K337" s="5" t="s">
        <v>3251</v>
      </c>
    </row>
    <row r="338" ht="15.75" customHeight="1">
      <c r="A338" s="5" t="s">
        <v>801</v>
      </c>
      <c r="B338" s="5" t="s">
        <v>898</v>
      </c>
      <c r="C338" s="5" t="s">
        <v>899</v>
      </c>
      <c r="D338" s="5" t="s">
        <v>944</v>
      </c>
      <c r="E338" s="5" t="s">
        <v>2683</v>
      </c>
      <c r="F338" s="5" t="s">
        <v>3252</v>
      </c>
      <c r="I338" s="5">
        <v>0.0</v>
      </c>
      <c r="J338" s="5">
        <v>52103.9</v>
      </c>
      <c r="K338" s="5" t="s">
        <v>3251</v>
      </c>
    </row>
    <row r="339" ht="15.75" customHeight="1">
      <c r="A339" s="5" t="s">
        <v>801</v>
      </c>
      <c r="B339" s="5" t="s">
        <v>898</v>
      </c>
      <c r="C339" s="5" t="s">
        <v>899</v>
      </c>
      <c r="D339" s="5" t="s">
        <v>944</v>
      </c>
      <c r="E339" s="5" t="s">
        <v>2606</v>
      </c>
      <c r="F339" s="5" t="s">
        <v>3253</v>
      </c>
      <c r="G339" s="5" t="s">
        <v>944</v>
      </c>
      <c r="H339" s="5" t="s">
        <v>3254</v>
      </c>
      <c r="I339" s="5">
        <v>28188.0</v>
      </c>
      <c r="J339" s="5">
        <v>5055.0</v>
      </c>
      <c r="K339" s="5" t="s">
        <v>3255</v>
      </c>
    </row>
    <row r="340" ht="15.75" customHeight="1">
      <c r="A340" s="5" t="s">
        <v>801</v>
      </c>
      <c r="B340" s="5" t="s">
        <v>906</v>
      </c>
      <c r="C340" s="5" t="s">
        <v>907</v>
      </c>
      <c r="D340" s="5" t="s">
        <v>1560</v>
      </c>
    </row>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3256</v>
      </c>
      <c r="E1" s="1" t="s">
        <v>3257</v>
      </c>
      <c r="F1" s="1" t="s">
        <v>3258</v>
      </c>
      <c r="G1" s="1" t="s">
        <v>2605</v>
      </c>
      <c r="H1" s="1" t="s">
        <v>3259</v>
      </c>
      <c r="I1" s="1" t="s">
        <v>16</v>
      </c>
    </row>
    <row r="2">
      <c r="A2" s="5" t="s">
        <v>26</v>
      </c>
      <c r="B2" s="5" t="s">
        <v>27</v>
      </c>
      <c r="C2" s="5" t="s">
        <v>28</v>
      </c>
      <c r="D2" s="5" t="s">
        <v>944</v>
      </c>
      <c r="E2" s="5" t="s">
        <v>3260</v>
      </c>
      <c r="F2" s="5" t="s">
        <v>3261</v>
      </c>
      <c r="G2" s="5">
        <v>24574.5</v>
      </c>
      <c r="H2" s="5" t="s">
        <v>3262</v>
      </c>
    </row>
    <row r="3">
      <c r="A3" s="5" t="s">
        <v>26</v>
      </c>
      <c r="B3" s="5" t="s">
        <v>39</v>
      </c>
      <c r="C3" s="5" t="s">
        <v>40</v>
      </c>
      <c r="D3" s="5" t="s">
        <v>944</v>
      </c>
      <c r="E3" s="5" t="s">
        <v>3260</v>
      </c>
      <c r="F3" s="5" t="s">
        <v>3263</v>
      </c>
      <c r="G3" s="5">
        <v>30000.0</v>
      </c>
      <c r="H3" s="5" t="s">
        <v>3264</v>
      </c>
    </row>
    <row r="4">
      <c r="A4" s="5" t="s">
        <v>26</v>
      </c>
      <c r="B4" s="5" t="s">
        <v>39</v>
      </c>
      <c r="C4" s="5" t="s">
        <v>40</v>
      </c>
      <c r="D4" s="5" t="s">
        <v>944</v>
      </c>
      <c r="E4" s="5" t="s">
        <v>3260</v>
      </c>
      <c r="F4" s="5" t="s">
        <v>3265</v>
      </c>
      <c r="G4" s="5">
        <v>200.0</v>
      </c>
      <c r="H4" s="5" t="s">
        <v>3266</v>
      </c>
      <c r="I4" s="5" t="s">
        <v>3267</v>
      </c>
    </row>
    <row r="5">
      <c r="A5" s="5" t="s">
        <v>26</v>
      </c>
      <c r="B5" s="5" t="s">
        <v>50</v>
      </c>
      <c r="C5" s="5" t="s">
        <v>51</v>
      </c>
      <c r="D5" s="5" t="s">
        <v>1560</v>
      </c>
    </row>
    <row r="6">
      <c r="A6" s="5" t="s">
        <v>26</v>
      </c>
      <c r="B6" s="5" t="s">
        <v>60</v>
      </c>
      <c r="C6" s="5" t="s">
        <v>61</v>
      </c>
      <c r="D6" s="5" t="s">
        <v>1560</v>
      </c>
    </row>
    <row r="7">
      <c r="A7" s="5" t="s">
        <v>26</v>
      </c>
      <c r="B7" s="5" t="s">
        <v>71</v>
      </c>
      <c r="C7" s="5" t="s">
        <v>72</v>
      </c>
      <c r="D7" s="5" t="s">
        <v>1560</v>
      </c>
    </row>
    <row r="8">
      <c r="A8" s="5" t="s">
        <v>26</v>
      </c>
      <c r="B8" s="5" t="s">
        <v>80</v>
      </c>
      <c r="C8" s="5" t="s">
        <v>81</v>
      </c>
      <c r="D8" s="5" t="s">
        <v>1560</v>
      </c>
    </row>
    <row r="9">
      <c r="A9" s="5" t="s">
        <v>26</v>
      </c>
      <c r="B9" s="5" t="s">
        <v>91</v>
      </c>
      <c r="C9" s="5" t="s">
        <v>92</v>
      </c>
      <c r="D9" s="5" t="s">
        <v>1560</v>
      </c>
    </row>
    <row r="10">
      <c r="A10" s="5" t="s">
        <v>26</v>
      </c>
      <c r="B10" s="5" t="s">
        <v>100</v>
      </c>
      <c r="C10" s="5" t="s">
        <v>101</v>
      </c>
      <c r="D10" s="5" t="s">
        <v>1560</v>
      </c>
    </row>
    <row r="11">
      <c r="A11" s="5" t="s">
        <v>26</v>
      </c>
      <c r="B11" s="5" t="s">
        <v>110</v>
      </c>
      <c r="C11" s="5" t="s">
        <v>111</v>
      </c>
      <c r="D11" s="5" t="s">
        <v>944</v>
      </c>
      <c r="E11" s="5" t="s">
        <v>3260</v>
      </c>
      <c r="F11" s="5" t="s">
        <v>3268</v>
      </c>
      <c r="G11" s="5">
        <v>35000.0</v>
      </c>
      <c r="H11" s="5" t="s">
        <v>3269</v>
      </c>
    </row>
    <row r="12">
      <c r="A12" s="5" t="s">
        <v>121</v>
      </c>
      <c r="B12" s="5" t="s">
        <v>122</v>
      </c>
      <c r="C12" s="5" t="s">
        <v>123</v>
      </c>
      <c r="D12" s="5" t="s">
        <v>944</v>
      </c>
      <c r="E12" s="5" t="s">
        <v>3260</v>
      </c>
      <c r="F12" s="5" t="s">
        <v>3270</v>
      </c>
      <c r="G12" s="5">
        <v>33700.0</v>
      </c>
      <c r="H12" s="5" t="s">
        <v>3271</v>
      </c>
      <c r="I12" s="5" t="s">
        <v>3272</v>
      </c>
    </row>
    <row r="13">
      <c r="A13" s="5" t="s">
        <v>121</v>
      </c>
      <c r="B13" s="5" t="s">
        <v>122</v>
      </c>
      <c r="C13" s="5" t="s">
        <v>123</v>
      </c>
      <c r="D13" s="5" t="s">
        <v>944</v>
      </c>
      <c r="E13" s="5" t="s">
        <v>3260</v>
      </c>
      <c r="F13" s="5" t="s">
        <v>3273</v>
      </c>
      <c r="G13" s="5">
        <v>87376.25</v>
      </c>
      <c r="H13" s="5" t="s">
        <v>3274</v>
      </c>
      <c r="I13" s="5" t="s">
        <v>3275</v>
      </c>
    </row>
    <row r="14">
      <c r="A14" s="5" t="s">
        <v>121</v>
      </c>
      <c r="B14" s="5" t="s">
        <v>133</v>
      </c>
      <c r="C14" s="5" t="s">
        <v>134</v>
      </c>
      <c r="D14" s="5" t="s">
        <v>944</v>
      </c>
      <c r="E14" s="5" t="s">
        <v>3260</v>
      </c>
      <c r="F14" s="5" t="s">
        <v>3276</v>
      </c>
      <c r="G14" s="5">
        <v>35802.0</v>
      </c>
      <c r="H14" s="5" t="s">
        <v>3277</v>
      </c>
      <c r="I14" s="5" t="s">
        <v>3278</v>
      </c>
    </row>
    <row r="15">
      <c r="A15" s="5" t="s">
        <v>121</v>
      </c>
      <c r="B15" s="5" t="s">
        <v>142</v>
      </c>
      <c r="C15" s="5" t="s">
        <v>143</v>
      </c>
      <c r="D15" s="5" t="s">
        <v>1560</v>
      </c>
    </row>
    <row r="16">
      <c r="A16" s="5" t="s">
        <v>121</v>
      </c>
      <c r="B16" s="5" t="s">
        <v>153</v>
      </c>
      <c r="C16" s="5" t="s">
        <v>154</v>
      </c>
      <c r="D16" s="5" t="s">
        <v>944</v>
      </c>
      <c r="E16" s="5" t="s">
        <v>3260</v>
      </c>
      <c r="F16" s="5" t="s">
        <v>3279</v>
      </c>
      <c r="G16" s="5">
        <v>58400.0</v>
      </c>
      <c r="H16" s="5" t="s">
        <v>3280</v>
      </c>
    </row>
    <row r="17">
      <c r="A17" s="5" t="s">
        <v>121</v>
      </c>
      <c r="B17" s="5" t="s">
        <v>161</v>
      </c>
      <c r="C17" s="5" t="s">
        <v>162</v>
      </c>
      <c r="D17" s="5" t="s">
        <v>944</v>
      </c>
      <c r="E17" s="5" t="s">
        <v>3260</v>
      </c>
      <c r="F17" s="5" t="s">
        <v>3281</v>
      </c>
      <c r="G17" s="5">
        <v>10000.0</v>
      </c>
      <c r="H17" s="5" t="s">
        <v>3282</v>
      </c>
      <c r="I17" s="5" t="s">
        <v>3283</v>
      </c>
    </row>
    <row r="18">
      <c r="A18" s="5" t="s">
        <v>121</v>
      </c>
      <c r="B18" s="5" t="s">
        <v>161</v>
      </c>
      <c r="C18" s="5" t="s">
        <v>162</v>
      </c>
      <c r="D18" s="5" t="s">
        <v>944</v>
      </c>
      <c r="E18" s="5" t="s">
        <v>3284</v>
      </c>
      <c r="F18" s="5" t="s">
        <v>3285</v>
      </c>
      <c r="G18" s="5">
        <v>35000.0</v>
      </c>
      <c r="H18" s="5" t="s">
        <v>3286</v>
      </c>
      <c r="I18" s="5" t="s">
        <v>2688</v>
      </c>
    </row>
    <row r="19">
      <c r="A19" s="5" t="s">
        <v>121</v>
      </c>
      <c r="B19" s="5" t="s">
        <v>170</v>
      </c>
      <c r="C19" s="5" t="s">
        <v>171</v>
      </c>
      <c r="D19" s="5" t="s">
        <v>944</v>
      </c>
      <c r="E19" s="5" t="s">
        <v>3260</v>
      </c>
      <c r="F19" s="5" t="s">
        <v>3287</v>
      </c>
      <c r="G19" s="5">
        <v>49500.0</v>
      </c>
      <c r="H19" s="5" t="s">
        <v>3288</v>
      </c>
      <c r="I19" s="5" t="s">
        <v>3289</v>
      </c>
    </row>
    <row r="20">
      <c r="A20" s="5" t="s">
        <v>121</v>
      </c>
      <c r="B20" s="5" t="s">
        <v>170</v>
      </c>
      <c r="C20" s="5" t="s">
        <v>171</v>
      </c>
      <c r="D20" s="5" t="s">
        <v>944</v>
      </c>
      <c r="E20" s="5" t="s">
        <v>3260</v>
      </c>
      <c r="F20" s="5" t="s">
        <v>3290</v>
      </c>
      <c r="G20" s="5">
        <v>45500.0</v>
      </c>
      <c r="H20" s="5" t="s">
        <v>3291</v>
      </c>
      <c r="I20" s="5" t="s">
        <v>3289</v>
      </c>
    </row>
    <row r="21" ht="15.75" customHeight="1">
      <c r="A21" s="5" t="s">
        <v>121</v>
      </c>
      <c r="B21" s="5" t="s">
        <v>180</v>
      </c>
      <c r="C21" s="5" t="s">
        <v>181</v>
      </c>
      <c r="D21" s="5" t="s">
        <v>944</v>
      </c>
      <c r="E21" s="5" t="s">
        <v>3260</v>
      </c>
      <c r="F21" s="5" t="s">
        <v>3292</v>
      </c>
      <c r="G21" s="5">
        <v>33300.0</v>
      </c>
      <c r="H21" s="5" t="s">
        <v>3293</v>
      </c>
      <c r="I21" s="5" t="s">
        <v>3294</v>
      </c>
    </row>
    <row r="22" ht="15.75" customHeight="1">
      <c r="A22" s="5" t="s">
        <v>121</v>
      </c>
      <c r="B22" s="5" t="s">
        <v>190</v>
      </c>
      <c r="C22" s="5" t="s">
        <v>191</v>
      </c>
      <c r="D22" s="5" t="s">
        <v>944</v>
      </c>
      <c r="E22" s="5" t="s">
        <v>3260</v>
      </c>
      <c r="F22" s="5" t="s">
        <v>3295</v>
      </c>
      <c r="G22" s="5">
        <v>1500.0</v>
      </c>
      <c r="H22" s="5" t="s">
        <v>3296</v>
      </c>
      <c r="I22" s="5" t="s">
        <v>3297</v>
      </c>
    </row>
    <row r="23" ht="15.75" customHeight="1">
      <c r="A23" s="5" t="s">
        <v>121</v>
      </c>
      <c r="B23" s="5" t="s">
        <v>190</v>
      </c>
      <c r="C23" s="5" t="s">
        <v>191</v>
      </c>
      <c r="D23" s="5" t="s">
        <v>944</v>
      </c>
      <c r="E23" s="5" t="s">
        <v>3260</v>
      </c>
      <c r="F23" s="5" t="s">
        <v>3298</v>
      </c>
      <c r="G23" s="5">
        <v>18550.0</v>
      </c>
      <c r="H23" s="5" t="s">
        <v>3299</v>
      </c>
      <c r="I23" s="5" t="s">
        <v>3297</v>
      </c>
    </row>
    <row r="24" ht="15.75" customHeight="1">
      <c r="A24" s="5" t="s">
        <v>121</v>
      </c>
      <c r="B24" s="5" t="s">
        <v>190</v>
      </c>
      <c r="C24" s="5" t="s">
        <v>191</v>
      </c>
      <c r="D24" s="5" t="s">
        <v>944</v>
      </c>
      <c r="E24" s="5" t="s">
        <v>3260</v>
      </c>
      <c r="F24" s="5" t="s">
        <v>3300</v>
      </c>
      <c r="G24" s="5">
        <v>0.0</v>
      </c>
      <c r="H24" s="5" t="s">
        <v>3301</v>
      </c>
      <c r="I24" s="5" t="s">
        <v>3302</v>
      </c>
    </row>
    <row r="25" ht="15.75" customHeight="1">
      <c r="A25" s="5" t="s">
        <v>121</v>
      </c>
      <c r="B25" s="5" t="s">
        <v>190</v>
      </c>
      <c r="C25" s="5" t="s">
        <v>191</v>
      </c>
      <c r="D25" s="5" t="s">
        <v>944</v>
      </c>
      <c r="E25" s="5" t="s">
        <v>3260</v>
      </c>
      <c r="F25" s="5" t="s">
        <v>3303</v>
      </c>
      <c r="G25" s="5">
        <v>10000.0</v>
      </c>
      <c r="H25" s="5" t="s">
        <v>3304</v>
      </c>
      <c r="I25" s="5" t="s">
        <v>3297</v>
      </c>
    </row>
    <row r="26" ht="15.75" customHeight="1">
      <c r="A26" s="5" t="s">
        <v>121</v>
      </c>
      <c r="B26" s="5" t="s">
        <v>190</v>
      </c>
      <c r="C26" s="5" t="s">
        <v>191</v>
      </c>
      <c r="D26" s="5" t="s">
        <v>944</v>
      </c>
      <c r="E26" s="5" t="s">
        <v>3260</v>
      </c>
      <c r="F26" s="5" t="s">
        <v>3305</v>
      </c>
      <c r="G26" s="5">
        <v>5000.0</v>
      </c>
      <c r="H26" s="5" t="s">
        <v>3306</v>
      </c>
      <c r="I26" s="5" t="s">
        <v>3297</v>
      </c>
    </row>
    <row r="27" ht="15.75" customHeight="1">
      <c r="A27" s="5" t="s">
        <v>121</v>
      </c>
      <c r="B27" s="5" t="s">
        <v>190</v>
      </c>
      <c r="C27" s="5" t="s">
        <v>191</v>
      </c>
      <c r="D27" s="5" t="s">
        <v>944</v>
      </c>
      <c r="E27" s="5" t="s">
        <v>3260</v>
      </c>
      <c r="F27" s="5" t="s">
        <v>3307</v>
      </c>
      <c r="G27" s="5">
        <v>3500.0</v>
      </c>
      <c r="H27" s="5" t="s">
        <v>3308</v>
      </c>
      <c r="I27" s="5" t="s">
        <v>3297</v>
      </c>
    </row>
    <row r="28" ht="15.75" customHeight="1">
      <c r="A28" s="5" t="s">
        <v>121</v>
      </c>
      <c r="B28" s="5" t="s">
        <v>201</v>
      </c>
      <c r="C28" s="5" t="s">
        <v>202</v>
      </c>
      <c r="D28" s="5" t="s">
        <v>1560</v>
      </c>
    </row>
    <row r="29" ht="15.75" customHeight="1">
      <c r="A29" s="5" t="s">
        <v>121</v>
      </c>
      <c r="B29" s="5" t="s">
        <v>211</v>
      </c>
      <c r="C29" s="5" t="s">
        <v>212</v>
      </c>
      <c r="D29" s="5" t="s">
        <v>944</v>
      </c>
      <c r="E29" s="5" t="s">
        <v>3260</v>
      </c>
      <c r="F29" s="5" t="s">
        <v>3309</v>
      </c>
      <c r="G29" s="5">
        <v>43000.0</v>
      </c>
      <c r="H29" s="5" t="s">
        <v>3310</v>
      </c>
      <c r="I29" s="5" t="s">
        <v>3311</v>
      </c>
    </row>
    <row r="30" ht="15.75" customHeight="1">
      <c r="A30" s="5" t="s">
        <v>121</v>
      </c>
      <c r="B30" s="5" t="s">
        <v>211</v>
      </c>
      <c r="C30" s="5" t="s">
        <v>212</v>
      </c>
      <c r="D30" s="5" t="s">
        <v>944</v>
      </c>
      <c r="E30" s="5" t="s">
        <v>3260</v>
      </c>
      <c r="F30" s="5" t="s">
        <v>3312</v>
      </c>
      <c r="G30" s="5">
        <v>59800.0</v>
      </c>
      <c r="H30" s="5" t="s">
        <v>3313</v>
      </c>
      <c r="I30" s="5" t="s">
        <v>3314</v>
      </c>
    </row>
    <row r="31" ht="15.75" customHeight="1">
      <c r="A31" s="5" t="s">
        <v>121</v>
      </c>
      <c r="B31" s="5" t="s">
        <v>219</v>
      </c>
      <c r="C31" s="5" t="s">
        <v>220</v>
      </c>
      <c r="D31" s="5" t="s">
        <v>1560</v>
      </c>
    </row>
    <row r="32" ht="15.75" customHeight="1">
      <c r="A32" s="5" t="s">
        <v>121</v>
      </c>
      <c r="B32" s="5" t="s">
        <v>227</v>
      </c>
      <c r="C32" s="5" t="s">
        <v>228</v>
      </c>
      <c r="D32" s="5" t="s">
        <v>944</v>
      </c>
      <c r="E32" s="5" t="s">
        <v>3260</v>
      </c>
      <c r="F32" s="5" t="s">
        <v>3315</v>
      </c>
      <c r="G32" s="5">
        <v>3600.0</v>
      </c>
      <c r="H32" s="5" t="s">
        <v>3316</v>
      </c>
    </row>
    <row r="33" ht="15.75" customHeight="1">
      <c r="A33" s="5" t="s">
        <v>121</v>
      </c>
      <c r="B33" s="5" t="s">
        <v>227</v>
      </c>
      <c r="C33" s="5" t="s">
        <v>228</v>
      </c>
      <c r="D33" s="5" t="s">
        <v>944</v>
      </c>
      <c r="E33" s="5" t="s">
        <v>3260</v>
      </c>
      <c r="F33" s="5" t="s">
        <v>3317</v>
      </c>
      <c r="G33" s="5">
        <v>4500.0</v>
      </c>
      <c r="H33" s="5" t="s">
        <v>3316</v>
      </c>
    </row>
    <row r="34" ht="15.75" customHeight="1">
      <c r="A34" s="5" t="s">
        <v>121</v>
      </c>
      <c r="B34" s="5" t="s">
        <v>227</v>
      </c>
      <c r="C34" s="5" t="s">
        <v>228</v>
      </c>
      <c r="D34" s="5" t="s">
        <v>944</v>
      </c>
      <c r="E34" s="5" t="s">
        <v>3260</v>
      </c>
      <c r="F34" s="5" t="s">
        <v>3318</v>
      </c>
      <c r="G34" s="5">
        <v>63980.02</v>
      </c>
      <c r="H34" s="5" t="s">
        <v>3319</v>
      </c>
    </row>
    <row r="35" ht="15.75" customHeight="1">
      <c r="A35" s="5" t="s">
        <v>121</v>
      </c>
      <c r="B35" s="5" t="s">
        <v>227</v>
      </c>
      <c r="C35" s="5" t="s">
        <v>228</v>
      </c>
      <c r="D35" s="5" t="s">
        <v>944</v>
      </c>
      <c r="E35" s="5" t="s">
        <v>3260</v>
      </c>
      <c r="F35" s="5" t="s">
        <v>3320</v>
      </c>
      <c r="G35" s="5">
        <v>35420.0</v>
      </c>
      <c r="H35" s="5" t="s">
        <v>3316</v>
      </c>
    </row>
    <row r="36" ht="15.75" customHeight="1">
      <c r="A36" s="5" t="s">
        <v>121</v>
      </c>
      <c r="B36" s="5" t="s">
        <v>236</v>
      </c>
      <c r="C36" s="5" t="s">
        <v>237</v>
      </c>
      <c r="D36" s="5" t="s">
        <v>1560</v>
      </c>
    </row>
    <row r="37" ht="15.75" customHeight="1">
      <c r="A37" s="5" t="s">
        <v>121</v>
      </c>
      <c r="B37" s="5" t="s">
        <v>244</v>
      </c>
      <c r="C37" s="5" t="s">
        <v>245</v>
      </c>
      <c r="D37" s="5" t="s">
        <v>944</v>
      </c>
      <c r="E37" s="5" t="s">
        <v>3260</v>
      </c>
      <c r="F37" s="5" t="s">
        <v>3321</v>
      </c>
      <c r="G37" s="5">
        <v>6000.0</v>
      </c>
      <c r="H37" s="5" t="s">
        <v>3322</v>
      </c>
    </row>
    <row r="38" ht="15.75" customHeight="1">
      <c r="A38" s="5" t="s">
        <v>121</v>
      </c>
      <c r="B38" s="5" t="s">
        <v>244</v>
      </c>
      <c r="C38" s="5" t="s">
        <v>245</v>
      </c>
      <c r="D38" s="5" t="s">
        <v>944</v>
      </c>
      <c r="E38" s="5" t="s">
        <v>3260</v>
      </c>
      <c r="F38" s="5" t="s">
        <v>3323</v>
      </c>
      <c r="G38" s="5">
        <v>12000.0</v>
      </c>
      <c r="H38" s="5" t="s">
        <v>3324</v>
      </c>
    </row>
    <row r="39" ht="15.75" customHeight="1">
      <c r="A39" s="5" t="s">
        <v>121</v>
      </c>
      <c r="B39" s="5" t="s">
        <v>244</v>
      </c>
      <c r="C39" s="5" t="s">
        <v>245</v>
      </c>
      <c r="D39" s="5" t="s">
        <v>944</v>
      </c>
      <c r="E39" s="5" t="s">
        <v>3260</v>
      </c>
      <c r="F39" s="5" t="s">
        <v>3325</v>
      </c>
      <c r="G39" s="5">
        <v>5000.0</v>
      </c>
      <c r="H39" s="5" t="s">
        <v>3326</v>
      </c>
    </row>
    <row r="40" ht="15.75" customHeight="1">
      <c r="A40" s="5" t="s">
        <v>121</v>
      </c>
      <c r="B40" s="5" t="s">
        <v>244</v>
      </c>
      <c r="C40" s="5" t="s">
        <v>245</v>
      </c>
      <c r="D40" s="5" t="s">
        <v>944</v>
      </c>
      <c r="E40" s="5" t="s">
        <v>3260</v>
      </c>
      <c r="F40" s="5" t="s">
        <v>3327</v>
      </c>
      <c r="G40" s="5">
        <v>15000.0</v>
      </c>
      <c r="H40" s="5" t="s">
        <v>3328</v>
      </c>
    </row>
    <row r="41" ht="15.75" customHeight="1">
      <c r="A41" s="5" t="s">
        <v>121</v>
      </c>
      <c r="B41" s="5" t="s">
        <v>244</v>
      </c>
      <c r="C41" s="5" t="s">
        <v>245</v>
      </c>
      <c r="D41" s="5" t="s">
        <v>944</v>
      </c>
      <c r="E41" s="5" t="s">
        <v>3260</v>
      </c>
      <c r="F41" s="5" t="s">
        <v>3329</v>
      </c>
      <c r="G41" s="5">
        <v>12000.0</v>
      </c>
      <c r="H41" s="5" t="s">
        <v>3330</v>
      </c>
    </row>
    <row r="42" ht="15.75" customHeight="1">
      <c r="A42" s="5" t="s">
        <v>121</v>
      </c>
      <c r="B42" s="5" t="s">
        <v>253</v>
      </c>
      <c r="C42" s="5" t="s">
        <v>254</v>
      </c>
      <c r="D42" s="5" t="s">
        <v>944</v>
      </c>
      <c r="E42" s="5" t="s">
        <v>3260</v>
      </c>
      <c r="F42" s="5" t="s">
        <v>3331</v>
      </c>
      <c r="G42" s="5">
        <v>30000.0</v>
      </c>
      <c r="H42" s="5" t="s">
        <v>3332</v>
      </c>
      <c r="I42" s="5" t="s">
        <v>3333</v>
      </c>
    </row>
    <row r="43" ht="15.75" customHeight="1">
      <c r="A43" s="5" t="s">
        <v>121</v>
      </c>
      <c r="B43" s="5" t="s">
        <v>261</v>
      </c>
      <c r="C43" s="5" t="s">
        <v>262</v>
      </c>
      <c r="D43" s="5" t="s">
        <v>944</v>
      </c>
      <c r="E43" s="5" t="s">
        <v>3260</v>
      </c>
      <c r="F43" s="5" t="s">
        <v>3334</v>
      </c>
      <c r="G43" s="5">
        <v>136765.8</v>
      </c>
      <c r="H43" s="5" t="s">
        <v>3335</v>
      </c>
    </row>
    <row r="44" ht="15.75" customHeight="1">
      <c r="A44" s="5" t="s">
        <v>121</v>
      </c>
      <c r="B44" s="5" t="s">
        <v>270</v>
      </c>
      <c r="C44" s="5" t="s">
        <v>271</v>
      </c>
      <c r="D44" s="5" t="s">
        <v>944</v>
      </c>
      <c r="E44" s="5" t="s">
        <v>3260</v>
      </c>
      <c r="F44" s="5" t="s">
        <v>3336</v>
      </c>
      <c r="G44" s="5">
        <v>93153.17</v>
      </c>
      <c r="H44" s="5" t="s">
        <v>3337</v>
      </c>
      <c r="I44" s="5" t="s">
        <v>3338</v>
      </c>
    </row>
    <row r="45" ht="15.75" customHeight="1">
      <c r="A45" s="5" t="s">
        <v>121</v>
      </c>
      <c r="B45" s="5" t="s">
        <v>279</v>
      </c>
      <c r="C45" s="5" t="s">
        <v>280</v>
      </c>
      <c r="D45" s="5" t="s">
        <v>944</v>
      </c>
      <c r="E45" s="5" t="s">
        <v>3339</v>
      </c>
      <c r="F45" s="5" t="s">
        <v>3340</v>
      </c>
      <c r="G45" s="5">
        <v>90000.0</v>
      </c>
      <c r="H45" s="5" t="s">
        <v>3341</v>
      </c>
      <c r="I45" s="5" t="s">
        <v>3342</v>
      </c>
    </row>
    <row r="46" ht="15.75" customHeight="1">
      <c r="A46" s="5" t="s">
        <v>121</v>
      </c>
      <c r="B46" s="5" t="s">
        <v>288</v>
      </c>
      <c r="C46" s="5" t="s">
        <v>289</v>
      </c>
      <c r="D46" s="5" t="s">
        <v>944</v>
      </c>
      <c r="E46" s="5" t="s">
        <v>3260</v>
      </c>
      <c r="F46" s="5" t="s">
        <v>3343</v>
      </c>
      <c r="G46" s="5">
        <v>3000.0</v>
      </c>
      <c r="H46" s="5" t="s">
        <v>3344</v>
      </c>
      <c r="I46" s="5" t="s">
        <v>3345</v>
      </c>
    </row>
    <row r="47" ht="15.75" customHeight="1">
      <c r="A47" s="5" t="s">
        <v>121</v>
      </c>
      <c r="B47" s="5" t="s">
        <v>288</v>
      </c>
      <c r="C47" s="5" t="s">
        <v>289</v>
      </c>
      <c r="D47" s="5" t="s">
        <v>944</v>
      </c>
      <c r="E47" s="5" t="s">
        <v>3260</v>
      </c>
      <c r="F47" s="5" t="s">
        <v>3346</v>
      </c>
      <c r="G47" s="5">
        <v>67822.3</v>
      </c>
      <c r="H47" s="5" t="s">
        <v>3347</v>
      </c>
      <c r="I47" s="5" t="s">
        <v>3348</v>
      </c>
    </row>
    <row r="48" ht="15.75" customHeight="1">
      <c r="A48" s="5" t="s">
        <v>121</v>
      </c>
      <c r="B48" s="5" t="s">
        <v>288</v>
      </c>
      <c r="C48" s="5" t="s">
        <v>289</v>
      </c>
      <c r="D48" s="5" t="s">
        <v>944</v>
      </c>
      <c r="E48" s="5" t="s">
        <v>3260</v>
      </c>
      <c r="F48" s="5" t="s">
        <v>3349</v>
      </c>
      <c r="G48" s="5">
        <v>1150.0</v>
      </c>
      <c r="H48" s="5" t="s">
        <v>3350</v>
      </c>
      <c r="I48" s="5" t="s">
        <v>3351</v>
      </c>
    </row>
    <row r="49" ht="15.75" customHeight="1">
      <c r="A49" s="5" t="s">
        <v>121</v>
      </c>
      <c r="B49" s="5" t="s">
        <v>296</v>
      </c>
      <c r="C49" s="5" t="s">
        <v>297</v>
      </c>
      <c r="D49" s="5" t="s">
        <v>944</v>
      </c>
      <c r="E49" s="5" t="s">
        <v>3260</v>
      </c>
      <c r="F49" s="5" t="s">
        <v>3352</v>
      </c>
      <c r="G49" s="5">
        <v>32621.1</v>
      </c>
      <c r="H49" s="5" t="s">
        <v>3353</v>
      </c>
      <c r="I49" s="5" t="s">
        <v>3354</v>
      </c>
    </row>
    <row r="50" ht="15.75" customHeight="1">
      <c r="A50" s="5" t="s">
        <v>121</v>
      </c>
      <c r="B50" s="5" t="s">
        <v>304</v>
      </c>
      <c r="C50" s="5" t="s">
        <v>305</v>
      </c>
      <c r="D50" s="5" t="s">
        <v>944</v>
      </c>
      <c r="E50" s="5" t="s">
        <v>3260</v>
      </c>
      <c r="F50" s="5" t="s">
        <v>3355</v>
      </c>
      <c r="G50" s="5">
        <v>0.0</v>
      </c>
      <c r="H50" s="5" t="s">
        <v>3356</v>
      </c>
      <c r="I50" s="5" t="s">
        <v>3357</v>
      </c>
    </row>
    <row r="51" ht="15.75" customHeight="1">
      <c r="A51" s="5" t="s">
        <v>121</v>
      </c>
      <c r="B51" s="5" t="s">
        <v>304</v>
      </c>
      <c r="C51" s="5" t="s">
        <v>305</v>
      </c>
      <c r="D51" s="5" t="s">
        <v>944</v>
      </c>
      <c r="E51" s="5" t="s">
        <v>3260</v>
      </c>
      <c r="F51" s="5" t="s">
        <v>3358</v>
      </c>
      <c r="G51" s="5">
        <v>0.0</v>
      </c>
      <c r="H51" s="5" t="s">
        <v>3356</v>
      </c>
      <c r="I51" s="5" t="s">
        <v>3357</v>
      </c>
    </row>
    <row r="52" ht="15.75" customHeight="1">
      <c r="A52" s="5" t="s">
        <v>121</v>
      </c>
      <c r="B52" s="5" t="s">
        <v>304</v>
      </c>
      <c r="C52" s="5" t="s">
        <v>305</v>
      </c>
      <c r="D52" s="5" t="s">
        <v>944</v>
      </c>
      <c r="E52" s="5" t="s">
        <v>3260</v>
      </c>
      <c r="F52" s="5" t="s">
        <v>3359</v>
      </c>
      <c r="G52" s="5">
        <v>0.0</v>
      </c>
      <c r="H52" s="5" t="s">
        <v>3356</v>
      </c>
      <c r="I52" s="5" t="s">
        <v>3357</v>
      </c>
    </row>
    <row r="53" ht="15.75" customHeight="1">
      <c r="A53" s="5" t="s">
        <v>121</v>
      </c>
      <c r="B53" s="5" t="s">
        <v>304</v>
      </c>
      <c r="C53" s="5" t="s">
        <v>305</v>
      </c>
      <c r="D53" s="5" t="s">
        <v>944</v>
      </c>
      <c r="E53" s="5" t="s">
        <v>3260</v>
      </c>
      <c r="F53" s="5" t="s">
        <v>3360</v>
      </c>
      <c r="G53" s="5">
        <v>0.0</v>
      </c>
      <c r="H53" s="5" t="s">
        <v>3356</v>
      </c>
      <c r="I53" s="5" t="s">
        <v>3357</v>
      </c>
    </row>
    <row r="54" ht="15.75" customHeight="1">
      <c r="A54" s="5" t="s">
        <v>121</v>
      </c>
      <c r="B54" s="5" t="s">
        <v>304</v>
      </c>
      <c r="C54" s="5" t="s">
        <v>305</v>
      </c>
      <c r="D54" s="5" t="s">
        <v>944</v>
      </c>
      <c r="E54" s="5" t="s">
        <v>3260</v>
      </c>
      <c r="F54" s="5" t="s">
        <v>3361</v>
      </c>
      <c r="G54" s="5">
        <v>0.0</v>
      </c>
      <c r="H54" s="5" t="s">
        <v>3356</v>
      </c>
      <c r="I54" s="5" t="s">
        <v>3357</v>
      </c>
    </row>
    <row r="55" ht="15.75" customHeight="1">
      <c r="A55" s="5" t="s">
        <v>121</v>
      </c>
      <c r="B55" s="5" t="s">
        <v>313</v>
      </c>
      <c r="C55" s="5" t="s">
        <v>314</v>
      </c>
      <c r="D55" s="5" t="s">
        <v>1560</v>
      </c>
    </row>
    <row r="56" ht="15.75" customHeight="1">
      <c r="A56" s="5" t="s">
        <v>121</v>
      </c>
      <c r="B56" s="5" t="s">
        <v>321</v>
      </c>
      <c r="C56" s="5" t="s">
        <v>322</v>
      </c>
      <c r="D56" s="5" t="s">
        <v>944</v>
      </c>
      <c r="E56" s="5" t="s">
        <v>3260</v>
      </c>
      <c r="F56" s="5" t="s">
        <v>3362</v>
      </c>
      <c r="G56" s="5">
        <v>21840.0</v>
      </c>
      <c r="H56" s="5" t="s">
        <v>3363</v>
      </c>
    </row>
    <row r="57" ht="15.75" customHeight="1">
      <c r="A57" s="5" t="s">
        <v>121</v>
      </c>
      <c r="B57" s="5" t="s">
        <v>321</v>
      </c>
      <c r="C57" s="5" t="s">
        <v>322</v>
      </c>
      <c r="D57" s="5" t="s">
        <v>944</v>
      </c>
      <c r="E57" s="5" t="s">
        <v>3260</v>
      </c>
      <c r="F57" s="5" t="s">
        <v>3364</v>
      </c>
      <c r="G57" s="5">
        <v>4032.0</v>
      </c>
      <c r="H57" s="5" t="s">
        <v>3365</v>
      </c>
      <c r="I57" s="5" t="s">
        <v>3366</v>
      </c>
    </row>
    <row r="58" ht="15.75" customHeight="1">
      <c r="A58" s="5" t="s">
        <v>121</v>
      </c>
      <c r="B58" s="5" t="s">
        <v>330</v>
      </c>
      <c r="C58" s="5" t="s">
        <v>331</v>
      </c>
      <c r="D58" s="5" t="s">
        <v>1560</v>
      </c>
    </row>
    <row r="59" ht="15.75" customHeight="1">
      <c r="A59" s="5" t="s">
        <v>121</v>
      </c>
      <c r="B59" s="5" t="s">
        <v>338</v>
      </c>
      <c r="C59" s="5" t="s">
        <v>339</v>
      </c>
      <c r="D59" s="5" t="s">
        <v>944</v>
      </c>
      <c r="E59" s="5" t="s">
        <v>3260</v>
      </c>
      <c r="F59" s="5" t="s">
        <v>3367</v>
      </c>
      <c r="G59" s="5">
        <v>1500.0</v>
      </c>
      <c r="H59" s="5" t="s">
        <v>3368</v>
      </c>
    </row>
    <row r="60" ht="15.75" customHeight="1">
      <c r="A60" s="5" t="s">
        <v>121</v>
      </c>
      <c r="B60" s="5" t="s">
        <v>338</v>
      </c>
      <c r="C60" s="5" t="s">
        <v>339</v>
      </c>
      <c r="D60" s="5" t="s">
        <v>944</v>
      </c>
      <c r="E60" s="5" t="s">
        <v>3260</v>
      </c>
      <c r="F60" s="5" t="s">
        <v>3369</v>
      </c>
      <c r="G60" s="5">
        <v>4500.0</v>
      </c>
      <c r="H60" s="5" t="s">
        <v>3370</v>
      </c>
    </row>
    <row r="61" ht="15.75" customHeight="1">
      <c r="A61" s="5" t="s">
        <v>121</v>
      </c>
      <c r="B61" s="5" t="s">
        <v>338</v>
      </c>
      <c r="C61" s="5" t="s">
        <v>339</v>
      </c>
      <c r="D61" s="5" t="s">
        <v>944</v>
      </c>
      <c r="E61" s="5" t="s">
        <v>3260</v>
      </c>
      <c r="F61" s="5" t="s">
        <v>3371</v>
      </c>
      <c r="G61" s="5">
        <v>1500.0</v>
      </c>
      <c r="H61" s="5" t="s">
        <v>3372</v>
      </c>
    </row>
    <row r="62" ht="15.75" customHeight="1">
      <c r="A62" s="5" t="s">
        <v>121</v>
      </c>
      <c r="B62" s="5" t="s">
        <v>338</v>
      </c>
      <c r="C62" s="5" t="s">
        <v>339</v>
      </c>
      <c r="D62" s="5" t="s">
        <v>944</v>
      </c>
      <c r="E62" s="5" t="s">
        <v>3260</v>
      </c>
      <c r="F62" s="5" t="s">
        <v>3373</v>
      </c>
      <c r="G62" s="5">
        <v>23600.0</v>
      </c>
      <c r="H62" s="5" t="s">
        <v>3374</v>
      </c>
    </row>
    <row r="63" ht="15.75" customHeight="1">
      <c r="A63" s="5" t="s">
        <v>121</v>
      </c>
      <c r="B63" s="5" t="s">
        <v>338</v>
      </c>
      <c r="C63" s="5" t="s">
        <v>339</v>
      </c>
      <c r="D63" s="5" t="s">
        <v>944</v>
      </c>
      <c r="E63" s="5" t="s">
        <v>3260</v>
      </c>
      <c r="F63" s="5" t="s">
        <v>3375</v>
      </c>
      <c r="G63" s="5">
        <v>3000.0</v>
      </c>
      <c r="H63" s="5" t="s">
        <v>3376</v>
      </c>
    </row>
    <row r="64" ht="15.75" customHeight="1">
      <c r="A64" s="5" t="s">
        <v>121</v>
      </c>
      <c r="B64" s="5" t="s">
        <v>348</v>
      </c>
      <c r="C64" s="5" t="s">
        <v>349</v>
      </c>
      <c r="D64" s="5" t="s">
        <v>1560</v>
      </c>
    </row>
    <row r="65" ht="15.75" customHeight="1">
      <c r="A65" s="5" t="s">
        <v>121</v>
      </c>
      <c r="B65" s="5" t="s">
        <v>355</v>
      </c>
      <c r="C65" s="5" t="s">
        <v>356</v>
      </c>
      <c r="D65" s="5" t="s">
        <v>944</v>
      </c>
      <c r="E65" s="5" t="s">
        <v>3260</v>
      </c>
      <c r="F65" s="5" t="s">
        <v>3377</v>
      </c>
      <c r="G65" s="5">
        <v>1000.0</v>
      </c>
      <c r="H65" s="5" t="s">
        <v>3378</v>
      </c>
    </row>
    <row r="66" ht="15.75" customHeight="1">
      <c r="A66" s="5" t="s">
        <v>121</v>
      </c>
      <c r="B66" s="5" t="s">
        <v>365</v>
      </c>
      <c r="C66" s="5" t="s">
        <v>366</v>
      </c>
      <c r="D66" s="5" t="s">
        <v>944</v>
      </c>
      <c r="E66" s="5" t="s">
        <v>3260</v>
      </c>
      <c r="F66" s="5" t="s">
        <v>3379</v>
      </c>
      <c r="G66" s="5">
        <v>30000.0</v>
      </c>
      <c r="H66" s="5" t="s">
        <v>3380</v>
      </c>
      <c r="I66" s="5" t="s">
        <v>3381</v>
      </c>
    </row>
    <row r="67" ht="15.75" customHeight="1">
      <c r="A67" s="5" t="s">
        <v>121</v>
      </c>
      <c r="B67" s="5" t="s">
        <v>365</v>
      </c>
      <c r="C67" s="5" t="s">
        <v>366</v>
      </c>
      <c r="D67" s="5" t="s">
        <v>944</v>
      </c>
      <c r="E67" s="5" t="s">
        <v>3260</v>
      </c>
      <c r="F67" s="5" t="s">
        <v>3382</v>
      </c>
      <c r="G67" s="5">
        <v>40000.0</v>
      </c>
      <c r="H67" s="5" t="s">
        <v>3383</v>
      </c>
      <c r="I67" s="5" t="s">
        <v>3381</v>
      </c>
    </row>
    <row r="68" ht="15.75" customHeight="1">
      <c r="A68" s="5" t="s">
        <v>121</v>
      </c>
      <c r="B68" s="5" t="s">
        <v>365</v>
      </c>
      <c r="C68" s="5" t="s">
        <v>366</v>
      </c>
      <c r="D68" s="5" t="s">
        <v>944</v>
      </c>
      <c r="E68" s="5" t="s">
        <v>3260</v>
      </c>
      <c r="F68" s="5" t="s">
        <v>3384</v>
      </c>
      <c r="G68" s="5">
        <v>80000.0</v>
      </c>
      <c r="H68" s="5" t="s">
        <v>3385</v>
      </c>
      <c r="I68" s="5" t="s">
        <v>3381</v>
      </c>
    </row>
    <row r="69" ht="15.75" customHeight="1">
      <c r="A69" s="5" t="s">
        <v>121</v>
      </c>
      <c r="B69" s="5" t="s">
        <v>375</v>
      </c>
      <c r="C69" s="5" t="s">
        <v>376</v>
      </c>
      <c r="D69" s="5" t="s">
        <v>944</v>
      </c>
      <c r="E69" s="5" t="s">
        <v>3260</v>
      </c>
      <c r="F69" s="5" t="s">
        <v>3386</v>
      </c>
      <c r="G69" s="5">
        <v>49442.04</v>
      </c>
      <c r="H69" s="5" t="s">
        <v>3387</v>
      </c>
      <c r="I69" s="5" t="s">
        <v>3388</v>
      </c>
    </row>
    <row r="70" ht="15.75" customHeight="1">
      <c r="A70" s="5" t="s">
        <v>121</v>
      </c>
      <c r="B70" s="5" t="s">
        <v>375</v>
      </c>
      <c r="C70" s="5" t="s">
        <v>376</v>
      </c>
      <c r="D70" s="5" t="s">
        <v>944</v>
      </c>
      <c r="E70" s="5" t="s">
        <v>3260</v>
      </c>
      <c r="F70" s="5" t="s">
        <v>3389</v>
      </c>
      <c r="G70" s="5">
        <v>0.0</v>
      </c>
      <c r="H70" s="5" t="s">
        <v>3390</v>
      </c>
      <c r="I70" s="5" t="s">
        <v>3391</v>
      </c>
    </row>
    <row r="71" ht="15.75" customHeight="1">
      <c r="A71" s="5" t="s">
        <v>121</v>
      </c>
      <c r="B71" s="5" t="s">
        <v>375</v>
      </c>
      <c r="C71" s="5" t="s">
        <v>376</v>
      </c>
      <c r="D71" s="5" t="s">
        <v>944</v>
      </c>
      <c r="E71" s="5" t="s">
        <v>3260</v>
      </c>
      <c r="F71" s="5" t="s">
        <v>3392</v>
      </c>
      <c r="G71" s="5">
        <v>49000.0</v>
      </c>
      <c r="H71" s="5" t="s">
        <v>3393</v>
      </c>
      <c r="I71" s="5" t="s">
        <v>3394</v>
      </c>
    </row>
    <row r="72" ht="15.75" customHeight="1">
      <c r="A72" s="5" t="s">
        <v>121</v>
      </c>
      <c r="B72" s="5" t="s">
        <v>375</v>
      </c>
      <c r="C72" s="5" t="s">
        <v>376</v>
      </c>
      <c r="D72" s="5" t="s">
        <v>944</v>
      </c>
      <c r="E72" s="5" t="s">
        <v>3260</v>
      </c>
      <c r="F72" s="5" t="s">
        <v>3386</v>
      </c>
      <c r="G72" s="5">
        <v>49442.04</v>
      </c>
      <c r="H72" s="5" t="s">
        <v>3387</v>
      </c>
      <c r="I72" s="5" t="s">
        <v>3388</v>
      </c>
    </row>
    <row r="73" ht="15.75" customHeight="1">
      <c r="A73" s="5" t="s">
        <v>121</v>
      </c>
      <c r="B73" s="5" t="s">
        <v>375</v>
      </c>
      <c r="C73" s="5" t="s">
        <v>376</v>
      </c>
      <c r="D73" s="5" t="s">
        <v>944</v>
      </c>
      <c r="E73" s="5" t="s">
        <v>3260</v>
      </c>
      <c r="F73" s="5" t="s">
        <v>3392</v>
      </c>
      <c r="G73" s="5">
        <v>49000.0</v>
      </c>
      <c r="H73" s="5" t="s">
        <v>3393</v>
      </c>
      <c r="I73" s="5" t="s">
        <v>3394</v>
      </c>
    </row>
    <row r="74" ht="15.75" customHeight="1">
      <c r="A74" s="5" t="s">
        <v>121</v>
      </c>
      <c r="B74" s="5" t="s">
        <v>375</v>
      </c>
      <c r="C74" s="5" t="s">
        <v>376</v>
      </c>
      <c r="D74" s="5" t="s">
        <v>944</v>
      </c>
      <c r="E74" s="5" t="s">
        <v>3260</v>
      </c>
      <c r="F74" s="5" t="s">
        <v>3389</v>
      </c>
      <c r="G74" s="5">
        <v>0.0</v>
      </c>
      <c r="H74" s="5" t="s">
        <v>3390</v>
      </c>
      <c r="I74" s="5" t="s">
        <v>3391</v>
      </c>
    </row>
    <row r="75" ht="15.75" customHeight="1">
      <c r="A75" s="5" t="s">
        <v>121</v>
      </c>
      <c r="B75" s="5" t="s">
        <v>387</v>
      </c>
      <c r="C75" s="5" t="s">
        <v>388</v>
      </c>
      <c r="D75" s="5" t="s">
        <v>944</v>
      </c>
      <c r="E75" s="5" t="s">
        <v>3260</v>
      </c>
      <c r="F75" s="5" t="s">
        <v>3395</v>
      </c>
      <c r="G75" s="5">
        <v>2700.0</v>
      </c>
      <c r="H75" s="5" t="s">
        <v>3396</v>
      </c>
      <c r="I75" s="5" t="s">
        <v>3397</v>
      </c>
    </row>
    <row r="76" ht="15.75" customHeight="1">
      <c r="A76" s="5" t="s">
        <v>121</v>
      </c>
      <c r="B76" s="5" t="s">
        <v>395</v>
      </c>
      <c r="C76" s="5" t="s">
        <v>396</v>
      </c>
      <c r="D76" s="5" t="s">
        <v>1560</v>
      </c>
    </row>
    <row r="77" ht="15.75" customHeight="1">
      <c r="A77" s="5" t="s">
        <v>121</v>
      </c>
      <c r="B77" s="5" t="s">
        <v>405</v>
      </c>
      <c r="C77" s="5" t="s">
        <v>406</v>
      </c>
      <c r="D77" s="5" t="s">
        <v>944</v>
      </c>
      <c r="E77" s="5" t="s">
        <v>3260</v>
      </c>
      <c r="F77" s="5" t="s">
        <v>3398</v>
      </c>
      <c r="G77" s="5">
        <v>5800.0</v>
      </c>
      <c r="H77" s="5" t="s">
        <v>3399</v>
      </c>
      <c r="I77" s="5" t="s">
        <v>3400</v>
      </c>
    </row>
    <row r="78" ht="15.75" customHeight="1">
      <c r="A78" s="5" t="s">
        <v>121</v>
      </c>
      <c r="B78" s="5" t="s">
        <v>405</v>
      </c>
      <c r="C78" s="5" t="s">
        <v>406</v>
      </c>
      <c r="D78" s="5" t="s">
        <v>944</v>
      </c>
      <c r="E78" s="5" t="s">
        <v>3260</v>
      </c>
      <c r="F78" s="5" t="s">
        <v>3401</v>
      </c>
      <c r="G78" s="5">
        <v>7000.0</v>
      </c>
      <c r="H78" s="5" t="s">
        <v>3402</v>
      </c>
      <c r="I78" s="5" t="s">
        <v>3400</v>
      </c>
    </row>
    <row r="79" ht="15.75" customHeight="1">
      <c r="A79" s="5" t="s">
        <v>121</v>
      </c>
      <c r="B79" s="5" t="s">
        <v>405</v>
      </c>
      <c r="C79" s="5" t="s">
        <v>406</v>
      </c>
      <c r="D79" s="5" t="s">
        <v>944</v>
      </c>
      <c r="E79" s="5" t="s">
        <v>3260</v>
      </c>
      <c r="F79" s="5" t="s">
        <v>3403</v>
      </c>
      <c r="G79" s="5">
        <v>10860.0</v>
      </c>
      <c r="H79" s="5" t="s">
        <v>3404</v>
      </c>
      <c r="I79" s="5" t="s">
        <v>3400</v>
      </c>
    </row>
    <row r="80" ht="15.75" customHeight="1">
      <c r="A80" s="5" t="s">
        <v>121</v>
      </c>
      <c r="B80" s="5" t="s">
        <v>405</v>
      </c>
      <c r="C80" s="5" t="s">
        <v>406</v>
      </c>
      <c r="D80" s="5" t="s">
        <v>944</v>
      </c>
      <c r="E80" s="5" t="s">
        <v>3260</v>
      </c>
      <c r="F80" s="5" t="s">
        <v>3405</v>
      </c>
      <c r="G80" s="5">
        <v>8000.0</v>
      </c>
      <c r="H80" s="5" t="s">
        <v>3406</v>
      </c>
      <c r="I80" s="5" t="s">
        <v>3407</v>
      </c>
    </row>
    <row r="81" ht="15.75" customHeight="1">
      <c r="A81" s="5" t="s">
        <v>121</v>
      </c>
      <c r="B81" s="5" t="s">
        <v>412</v>
      </c>
      <c r="C81" s="5" t="s">
        <v>413</v>
      </c>
      <c r="D81" s="5" t="s">
        <v>944</v>
      </c>
      <c r="E81" s="5" t="s">
        <v>3408</v>
      </c>
      <c r="F81" s="5" t="s">
        <v>3409</v>
      </c>
      <c r="G81" s="5">
        <v>33700.0</v>
      </c>
      <c r="H81" s="5" t="s">
        <v>3410</v>
      </c>
      <c r="I81" s="5" t="s">
        <v>3411</v>
      </c>
    </row>
    <row r="82" ht="15.75" customHeight="1">
      <c r="A82" s="5" t="s">
        <v>121</v>
      </c>
      <c r="B82" s="5" t="s">
        <v>412</v>
      </c>
      <c r="C82" s="5" t="s">
        <v>413</v>
      </c>
      <c r="D82" s="5" t="s">
        <v>944</v>
      </c>
      <c r="E82" s="5" t="s">
        <v>3260</v>
      </c>
      <c r="F82" s="5" t="s">
        <v>3412</v>
      </c>
      <c r="G82" s="5">
        <v>0.0</v>
      </c>
      <c r="H82" s="5" t="s">
        <v>3356</v>
      </c>
      <c r="I82" s="5" t="s">
        <v>3413</v>
      </c>
    </row>
    <row r="83" ht="15.75" customHeight="1">
      <c r="A83" s="5" t="s">
        <v>419</v>
      </c>
      <c r="B83" s="5" t="s">
        <v>420</v>
      </c>
      <c r="C83" s="5" t="s">
        <v>421</v>
      </c>
      <c r="D83" s="5" t="s">
        <v>1560</v>
      </c>
    </row>
    <row r="84" ht="15.75" customHeight="1">
      <c r="A84" s="5" t="s">
        <v>419</v>
      </c>
      <c r="B84" s="5" t="s">
        <v>430</v>
      </c>
      <c r="C84" s="5" t="s">
        <v>431</v>
      </c>
      <c r="D84" s="5" t="s">
        <v>944</v>
      </c>
      <c r="E84" s="5" t="s">
        <v>3260</v>
      </c>
      <c r="F84" s="5" t="s">
        <v>3414</v>
      </c>
      <c r="G84" s="5">
        <v>4000.0</v>
      </c>
      <c r="H84" s="5" t="s">
        <v>3415</v>
      </c>
    </row>
    <row r="85" ht="15.75" customHeight="1">
      <c r="A85" s="5" t="s">
        <v>419</v>
      </c>
      <c r="B85" s="5" t="s">
        <v>430</v>
      </c>
      <c r="C85" s="5" t="s">
        <v>431</v>
      </c>
      <c r="D85" s="5" t="s">
        <v>944</v>
      </c>
      <c r="E85" s="5" t="s">
        <v>3260</v>
      </c>
      <c r="F85" s="5" t="s">
        <v>3416</v>
      </c>
      <c r="G85" s="5">
        <v>3500.0</v>
      </c>
      <c r="H85" s="5" t="s">
        <v>3417</v>
      </c>
    </row>
    <row r="86" ht="15.75" customHeight="1">
      <c r="A86" s="5" t="s">
        <v>419</v>
      </c>
      <c r="B86" s="5" t="s">
        <v>430</v>
      </c>
      <c r="C86" s="5" t="s">
        <v>431</v>
      </c>
      <c r="D86" s="5" t="s">
        <v>944</v>
      </c>
      <c r="E86" s="5" t="s">
        <v>3260</v>
      </c>
      <c r="F86" s="5" t="s">
        <v>3418</v>
      </c>
      <c r="G86" s="5">
        <v>3500.0</v>
      </c>
      <c r="H86" s="5" t="s">
        <v>3419</v>
      </c>
    </row>
    <row r="87" ht="15.75" customHeight="1">
      <c r="A87" s="5" t="s">
        <v>419</v>
      </c>
      <c r="B87" s="5" t="s">
        <v>430</v>
      </c>
      <c r="C87" s="5" t="s">
        <v>431</v>
      </c>
      <c r="D87" s="5" t="s">
        <v>944</v>
      </c>
      <c r="E87" s="5" t="s">
        <v>3260</v>
      </c>
      <c r="F87" s="5" t="s">
        <v>3420</v>
      </c>
      <c r="G87" s="5">
        <v>4000.0</v>
      </c>
      <c r="H87" s="5" t="s">
        <v>3421</v>
      </c>
    </row>
    <row r="88" ht="15.75" customHeight="1">
      <c r="A88" s="5" t="s">
        <v>419</v>
      </c>
      <c r="B88" s="5" t="s">
        <v>438</v>
      </c>
      <c r="C88" s="5" t="s">
        <v>439</v>
      </c>
      <c r="D88" s="5" t="s">
        <v>1560</v>
      </c>
    </row>
    <row r="89" ht="15.75" customHeight="1">
      <c r="A89" s="5" t="s">
        <v>419</v>
      </c>
      <c r="B89" s="5" t="s">
        <v>446</v>
      </c>
      <c r="C89" s="5" t="s">
        <v>447</v>
      </c>
      <c r="D89" s="5" t="s">
        <v>1560</v>
      </c>
    </row>
    <row r="90" ht="15.75" customHeight="1">
      <c r="A90" s="5" t="s">
        <v>419</v>
      </c>
      <c r="B90" s="5" t="s">
        <v>453</v>
      </c>
      <c r="C90" s="5" t="s">
        <v>454</v>
      </c>
      <c r="D90" s="5" t="s">
        <v>944</v>
      </c>
      <c r="E90" s="5" t="s">
        <v>3260</v>
      </c>
      <c r="F90" s="5" t="s">
        <v>3422</v>
      </c>
      <c r="G90" s="5">
        <v>5000.0</v>
      </c>
      <c r="H90" s="5" t="s">
        <v>3423</v>
      </c>
    </row>
    <row r="91" ht="15.75" customHeight="1">
      <c r="A91" s="5" t="s">
        <v>419</v>
      </c>
      <c r="B91" s="5" t="s">
        <v>453</v>
      </c>
      <c r="C91" s="5" t="s">
        <v>454</v>
      </c>
      <c r="D91" s="5" t="s">
        <v>944</v>
      </c>
      <c r="E91" s="5" t="s">
        <v>3260</v>
      </c>
      <c r="F91" s="5" t="s">
        <v>3424</v>
      </c>
      <c r="G91" s="5">
        <v>40000.0</v>
      </c>
      <c r="H91" s="5" t="s">
        <v>3425</v>
      </c>
    </row>
    <row r="92" ht="15.75" customHeight="1">
      <c r="A92" s="5" t="s">
        <v>419</v>
      </c>
      <c r="B92" s="5" t="s">
        <v>461</v>
      </c>
      <c r="C92" s="5" t="s">
        <v>462</v>
      </c>
      <c r="D92" s="5" t="s">
        <v>944</v>
      </c>
      <c r="E92" s="5" t="s">
        <v>3260</v>
      </c>
      <c r="F92" s="5" t="s">
        <v>3426</v>
      </c>
      <c r="G92" s="5">
        <v>3500.0</v>
      </c>
      <c r="H92" s="5" t="s">
        <v>3427</v>
      </c>
    </row>
    <row r="93" ht="15.75" customHeight="1">
      <c r="A93" s="5" t="s">
        <v>419</v>
      </c>
      <c r="B93" s="5" t="s">
        <v>461</v>
      </c>
      <c r="C93" s="5" t="s">
        <v>462</v>
      </c>
      <c r="D93" s="5" t="s">
        <v>944</v>
      </c>
      <c r="E93" s="5" t="s">
        <v>3260</v>
      </c>
      <c r="F93" s="5" t="s">
        <v>3428</v>
      </c>
      <c r="G93" s="5">
        <v>2000.0</v>
      </c>
      <c r="H93" s="5" t="s">
        <v>3429</v>
      </c>
    </row>
    <row r="94" ht="15.75" customHeight="1">
      <c r="A94" s="5" t="s">
        <v>419</v>
      </c>
      <c r="B94" s="5" t="s">
        <v>461</v>
      </c>
      <c r="C94" s="5" t="s">
        <v>462</v>
      </c>
      <c r="D94" s="5" t="s">
        <v>944</v>
      </c>
      <c r="E94" s="5" t="s">
        <v>3260</v>
      </c>
      <c r="F94" s="5" t="s">
        <v>3430</v>
      </c>
      <c r="G94" s="5">
        <v>3000.0</v>
      </c>
      <c r="H94" s="5" t="s">
        <v>3431</v>
      </c>
    </row>
    <row r="95" ht="15.75" customHeight="1">
      <c r="A95" s="5" t="s">
        <v>419</v>
      </c>
      <c r="B95" s="5" t="s">
        <v>461</v>
      </c>
      <c r="C95" s="5" t="s">
        <v>462</v>
      </c>
      <c r="D95" s="5" t="s">
        <v>944</v>
      </c>
      <c r="E95" s="5" t="s">
        <v>3260</v>
      </c>
      <c r="F95" s="5" t="s">
        <v>3432</v>
      </c>
      <c r="G95" s="5">
        <v>25000.0</v>
      </c>
      <c r="H95" s="5" t="s">
        <v>3433</v>
      </c>
    </row>
    <row r="96" ht="15.75" customHeight="1">
      <c r="A96" s="5" t="s">
        <v>419</v>
      </c>
      <c r="B96" s="5" t="s">
        <v>469</v>
      </c>
      <c r="C96" s="5" t="s">
        <v>470</v>
      </c>
      <c r="D96" s="5" t="s">
        <v>944</v>
      </c>
      <c r="E96" s="5" t="s">
        <v>3260</v>
      </c>
      <c r="F96" s="5" t="s">
        <v>3434</v>
      </c>
      <c r="G96" s="5">
        <v>4000.0</v>
      </c>
      <c r="H96" s="5" t="s">
        <v>3435</v>
      </c>
    </row>
    <row r="97" ht="15.75" customHeight="1">
      <c r="A97" s="5" t="s">
        <v>419</v>
      </c>
      <c r="B97" s="5" t="s">
        <v>469</v>
      </c>
      <c r="C97" s="5" t="s">
        <v>470</v>
      </c>
      <c r="D97" s="5" t="s">
        <v>944</v>
      </c>
      <c r="E97" s="5" t="s">
        <v>3260</v>
      </c>
      <c r="F97" s="5" t="s">
        <v>3436</v>
      </c>
      <c r="G97" s="5">
        <v>3800.0</v>
      </c>
      <c r="H97" s="5" t="s">
        <v>3437</v>
      </c>
    </row>
    <row r="98" ht="15.75" customHeight="1">
      <c r="A98" s="5" t="s">
        <v>419</v>
      </c>
      <c r="B98" s="5" t="s">
        <v>469</v>
      </c>
      <c r="C98" s="5" t="s">
        <v>470</v>
      </c>
      <c r="D98" s="5" t="s">
        <v>944</v>
      </c>
      <c r="E98" s="5" t="s">
        <v>3260</v>
      </c>
      <c r="F98" s="5" t="s">
        <v>3438</v>
      </c>
      <c r="G98" s="5">
        <v>4000.0</v>
      </c>
      <c r="H98" s="5" t="s">
        <v>3437</v>
      </c>
    </row>
    <row r="99" ht="15.75" customHeight="1">
      <c r="A99" s="5" t="s">
        <v>419</v>
      </c>
      <c r="B99" s="5" t="s">
        <v>469</v>
      </c>
      <c r="C99" s="5" t="s">
        <v>470</v>
      </c>
      <c r="D99" s="5" t="s">
        <v>944</v>
      </c>
      <c r="E99" s="5" t="s">
        <v>3260</v>
      </c>
      <c r="F99" s="5" t="s">
        <v>3439</v>
      </c>
      <c r="G99" s="5">
        <v>35200.0</v>
      </c>
      <c r="H99" s="5" t="s">
        <v>3440</v>
      </c>
    </row>
    <row r="100" ht="15.75" customHeight="1">
      <c r="A100" s="5" t="s">
        <v>419</v>
      </c>
      <c r="B100" s="5" t="s">
        <v>469</v>
      </c>
      <c r="C100" s="5" t="s">
        <v>470</v>
      </c>
      <c r="D100" s="5" t="s">
        <v>944</v>
      </c>
      <c r="E100" s="5" t="s">
        <v>3260</v>
      </c>
      <c r="F100" s="5" t="s">
        <v>3441</v>
      </c>
      <c r="G100" s="5">
        <v>3800.0</v>
      </c>
      <c r="H100" s="5" t="s">
        <v>3442</v>
      </c>
    </row>
    <row r="101" ht="15.75" customHeight="1">
      <c r="A101" s="5" t="s">
        <v>419</v>
      </c>
      <c r="B101" s="5" t="s">
        <v>469</v>
      </c>
      <c r="C101" s="5" t="s">
        <v>470</v>
      </c>
      <c r="D101" s="5" t="s">
        <v>944</v>
      </c>
      <c r="E101" s="5" t="s">
        <v>3260</v>
      </c>
      <c r="F101" s="5" t="s">
        <v>3443</v>
      </c>
      <c r="G101" s="5">
        <v>19000.0</v>
      </c>
      <c r="H101" s="5" t="s">
        <v>3444</v>
      </c>
    </row>
    <row r="102" ht="15.75" customHeight="1">
      <c r="A102" s="5" t="s">
        <v>419</v>
      </c>
      <c r="B102" s="5" t="s">
        <v>477</v>
      </c>
      <c r="C102" s="5" t="s">
        <v>478</v>
      </c>
      <c r="D102" s="5" t="s">
        <v>1560</v>
      </c>
    </row>
    <row r="103" ht="15.75" customHeight="1">
      <c r="A103" s="5" t="s">
        <v>419</v>
      </c>
      <c r="B103" s="5" t="s">
        <v>477</v>
      </c>
      <c r="C103" s="5" t="s">
        <v>478</v>
      </c>
      <c r="D103" s="5" t="s">
        <v>1560</v>
      </c>
    </row>
    <row r="104" ht="15.75" customHeight="1">
      <c r="A104" s="5" t="s">
        <v>419</v>
      </c>
      <c r="B104" s="5" t="s">
        <v>488</v>
      </c>
      <c r="C104" s="5" t="s">
        <v>489</v>
      </c>
      <c r="D104" s="5" t="s">
        <v>944</v>
      </c>
      <c r="E104" s="5" t="s">
        <v>3445</v>
      </c>
      <c r="F104" s="5" t="s">
        <v>3446</v>
      </c>
      <c r="G104" s="5">
        <v>8500.0</v>
      </c>
      <c r="H104" s="5" t="s">
        <v>3447</v>
      </c>
      <c r="I104" s="5" t="s">
        <v>3448</v>
      </c>
    </row>
    <row r="105" ht="15.75" customHeight="1">
      <c r="A105" s="5" t="s">
        <v>419</v>
      </c>
      <c r="B105" s="5" t="s">
        <v>488</v>
      </c>
      <c r="C105" s="5" t="s">
        <v>489</v>
      </c>
      <c r="D105" s="5" t="s">
        <v>944</v>
      </c>
      <c r="E105" s="5" t="s">
        <v>3260</v>
      </c>
      <c r="F105" s="5" t="s">
        <v>3449</v>
      </c>
      <c r="G105" s="5">
        <v>20000.0</v>
      </c>
      <c r="H105" s="5" t="s">
        <v>3450</v>
      </c>
      <c r="I105" s="5" t="s">
        <v>3451</v>
      </c>
    </row>
    <row r="106" ht="15.75" customHeight="1">
      <c r="A106" s="5" t="s">
        <v>419</v>
      </c>
      <c r="B106" s="5" t="s">
        <v>488</v>
      </c>
      <c r="C106" s="5" t="s">
        <v>489</v>
      </c>
      <c r="D106" s="5" t="s">
        <v>944</v>
      </c>
      <c r="E106" s="5" t="s">
        <v>3452</v>
      </c>
      <c r="F106" s="5" t="s">
        <v>3453</v>
      </c>
      <c r="G106" s="5">
        <v>7000.0</v>
      </c>
      <c r="H106" s="5" t="s">
        <v>3454</v>
      </c>
      <c r="I106" s="5" t="s">
        <v>3448</v>
      </c>
    </row>
    <row r="107" ht="15.75" customHeight="1">
      <c r="A107" s="5" t="s">
        <v>419</v>
      </c>
      <c r="B107" s="5" t="s">
        <v>498</v>
      </c>
      <c r="C107" s="5" t="s">
        <v>499</v>
      </c>
      <c r="D107" s="5" t="s">
        <v>1560</v>
      </c>
    </row>
    <row r="108" ht="15.75" customHeight="1">
      <c r="A108" s="5" t="s">
        <v>419</v>
      </c>
      <c r="B108" s="5" t="s">
        <v>507</v>
      </c>
      <c r="C108" s="5" t="s">
        <v>508</v>
      </c>
      <c r="D108" s="5" t="s">
        <v>944</v>
      </c>
      <c r="E108" s="5" t="s">
        <v>3260</v>
      </c>
      <c r="F108" s="5" t="s">
        <v>3455</v>
      </c>
      <c r="G108" s="5">
        <v>5000.0</v>
      </c>
      <c r="H108" s="5" t="s">
        <v>3456</v>
      </c>
    </row>
    <row r="109" ht="15.75" customHeight="1">
      <c r="A109" s="5" t="s">
        <v>419</v>
      </c>
      <c r="B109" s="5" t="s">
        <v>517</v>
      </c>
      <c r="C109" s="5" t="s">
        <v>518</v>
      </c>
      <c r="D109" s="5" t="s">
        <v>944</v>
      </c>
      <c r="E109" s="5" t="s">
        <v>3260</v>
      </c>
      <c r="F109" s="5" t="s">
        <v>3457</v>
      </c>
      <c r="G109" s="5">
        <v>140000.0</v>
      </c>
      <c r="H109" s="5" t="s">
        <v>3332</v>
      </c>
    </row>
    <row r="110" ht="15.75" customHeight="1">
      <c r="A110" s="5" t="s">
        <v>419</v>
      </c>
      <c r="B110" s="5" t="s">
        <v>517</v>
      </c>
      <c r="C110" s="5" t="s">
        <v>518</v>
      </c>
      <c r="D110" s="5" t="s">
        <v>944</v>
      </c>
      <c r="E110" s="5" t="s">
        <v>3260</v>
      </c>
      <c r="F110" s="5" t="s">
        <v>3458</v>
      </c>
      <c r="G110" s="5">
        <v>12000.0</v>
      </c>
      <c r="H110" s="5" t="s">
        <v>3459</v>
      </c>
    </row>
    <row r="111" ht="15.75" customHeight="1">
      <c r="A111" s="5" t="s">
        <v>419</v>
      </c>
      <c r="B111" s="5" t="s">
        <v>517</v>
      </c>
      <c r="C111" s="5" t="s">
        <v>518</v>
      </c>
      <c r="D111" s="5" t="s">
        <v>944</v>
      </c>
      <c r="E111" s="5" t="s">
        <v>3260</v>
      </c>
      <c r="F111" s="5" t="s">
        <v>3460</v>
      </c>
      <c r="G111" s="5">
        <v>18000.0</v>
      </c>
      <c r="H111" s="5" t="s">
        <v>3266</v>
      </c>
    </row>
    <row r="112" ht="15.75" customHeight="1">
      <c r="A112" s="5" t="s">
        <v>419</v>
      </c>
      <c r="B112" s="5" t="s">
        <v>517</v>
      </c>
      <c r="C112" s="5" t="s">
        <v>518</v>
      </c>
      <c r="D112" s="5" t="s">
        <v>944</v>
      </c>
      <c r="E112" s="5" t="s">
        <v>3260</v>
      </c>
      <c r="F112" s="5" t="s">
        <v>3461</v>
      </c>
      <c r="G112" s="5">
        <v>19000.0</v>
      </c>
      <c r="H112" s="5" t="s">
        <v>3266</v>
      </c>
    </row>
    <row r="113" ht="15.75" customHeight="1">
      <c r="A113" s="5" t="s">
        <v>419</v>
      </c>
      <c r="B113" s="5" t="s">
        <v>527</v>
      </c>
      <c r="C113" s="5" t="s">
        <v>528</v>
      </c>
      <c r="D113" s="5" t="s">
        <v>944</v>
      </c>
      <c r="E113" s="5" t="s">
        <v>3260</v>
      </c>
      <c r="F113" s="5" t="s">
        <v>3462</v>
      </c>
      <c r="G113" s="5">
        <v>111359.72</v>
      </c>
      <c r="H113" s="5" t="s">
        <v>3463</v>
      </c>
      <c r="I113" s="5" t="s">
        <v>3464</v>
      </c>
    </row>
    <row r="114" ht="15.75" customHeight="1">
      <c r="A114" s="5" t="s">
        <v>419</v>
      </c>
      <c r="B114" s="5" t="s">
        <v>533</v>
      </c>
      <c r="C114" s="5" t="s">
        <v>534</v>
      </c>
      <c r="D114" s="5" t="s">
        <v>944</v>
      </c>
      <c r="E114" s="5" t="s">
        <v>3260</v>
      </c>
      <c r="F114" s="5" t="s">
        <v>3465</v>
      </c>
      <c r="G114" s="5">
        <v>45000.0</v>
      </c>
      <c r="H114" s="5" t="s">
        <v>3466</v>
      </c>
    </row>
    <row r="115" ht="15.75" customHeight="1">
      <c r="A115" s="5" t="s">
        <v>419</v>
      </c>
      <c r="B115" s="5" t="s">
        <v>541</v>
      </c>
      <c r="C115" s="5" t="s">
        <v>542</v>
      </c>
      <c r="D115" s="5" t="s">
        <v>1560</v>
      </c>
    </row>
    <row r="116" ht="15.75" customHeight="1">
      <c r="A116" s="5" t="s">
        <v>419</v>
      </c>
      <c r="B116" s="5" t="s">
        <v>550</v>
      </c>
      <c r="C116" s="5" t="s">
        <v>551</v>
      </c>
      <c r="D116" s="5" t="s">
        <v>1560</v>
      </c>
    </row>
    <row r="117" ht="15.75" customHeight="1">
      <c r="A117" s="5" t="s">
        <v>419</v>
      </c>
      <c r="B117" s="5" t="s">
        <v>559</v>
      </c>
      <c r="C117" s="5" t="s">
        <v>560</v>
      </c>
      <c r="D117" s="5" t="s">
        <v>944</v>
      </c>
      <c r="E117" s="5" t="s">
        <v>3260</v>
      </c>
      <c r="F117" s="5" t="s">
        <v>3467</v>
      </c>
      <c r="G117" s="5">
        <v>130000.0</v>
      </c>
      <c r="H117" s="5" t="s">
        <v>3468</v>
      </c>
    </row>
    <row r="118" ht="15.75" customHeight="1">
      <c r="A118" s="5" t="s">
        <v>567</v>
      </c>
      <c r="B118" s="5" t="s">
        <v>568</v>
      </c>
      <c r="C118" s="5" t="s">
        <v>569</v>
      </c>
      <c r="D118" s="5" t="s">
        <v>944</v>
      </c>
      <c r="E118" s="5" t="s">
        <v>3260</v>
      </c>
      <c r="F118" s="5" t="s">
        <v>3469</v>
      </c>
      <c r="G118" s="5">
        <v>50000.0</v>
      </c>
      <c r="H118" s="5" t="s">
        <v>3470</v>
      </c>
    </row>
    <row r="119" ht="15.75" customHeight="1">
      <c r="A119" s="5" t="s">
        <v>567</v>
      </c>
      <c r="B119" s="5" t="s">
        <v>568</v>
      </c>
      <c r="C119" s="5" t="s">
        <v>569</v>
      </c>
      <c r="D119" s="5" t="s">
        <v>944</v>
      </c>
      <c r="E119" s="5" t="s">
        <v>3260</v>
      </c>
      <c r="F119" s="5" t="s">
        <v>3471</v>
      </c>
      <c r="G119" s="5">
        <v>4000.0</v>
      </c>
      <c r="H119" s="5" t="s">
        <v>3472</v>
      </c>
    </row>
    <row r="120" ht="15.75" customHeight="1">
      <c r="A120" s="5" t="s">
        <v>567</v>
      </c>
      <c r="B120" s="5" t="s">
        <v>577</v>
      </c>
      <c r="C120" s="5" t="s">
        <v>578</v>
      </c>
      <c r="D120" s="5" t="s">
        <v>944</v>
      </c>
      <c r="E120" s="5" t="s">
        <v>3260</v>
      </c>
      <c r="F120" s="5" t="s">
        <v>3473</v>
      </c>
      <c r="G120" s="5">
        <v>60000.0</v>
      </c>
      <c r="H120" s="5" t="s">
        <v>3474</v>
      </c>
    </row>
    <row r="121" ht="15.75" customHeight="1">
      <c r="A121" s="5" t="s">
        <v>567</v>
      </c>
      <c r="B121" s="5" t="s">
        <v>586</v>
      </c>
      <c r="C121" s="5" t="s">
        <v>587</v>
      </c>
      <c r="D121" s="5" t="s">
        <v>944</v>
      </c>
      <c r="E121" s="5" t="s">
        <v>3260</v>
      </c>
      <c r="F121" s="5" t="s">
        <v>3475</v>
      </c>
      <c r="G121" s="5">
        <v>10000.0</v>
      </c>
      <c r="H121" s="5" t="s">
        <v>3476</v>
      </c>
    </row>
    <row r="122" ht="15.75" customHeight="1">
      <c r="A122" s="5" t="s">
        <v>567</v>
      </c>
      <c r="B122" s="5" t="s">
        <v>597</v>
      </c>
      <c r="C122" s="5" t="s">
        <v>598</v>
      </c>
      <c r="D122" s="5" t="s">
        <v>944</v>
      </c>
      <c r="E122" s="5" t="s">
        <v>3260</v>
      </c>
      <c r="F122" s="5" t="s">
        <v>3477</v>
      </c>
      <c r="G122" s="5">
        <v>8500.0</v>
      </c>
      <c r="H122" s="5" t="s">
        <v>3478</v>
      </c>
    </row>
    <row r="123" ht="15.75" customHeight="1">
      <c r="A123" s="5" t="s">
        <v>567</v>
      </c>
      <c r="B123" s="5" t="s">
        <v>606</v>
      </c>
      <c r="C123" s="5" t="s">
        <v>607</v>
      </c>
      <c r="D123" s="5" t="s">
        <v>944</v>
      </c>
      <c r="E123" s="5" t="s">
        <v>3260</v>
      </c>
      <c r="F123" s="5" t="s">
        <v>3479</v>
      </c>
      <c r="G123" s="5">
        <v>32000.0</v>
      </c>
      <c r="H123" s="5" t="s">
        <v>3480</v>
      </c>
    </row>
    <row r="124" ht="15.75" customHeight="1">
      <c r="A124" s="5" t="s">
        <v>567</v>
      </c>
      <c r="B124" s="5" t="s">
        <v>606</v>
      </c>
      <c r="C124" s="5" t="s">
        <v>607</v>
      </c>
      <c r="D124" s="5" t="s">
        <v>944</v>
      </c>
      <c r="E124" s="5" t="s">
        <v>3319</v>
      </c>
      <c r="F124" s="5" t="s">
        <v>3481</v>
      </c>
      <c r="G124" s="5">
        <v>30000.0</v>
      </c>
      <c r="H124" s="5" t="s">
        <v>3482</v>
      </c>
    </row>
    <row r="125" ht="15.75" customHeight="1">
      <c r="A125" s="5" t="s">
        <v>567</v>
      </c>
      <c r="B125" s="5" t="s">
        <v>606</v>
      </c>
      <c r="C125" s="5" t="s">
        <v>607</v>
      </c>
      <c r="D125" s="5" t="s">
        <v>944</v>
      </c>
      <c r="E125" s="5" t="s">
        <v>3260</v>
      </c>
      <c r="F125" s="5" t="s">
        <v>3479</v>
      </c>
      <c r="G125" s="5">
        <v>32000.0</v>
      </c>
      <c r="H125" s="5" t="s">
        <v>3480</v>
      </c>
    </row>
    <row r="126" ht="15.75" customHeight="1">
      <c r="A126" s="5" t="s">
        <v>567</v>
      </c>
      <c r="B126" s="5" t="s">
        <v>606</v>
      </c>
      <c r="C126" s="5" t="s">
        <v>607</v>
      </c>
      <c r="D126" s="5" t="s">
        <v>944</v>
      </c>
      <c r="E126" s="5" t="s">
        <v>3319</v>
      </c>
      <c r="F126" s="5" t="s">
        <v>3481</v>
      </c>
      <c r="G126" s="5">
        <v>30000.0</v>
      </c>
      <c r="H126" s="5" t="s">
        <v>3482</v>
      </c>
    </row>
    <row r="127" ht="15.75" customHeight="1">
      <c r="A127" s="5" t="s">
        <v>567</v>
      </c>
      <c r="B127" s="5" t="s">
        <v>614</v>
      </c>
      <c r="C127" s="5" t="s">
        <v>615</v>
      </c>
      <c r="D127" s="5" t="s">
        <v>1560</v>
      </c>
    </row>
    <row r="128" ht="15.75" customHeight="1">
      <c r="A128" s="5" t="s">
        <v>567</v>
      </c>
      <c r="B128" s="5" t="s">
        <v>624</v>
      </c>
      <c r="C128" s="5" t="s">
        <v>625</v>
      </c>
      <c r="D128" s="5" t="s">
        <v>944</v>
      </c>
      <c r="E128" s="5" t="s">
        <v>3260</v>
      </c>
      <c r="F128" s="5" t="s">
        <v>3483</v>
      </c>
      <c r="G128" s="5">
        <v>6800.0</v>
      </c>
      <c r="H128" s="5" t="s">
        <v>3484</v>
      </c>
    </row>
    <row r="129" ht="15.75" customHeight="1">
      <c r="A129" s="5" t="s">
        <v>567</v>
      </c>
      <c r="B129" s="5" t="s">
        <v>634</v>
      </c>
      <c r="C129" s="5" t="s">
        <v>635</v>
      </c>
      <c r="D129" s="5" t="s">
        <v>1560</v>
      </c>
    </row>
    <row r="130" ht="15.75" customHeight="1">
      <c r="A130" s="5" t="s">
        <v>567</v>
      </c>
      <c r="B130" s="5" t="s">
        <v>643</v>
      </c>
      <c r="C130" s="5" t="s">
        <v>644</v>
      </c>
      <c r="D130" s="5" t="s">
        <v>1560</v>
      </c>
    </row>
    <row r="131" ht="15.75" customHeight="1">
      <c r="A131" s="5" t="s">
        <v>567</v>
      </c>
      <c r="B131" s="5" t="s">
        <v>651</v>
      </c>
      <c r="C131" s="5" t="s">
        <v>652</v>
      </c>
      <c r="D131" s="5" t="s">
        <v>944</v>
      </c>
      <c r="E131" s="5" t="s">
        <v>3260</v>
      </c>
      <c r="F131" s="5" t="s">
        <v>3485</v>
      </c>
      <c r="G131" s="5">
        <v>1000.0</v>
      </c>
      <c r="H131" s="5" t="s">
        <v>3486</v>
      </c>
    </row>
    <row r="132" ht="15.75" customHeight="1">
      <c r="A132" s="5" t="s">
        <v>567</v>
      </c>
      <c r="B132" s="5" t="s">
        <v>659</v>
      </c>
      <c r="C132" s="5" t="s">
        <v>660</v>
      </c>
      <c r="D132" s="5" t="s">
        <v>944</v>
      </c>
      <c r="E132" s="5" t="s">
        <v>3341</v>
      </c>
      <c r="F132" s="5" t="s">
        <v>3487</v>
      </c>
      <c r="G132" s="5">
        <v>35000.0</v>
      </c>
      <c r="H132" s="5" t="s">
        <v>3488</v>
      </c>
    </row>
    <row r="133" ht="15.75" customHeight="1">
      <c r="A133" s="5" t="s">
        <v>567</v>
      </c>
      <c r="B133" s="5" t="s">
        <v>667</v>
      </c>
      <c r="C133" s="5" t="s">
        <v>668</v>
      </c>
      <c r="D133" s="5" t="s">
        <v>1560</v>
      </c>
    </row>
    <row r="134" ht="15.75" customHeight="1">
      <c r="A134" s="5" t="s">
        <v>567</v>
      </c>
      <c r="B134" s="5" t="s">
        <v>674</v>
      </c>
      <c r="C134" s="5" t="s">
        <v>675</v>
      </c>
      <c r="D134" s="5" t="s">
        <v>944</v>
      </c>
      <c r="E134" s="5" t="s">
        <v>3260</v>
      </c>
      <c r="F134" s="5" t="s">
        <v>3489</v>
      </c>
      <c r="G134" s="5">
        <v>30000.0</v>
      </c>
      <c r="H134" s="5" t="s">
        <v>3316</v>
      </c>
    </row>
    <row r="135" ht="15.75" customHeight="1">
      <c r="A135" s="5" t="s">
        <v>567</v>
      </c>
      <c r="B135" s="5" t="s">
        <v>674</v>
      </c>
      <c r="C135" s="5" t="s">
        <v>675</v>
      </c>
      <c r="D135" s="5" t="s">
        <v>944</v>
      </c>
      <c r="E135" s="5" t="s">
        <v>3260</v>
      </c>
      <c r="F135" s="5" t="s">
        <v>3490</v>
      </c>
      <c r="G135" s="5">
        <v>95000.0</v>
      </c>
      <c r="H135" s="5" t="s">
        <v>3319</v>
      </c>
    </row>
    <row r="136" ht="15.75" customHeight="1">
      <c r="A136" s="5" t="s">
        <v>682</v>
      </c>
      <c r="B136" s="5" t="s">
        <v>683</v>
      </c>
      <c r="C136" s="5" t="s">
        <v>684</v>
      </c>
      <c r="D136" s="5" t="s">
        <v>944</v>
      </c>
      <c r="E136" s="5" t="s">
        <v>3260</v>
      </c>
      <c r="F136" s="5" t="s">
        <v>3491</v>
      </c>
      <c r="G136" s="5">
        <v>0.0</v>
      </c>
      <c r="H136" s="5" t="s">
        <v>3492</v>
      </c>
      <c r="I136" s="5" t="s">
        <v>3493</v>
      </c>
    </row>
    <row r="137" ht="15.75" customHeight="1">
      <c r="A137" s="5" t="s">
        <v>682</v>
      </c>
      <c r="B137" s="5" t="s">
        <v>691</v>
      </c>
      <c r="C137" s="5" t="s">
        <v>692</v>
      </c>
      <c r="D137" s="5" t="s">
        <v>1560</v>
      </c>
    </row>
    <row r="138" ht="15.75" customHeight="1">
      <c r="A138" s="5" t="s">
        <v>682</v>
      </c>
      <c r="B138" s="5" t="s">
        <v>699</v>
      </c>
      <c r="C138" s="5" t="s">
        <v>700</v>
      </c>
      <c r="D138" s="5" t="s">
        <v>944</v>
      </c>
      <c r="E138" s="5" t="s">
        <v>3260</v>
      </c>
      <c r="F138" s="5" t="s">
        <v>3494</v>
      </c>
      <c r="G138" s="5">
        <v>3000.0</v>
      </c>
      <c r="H138" s="5" t="s">
        <v>3495</v>
      </c>
    </row>
    <row r="139" ht="15.75" customHeight="1">
      <c r="A139" s="5" t="s">
        <v>682</v>
      </c>
      <c r="B139" s="5" t="s">
        <v>699</v>
      </c>
      <c r="C139" s="5" t="s">
        <v>700</v>
      </c>
      <c r="D139" s="5" t="s">
        <v>944</v>
      </c>
      <c r="E139" s="5" t="s">
        <v>3260</v>
      </c>
      <c r="F139" s="5" t="s">
        <v>3496</v>
      </c>
      <c r="G139" s="5">
        <v>25000.0</v>
      </c>
      <c r="H139" s="5" t="s">
        <v>3497</v>
      </c>
    </row>
    <row r="140" ht="15.75" customHeight="1">
      <c r="A140" s="5" t="s">
        <v>682</v>
      </c>
      <c r="B140" s="5" t="s">
        <v>707</v>
      </c>
      <c r="C140" s="5" t="s">
        <v>708</v>
      </c>
      <c r="D140" s="5" t="s">
        <v>944</v>
      </c>
      <c r="E140" s="5" t="s">
        <v>3498</v>
      </c>
      <c r="F140" s="5" t="s">
        <v>3499</v>
      </c>
      <c r="G140" s="5">
        <v>15000.0</v>
      </c>
      <c r="H140" s="5" t="s">
        <v>3500</v>
      </c>
      <c r="I140" s="5" t="s">
        <v>3501</v>
      </c>
    </row>
    <row r="141" ht="15.75" customHeight="1">
      <c r="A141" s="5" t="s">
        <v>682</v>
      </c>
      <c r="B141" s="5" t="s">
        <v>707</v>
      </c>
      <c r="C141" s="5" t="s">
        <v>708</v>
      </c>
      <c r="D141" s="5" t="s">
        <v>944</v>
      </c>
      <c r="E141" s="5" t="s">
        <v>3260</v>
      </c>
      <c r="F141" s="5" t="s">
        <v>3502</v>
      </c>
      <c r="G141" s="5">
        <v>52000.0</v>
      </c>
      <c r="H141" s="5" t="s">
        <v>3503</v>
      </c>
    </row>
    <row r="142" ht="15.75" customHeight="1">
      <c r="A142" s="5" t="s">
        <v>682</v>
      </c>
      <c r="B142" s="5" t="s">
        <v>707</v>
      </c>
      <c r="C142" s="5" t="s">
        <v>708</v>
      </c>
      <c r="D142" s="5" t="s">
        <v>944</v>
      </c>
      <c r="E142" s="5" t="s">
        <v>3504</v>
      </c>
      <c r="F142" s="5" t="s">
        <v>3505</v>
      </c>
      <c r="G142" s="5">
        <v>5000.0</v>
      </c>
      <c r="H142" s="5" t="s">
        <v>3506</v>
      </c>
      <c r="I142" s="5" t="s">
        <v>3507</v>
      </c>
    </row>
    <row r="143" ht="15.75" customHeight="1">
      <c r="A143" s="5" t="s">
        <v>682</v>
      </c>
      <c r="B143" s="5" t="s">
        <v>715</v>
      </c>
      <c r="C143" s="5" t="s">
        <v>716</v>
      </c>
      <c r="D143" s="5" t="s">
        <v>1560</v>
      </c>
    </row>
    <row r="144" ht="15.75" customHeight="1">
      <c r="A144" s="5" t="s">
        <v>682</v>
      </c>
      <c r="B144" s="5" t="s">
        <v>725</v>
      </c>
      <c r="C144" s="5" t="s">
        <v>726</v>
      </c>
      <c r="D144" s="5" t="s">
        <v>944</v>
      </c>
      <c r="E144" s="5" t="s">
        <v>3260</v>
      </c>
      <c r="F144" s="5" t="s">
        <v>3508</v>
      </c>
      <c r="G144" s="5">
        <v>18000.0</v>
      </c>
      <c r="H144" s="5" t="s">
        <v>3509</v>
      </c>
    </row>
    <row r="145" ht="15.75" customHeight="1">
      <c r="A145" s="5" t="s">
        <v>682</v>
      </c>
      <c r="B145" s="5" t="s">
        <v>725</v>
      </c>
      <c r="C145" s="5" t="s">
        <v>726</v>
      </c>
      <c r="D145" s="5" t="s">
        <v>944</v>
      </c>
      <c r="E145" s="5" t="s">
        <v>3260</v>
      </c>
      <c r="F145" s="5" t="s">
        <v>3510</v>
      </c>
      <c r="G145" s="5">
        <v>18000.0</v>
      </c>
      <c r="H145" s="5" t="s">
        <v>3509</v>
      </c>
    </row>
    <row r="146" ht="15.75" customHeight="1">
      <c r="A146" s="5" t="s">
        <v>682</v>
      </c>
      <c r="B146" s="5" t="s">
        <v>725</v>
      </c>
      <c r="C146" s="5" t="s">
        <v>726</v>
      </c>
      <c r="D146" s="5" t="s">
        <v>944</v>
      </c>
      <c r="E146" s="5" t="s">
        <v>3260</v>
      </c>
      <c r="F146" s="5" t="s">
        <v>3511</v>
      </c>
      <c r="G146" s="5">
        <v>18000.0</v>
      </c>
      <c r="H146" s="5" t="s">
        <v>3509</v>
      </c>
    </row>
    <row r="147" ht="15.75" customHeight="1">
      <c r="A147" s="5" t="s">
        <v>682</v>
      </c>
      <c r="B147" s="5" t="s">
        <v>732</v>
      </c>
      <c r="C147" s="5" t="s">
        <v>733</v>
      </c>
      <c r="D147" s="5" t="s">
        <v>944</v>
      </c>
      <c r="E147" s="5" t="s">
        <v>3445</v>
      </c>
      <c r="F147" s="5" t="s">
        <v>3512</v>
      </c>
      <c r="G147" s="5">
        <v>24000.0</v>
      </c>
      <c r="H147" s="5" t="s">
        <v>3513</v>
      </c>
    </row>
    <row r="148" ht="15.75" customHeight="1">
      <c r="A148" s="5" t="s">
        <v>682</v>
      </c>
      <c r="B148" s="5" t="s">
        <v>732</v>
      </c>
      <c r="C148" s="5" t="s">
        <v>733</v>
      </c>
      <c r="D148" s="5" t="s">
        <v>944</v>
      </c>
      <c r="E148" s="5" t="s">
        <v>3260</v>
      </c>
      <c r="F148" s="5" t="s">
        <v>3514</v>
      </c>
      <c r="G148" s="5">
        <v>8000.0</v>
      </c>
      <c r="H148" s="5" t="s">
        <v>3515</v>
      </c>
      <c r="I148" s="5" t="s">
        <v>3516</v>
      </c>
    </row>
    <row r="149" ht="15.75" customHeight="1">
      <c r="A149" s="5" t="s">
        <v>682</v>
      </c>
      <c r="B149" s="5" t="s">
        <v>739</v>
      </c>
      <c r="C149" s="5" t="s">
        <v>740</v>
      </c>
      <c r="D149" s="5" t="s">
        <v>944</v>
      </c>
      <c r="E149" s="5" t="s">
        <v>3260</v>
      </c>
      <c r="F149" s="5" t="s">
        <v>3517</v>
      </c>
      <c r="G149" s="5">
        <v>0.0</v>
      </c>
      <c r="H149" s="5" t="s">
        <v>3492</v>
      </c>
      <c r="I149" s="5" t="s">
        <v>3028</v>
      </c>
    </row>
    <row r="150" ht="15.75" customHeight="1">
      <c r="A150" s="5" t="s">
        <v>682</v>
      </c>
      <c r="B150" s="5" t="s">
        <v>739</v>
      </c>
      <c r="C150" s="5" t="s">
        <v>740</v>
      </c>
      <c r="D150" s="5" t="s">
        <v>944</v>
      </c>
      <c r="E150" s="5" t="s">
        <v>3260</v>
      </c>
      <c r="F150" s="5" t="s">
        <v>3518</v>
      </c>
      <c r="G150" s="5">
        <v>30000.0</v>
      </c>
      <c r="H150" s="5" t="s">
        <v>3519</v>
      </c>
    </row>
    <row r="151" ht="15.75" customHeight="1">
      <c r="A151" s="5" t="s">
        <v>682</v>
      </c>
      <c r="B151" s="5" t="s">
        <v>749</v>
      </c>
      <c r="C151" s="5" t="s">
        <v>750</v>
      </c>
      <c r="D151" s="5" t="s">
        <v>944</v>
      </c>
      <c r="E151" s="5" t="s">
        <v>3260</v>
      </c>
      <c r="F151" s="5" t="s">
        <v>3520</v>
      </c>
      <c r="G151" s="5">
        <v>2500.0</v>
      </c>
      <c r="H151" s="5" t="s">
        <v>3521</v>
      </c>
    </row>
    <row r="152" ht="15.75" customHeight="1">
      <c r="A152" s="5" t="s">
        <v>682</v>
      </c>
      <c r="B152" s="5" t="s">
        <v>757</v>
      </c>
      <c r="C152" s="5" t="s">
        <v>758</v>
      </c>
      <c r="D152" s="5" t="s">
        <v>1560</v>
      </c>
    </row>
    <row r="153" ht="15.75" customHeight="1">
      <c r="A153" s="5" t="s">
        <v>682</v>
      </c>
      <c r="B153" s="5" t="s">
        <v>765</v>
      </c>
      <c r="C153" s="5" t="s">
        <v>766</v>
      </c>
      <c r="D153" s="5" t="s">
        <v>944</v>
      </c>
      <c r="E153" s="5" t="s">
        <v>3260</v>
      </c>
      <c r="F153" s="5" t="s">
        <v>3522</v>
      </c>
      <c r="G153" s="5">
        <v>26904.0</v>
      </c>
      <c r="H153" s="5" t="s">
        <v>3523</v>
      </c>
    </row>
    <row r="154" ht="15.75" customHeight="1">
      <c r="A154" s="5" t="s">
        <v>682</v>
      </c>
      <c r="B154" s="5" t="s">
        <v>773</v>
      </c>
      <c r="C154" s="5" t="s">
        <v>774</v>
      </c>
      <c r="D154" s="5" t="s">
        <v>1560</v>
      </c>
    </row>
    <row r="155" ht="15.75" customHeight="1">
      <c r="A155" s="5" t="s">
        <v>682</v>
      </c>
      <c r="B155" s="5" t="s">
        <v>782</v>
      </c>
      <c r="C155" s="5" t="s">
        <v>783</v>
      </c>
      <c r="D155" s="5" t="s">
        <v>1560</v>
      </c>
    </row>
    <row r="156" ht="15.75" customHeight="1">
      <c r="A156" s="5" t="s">
        <v>682</v>
      </c>
      <c r="B156" s="5" t="s">
        <v>791</v>
      </c>
      <c r="C156" s="5" t="s">
        <v>792</v>
      </c>
      <c r="D156" s="5" t="s">
        <v>944</v>
      </c>
      <c r="E156" s="5" t="s">
        <v>3260</v>
      </c>
      <c r="F156" s="5" t="s">
        <v>3524</v>
      </c>
      <c r="G156" s="5">
        <v>20000.0</v>
      </c>
      <c r="H156" s="5" t="s">
        <v>3525</v>
      </c>
    </row>
    <row r="157" ht="15.75" customHeight="1">
      <c r="A157" s="5" t="s">
        <v>682</v>
      </c>
      <c r="B157" s="5" t="s">
        <v>791</v>
      </c>
      <c r="C157" s="5" t="s">
        <v>792</v>
      </c>
      <c r="D157" s="5" t="s">
        <v>944</v>
      </c>
      <c r="E157" s="5" t="s">
        <v>3260</v>
      </c>
      <c r="F157" s="5" t="s">
        <v>3526</v>
      </c>
      <c r="G157" s="5">
        <v>40000.0</v>
      </c>
      <c r="H157" s="5" t="s">
        <v>3527</v>
      </c>
    </row>
    <row r="158" ht="15.75" customHeight="1">
      <c r="A158" s="5" t="s">
        <v>682</v>
      </c>
      <c r="B158" s="5" t="s">
        <v>791</v>
      </c>
      <c r="C158" s="5" t="s">
        <v>792</v>
      </c>
      <c r="D158" s="5" t="s">
        <v>944</v>
      </c>
      <c r="E158" s="5" t="s">
        <v>3528</v>
      </c>
      <c r="F158" s="5" t="s">
        <v>3529</v>
      </c>
      <c r="G158" s="5">
        <v>2000.0</v>
      </c>
      <c r="H158" s="5" t="s">
        <v>3530</v>
      </c>
    </row>
    <row r="159" ht="15.75" customHeight="1">
      <c r="A159" s="5" t="s">
        <v>801</v>
      </c>
      <c r="B159" s="5" t="s">
        <v>802</v>
      </c>
      <c r="C159" s="5" t="s">
        <v>803</v>
      </c>
      <c r="D159" s="5" t="s">
        <v>1560</v>
      </c>
    </row>
    <row r="160" ht="15.75" customHeight="1">
      <c r="A160" s="5" t="s">
        <v>801</v>
      </c>
      <c r="B160" s="5" t="s">
        <v>810</v>
      </c>
      <c r="C160" s="5" t="s">
        <v>811</v>
      </c>
      <c r="D160" s="5" t="s">
        <v>1560</v>
      </c>
    </row>
    <row r="161" ht="15.75" customHeight="1">
      <c r="A161" s="5" t="s">
        <v>801</v>
      </c>
      <c r="B161" s="5" t="s">
        <v>818</v>
      </c>
      <c r="C161" s="5" t="s">
        <v>819</v>
      </c>
      <c r="D161" s="5" t="s">
        <v>944</v>
      </c>
      <c r="E161" s="5" t="s">
        <v>3260</v>
      </c>
      <c r="F161" s="5" t="s">
        <v>3531</v>
      </c>
      <c r="G161" s="5">
        <v>0.0</v>
      </c>
      <c r="H161" s="5" t="s">
        <v>3532</v>
      </c>
      <c r="I161" s="5" t="s">
        <v>3533</v>
      </c>
    </row>
    <row r="162" ht="15.75" customHeight="1">
      <c r="A162" s="5" t="s">
        <v>801</v>
      </c>
      <c r="B162" s="5" t="s">
        <v>818</v>
      </c>
      <c r="C162" s="5" t="s">
        <v>819</v>
      </c>
      <c r="D162" s="5" t="s">
        <v>944</v>
      </c>
      <c r="E162" s="5" t="s">
        <v>3260</v>
      </c>
      <c r="F162" s="5" t="s">
        <v>3534</v>
      </c>
      <c r="G162" s="5">
        <v>35230.0</v>
      </c>
      <c r="H162" s="5" t="s">
        <v>3535</v>
      </c>
    </row>
    <row r="163" ht="15.75" customHeight="1">
      <c r="A163" s="5" t="s">
        <v>801</v>
      </c>
      <c r="B163" s="5" t="s">
        <v>826</v>
      </c>
      <c r="C163" s="5" t="s">
        <v>827</v>
      </c>
      <c r="D163" s="5" t="s">
        <v>944</v>
      </c>
      <c r="E163" s="5" t="s">
        <v>3260</v>
      </c>
      <c r="F163" s="5" t="s">
        <v>3536</v>
      </c>
      <c r="G163" s="5">
        <v>1000.0</v>
      </c>
      <c r="H163" s="5" t="s">
        <v>3537</v>
      </c>
      <c r="I163" s="5" t="s">
        <v>3538</v>
      </c>
    </row>
    <row r="164" ht="15.75" customHeight="1">
      <c r="A164" s="5" t="s">
        <v>801</v>
      </c>
      <c r="B164" s="5" t="s">
        <v>826</v>
      </c>
      <c r="C164" s="5" t="s">
        <v>827</v>
      </c>
      <c r="D164" s="5" t="s">
        <v>944</v>
      </c>
      <c r="E164" s="5" t="s">
        <v>3260</v>
      </c>
      <c r="F164" s="5" t="s">
        <v>3539</v>
      </c>
      <c r="G164" s="5">
        <v>1000.0</v>
      </c>
      <c r="H164" s="5" t="s">
        <v>3540</v>
      </c>
      <c r="I164" s="5" t="s">
        <v>3541</v>
      </c>
    </row>
    <row r="165" ht="15.75" customHeight="1">
      <c r="A165" s="5" t="s">
        <v>801</v>
      </c>
      <c r="B165" s="5" t="s">
        <v>836</v>
      </c>
      <c r="C165" s="5" t="s">
        <v>837</v>
      </c>
      <c r="D165" s="5" t="s">
        <v>944</v>
      </c>
      <c r="E165" s="5" t="s">
        <v>3260</v>
      </c>
      <c r="F165" s="5" t="s">
        <v>3542</v>
      </c>
      <c r="G165" s="5">
        <v>105000.0</v>
      </c>
      <c r="H165" s="5" t="s">
        <v>3319</v>
      </c>
    </row>
    <row r="166" ht="15.75" customHeight="1">
      <c r="A166" s="5" t="s">
        <v>801</v>
      </c>
      <c r="B166" s="5" t="s">
        <v>844</v>
      </c>
      <c r="C166" s="5" t="s">
        <v>845</v>
      </c>
      <c r="D166" s="5" t="s">
        <v>1560</v>
      </c>
    </row>
    <row r="167" ht="15.75" customHeight="1">
      <c r="A167" s="5" t="s">
        <v>801</v>
      </c>
      <c r="B167" s="5" t="s">
        <v>853</v>
      </c>
      <c r="C167" s="5" t="s">
        <v>854</v>
      </c>
      <c r="D167" s="5" t="s">
        <v>944</v>
      </c>
      <c r="E167" s="5" t="s">
        <v>3260</v>
      </c>
      <c r="F167" s="5" t="s">
        <v>3543</v>
      </c>
      <c r="G167" s="5">
        <v>117300.0</v>
      </c>
      <c r="H167" s="5" t="s">
        <v>3319</v>
      </c>
      <c r="I167" s="5" t="s">
        <v>3544</v>
      </c>
    </row>
    <row r="168" ht="15.75" customHeight="1">
      <c r="A168" s="5" t="s">
        <v>801</v>
      </c>
      <c r="B168" s="5" t="s">
        <v>860</v>
      </c>
      <c r="C168" s="5" t="s">
        <v>861</v>
      </c>
      <c r="D168" s="5" t="s">
        <v>944</v>
      </c>
      <c r="E168" s="5" t="s">
        <v>3260</v>
      </c>
      <c r="F168" s="5" t="s">
        <v>3545</v>
      </c>
      <c r="G168" s="5">
        <v>37290.0</v>
      </c>
      <c r="H168" s="5" t="s">
        <v>3546</v>
      </c>
    </row>
    <row r="169" ht="15.75" customHeight="1">
      <c r="A169" s="5" t="s">
        <v>801</v>
      </c>
      <c r="B169" s="5" t="s">
        <v>867</v>
      </c>
      <c r="C169" s="5" t="s">
        <v>868</v>
      </c>
      <c r="D169" s="5" t="s">
        <v>944</v>
      </c>
      <c r="E169" s="5" t="s">
        <v>3260</v>
      </c>
      <c r="F169" s="5" t="s">
        <v>3547</v>
      </c>
      <c r="G169" s="5">
        <v>102000.0</v>
      </c>
      <c r="H169" s="5" t="s">
        <v>3548</v>
      </c>
    </row>
    <row r="170" ht="15.75" customHeight="1">
      <c r="A170" s="5" t="s">
        <v>801</v>
      </c>
      <c r="B170" s="5" t="s">
        <v>875</v>
      </c>
      <c r="C170" s="5" t="s">
        <v>876</v>
      </c>
      <c r="D170" s="5" t="s">
        <v>944</v>
      </c>
      <c r="E170" s="5" t="s">
        <v>3260</v>
      </c>
      <c r="F170" s="5" t="s">
        <v>3549</v>
      </c>
      <c r="G170" s="5">
        <v>7000.0</v>
      </c>
      <c r="H170" s="5" t="s">
        <v>3550</v>
      </c>
    </row>
    <row r="171" ht="15.75" customHeight="1">
      <c r="A171" s="5" t="s">
        <v>801</v>
      </c>
      <c r="B171" s="5" t="s">
        <v>883</v>
      </c>
      <c r="C171" s="5" t="s">
        <v>884</v>
      </c>
      <c r="D171" s="5" t="s">
        <v>1560</v>
      </c>
    </row>
    <row r="172" ht="15.75" customHeight="1">
      <c r="A172" s="5" t="s">
        <v>801</v>
      </c>
      <c r="B172" s="5" t="s">
        <v>890</v>
      </c>
      <c r="C172" s="5" t="s">
        <v>891</v>
      </c>
      <c r="D172" s="5" t="s">
        <v>944</v>
      </c>
      <c r="E172" s="5" t="s">
        <v>3260</v>
      </c>
      <c r="F172" s="5" t="s">
        <v>3551</v>
      </c>
      <c r="G172" s="5">
        <v>24500.0</v>
      </c>
      <c r="H172" s="5" t="s">
        <v>3552</v>
      </c>
      <c r="I172" s="5" t="s">
        <v>3553</v>
      </c>
    </row>
    <row r="173" ht="15.75" customHeight="1">
      <c r="A173" s="5" t="s">
        <v>801</v>
      </c>
      <c r="B173" s="5" t="s">
        <v>890</v>
      </c>
      <c r="C173" s="5" t="s">
        <v>891</v>
      </c>
      <c r="D173" s="5" t="s">
        <v>944</v>
      </c>
      <c r="E173" s="5" t="s">
        <v>3260</v>
      </c>
      <c r="F173" s="5" t="s">
        <v>3551</v>
      </c>
      <c r="G173" s="5">
        <v>24500.0</v>
      </c>
      <c r="H173" s="5" t="s">
        <v>3552</v>
      </c>
      <c r="I173" s="5" t="s">
        <v>3553</v>
      </c>
    </row>
    <row r="174" ht="15.75" customHeight="1">
      <c r="A174" s="5" t="s">
        <v>801</v>
      </c>
      <c r="B174" s="5" t="s">
        <v>890</v>
      </c>
      <c r="C174" s="5" t="s">
        <v>891</v>
      </c>
      <c r="D174" s="5" t="s">
        <v>944</v>
      </c>
      <c r="E174" s="5" t="s">
        <v>3260</v>
      </c>
      <c r="F174" s="5" t="s">
        <v>3554</v>
      </c>
      <c r="G174" s="5">
        <v>46125.0</v>
      </c>
      <c r="H174" s="5" t="s">
        <v>3555</v>
      </c>
    </row>
    <row r="175" ht="15.75" customHeight="1">
      <c r="A175" s="5" t="s">
        <v>801</v>
      </c>
      <c r="B175" s="5" t="s">
        <v>890</v>
      </c>
      <c r="C175" s="5" t="s">
        <v>891</v>
      </c>
      <c r="D175" s="5" t="s">
        <v>944</v>
      </c>
      <c r="E175" s="5" t="s">
        <v>3260</v>
      </c>
      <c r="F175" s="5" t="s">
        <v>3556</v>
      </c>
      <c r="G175" s="5">
        <v>92250.0</v>
      </c>
      <c r="H175" s="5" t="s">
        <v>3557</v>
      </c>
      <c r="I175" s="5" t="s">
        <v>3558</v>
      </c>
    </row>
    <row r="176" ht="15.75" customHeight="1">
      <c r="A176" s="5" t="s">
        <v>801</v>
      </c>
      <c r="B176" s="5" t="s">
        <v>890</v>
      </c>
      <c r="C176" s="5" t="s">
        <v>891</v>
      </c>
      <c r="D176" s="5" t="s">
        <v>944</v>
      </c>
      <c r="E176" s="5" t="s">
        <v>3260</v>
      </c>
      <c r="F176" s="5" t="s">
        <v>3554</v>
      </c>
      <c r="G176" s="5">
        <v>46125.0</v>
      </c>
      <c r="H176" s="5" t="s">
        <v>3555</v>
      </c>
    </row>
    <row r="177" ht="15.75" customHeight="1">
      <c r="A177" s="5" t="s">
        <v>801</v>
      </c>
      <c r="B177" s="5" t="s">
        <v>890</v>
      </c>
      <c r="C177" s="5" t="s">
        <v>891</v>
      </c>
      <c r="D177" s="5" t="s">
        <v>944</v>
      </c>
      <c r="E177" s="5" t="s">
        <v>3260</v>
      </c>
      <c r="F177" s="5" t="s">
        <v>3556</v>
      </c>
      <c r="G177" s="5">
        <v>92250.0</v>
      </c>
      <c r="H177" s="5" t="s">
        <v>3557</v>
      </c>
      <c r="I177" s="5" t="s">
        <v>3558</v>
      </c>
    </row>
    <row r="178" ht="15.75" customHeight="1">
      <c r="A178" s="5" t="s">
        <v>801</v>
      </c>
      <c r="B178" s="5" t="s">
        <v>898</v>
      </c>
      <c r="C178" s="5" t="s">
        <v>899</v>
      </c>
      <c r="D178" s="5" t="s">
        <v>944</v>
      </c>
      <c r="E178" s="5" t="s">
        <v>3260</v>
      </c>
      <c r="F178" s="5" t="s">
        <v>3559</v>
      </c>
      <c r="G178" s="5">
        <v>67400.0</v>
      </c>
      <c r="H178" s="5" t="s">
        <v>3560</v>
      </c>
      <c r="I178" s="5" t="s">
        <v>3561</v>
      </c>
    </row>
    <row r="179" ht="15.75" customHeight="1">
      <c r="A179" s="5" t="s">
        <v>801</v>
      </c>
      <c r="B179" s="5" t="s">
        <v>898</v>
      </c>
      <c r="C179" s="5" t="s">
        <v>899</v>
      </c>
      <c r="D179" s="5" t="s">
        <v>944</v>
      </c>
      <c r="E179" s="5" t="s">
        <v>3260</v>
      </c>
      <c r="F179" s="5" t="s">
        <v>3562</v>
      </c>
      <c r="G179" s="5">
        <v>3100.0</v>
      </c>
      <c r="H179" s="5" t="s">
        <v>3563</v>
      </c>
      <c r="I179" s="5" t="s">
        <v>3350</v>
      </c>
    </row>
    <row r="180" ht="15.75" customHeight="1">
      <c r="A180" s="5" t="s">
        <v>801</v>
      </c>
      <c r="B180" s="5" t="s">
        <v>898</v>
      </c>
      <c r="C180" s="5" t="s">
        <v>899</v>
      </c>
      <c r="D180" s="5" t="s">
        <v>944</v>
      </c>
      <c r="E180" s="5" t="s">
        <v>3260</v>
      </c>
      <c r="F180" s="5" t="s">
        <v>3564</v>
      </c>
      <c r="G180" s="5">
        <v>25000.0</v>
      </c>
      <c r="H180" s="5" t="s">
        <v>3565</v>
      </c>
      <c r="I180" s="5" t="s">
        <v>3566</v>
      </c>
    </row>
    <row r="181" ht="15.75" customHeight="1">
      <c r="A181" s="5" t="s">
        <v>801</v>
      </c>
      <c r="B181" s="5" t="s">
        <v>898</v>
      </c>
      <c r="C181" s="5" t="s">
        <v>899</v>
      </c>
      <c r="D181" s="5" t="s">
        <v>944</v>
      </c>
      <c r="E181" s="5" t="s">
        <v>3260</v>
      </c>
      <c r="F181" s="5" t="s">
        <v>3567</v>
      </c>
      <c r="G181" s="5">
        <v>2300.0</v>
      </c>
      <c r="H181" s="5" t="s">
        <v>3568</v>
      </c>
      <c r="I181" s="5" t="s">
        <v>3350</v>
      </c>
    </row>
    <row r="182" ht="15.75" customHeight="1">
      <c r="A182" s="5" t="s">
        <v>801</v>
      </c>
      <c r="B182" s="5" t="s">
        <v>906</v>
      </c>
      <c r="C182" s="5" t="s">
        <v>907</v>
      </c>
      <c r="D182" s="5" t="s">
        <v>944</v>
      </c>
      <c r="E182" s="5" t="s">
        <v>3569</v>
      </c>
      <c r="F182" s="5" t="s">
        <v>3570</v>
      </c>
      <c r="G182" s="5">
        <v>33700.0</v>
      </c>
      <c r="H182" s="5" t="s">
        <v>3571</v>
      </c>
      <c r="I182" s="5" t="s">
        <v>3572</v>
      </c>
    </row>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3573</v>
      </c>
      <c r="E1" s="1" t="s">
        <v>3574</v>
      </c>
      <c r="F1" s="1" t="s">
        <v>3575</v>
      </c>
      <c r="G1" s="1" t="s">
        <v>3576</v>
      </c>
      <c r="H1" s="1" t="s">
        <v>2605</v>
      </c>
      <c r="I1" s="1" t="s">
        <v>16</v>
      </c>
    </row>
    <row r="2">
      <c r="A2" s="5" t="s">
        <v>26</v>
      </c>
      <c r="B2" s="5" t="s">
        <v>27</v>
      </c>
      <c r="C2" s="5" t="s">
        <v>28</v>
      </c>
      <c r="D2" s="5" t="s">
        <v>1560</v>
      </c>
    </row>
    <row r="3">
      <c r="A3" s="5" t="s">
        <v>26</v>
      </c>
      <c r="B3" s="5" t="s">
        <v>39</v>
      </c>
      <c r="C3" s="5" t="s">
        <v>40</v>
      </c>
      <c r="D3" s="5" t="s">
        <v>944</v>
      </c>
      <c r="E3" s="5" t="s">
        <v>3577</v>
      </c>
      <c r="F3" s="5" t="s">
        <v>3578</v>
      </c>
      <c r="G3" s="5">
        <v>44.0</v>
      </c>
      <c r="H3" s="5">
        <v>9720.0</v>
      </c>
      <c r="I3" s="5" t="s">
        <v>3579</v>
      </c>
    </row>
    <row r="4">
      <c r="A4" s="5" t="s">
        <v>26</v>
      </c>
      <c r="B4" s="5" t="s">
        <v>50</v>
      </c>
      <c r="C4" s="5" t="s">
        <v>51</v>
      </c>
      <c r="D4" s="5" t="s">
        <v>1560</v>
      </c>
    </row>
    <row r="5">
      <c r="A5" s="5" t="s">
        <v>26</v>
      </c>
      <c r="B5" s="5" t="s">
        <v>60</v>
      </c>
      <c r="C5" s="5" t="s">
        <v>61</v>
      </c>
      <c r="D5" s="5" t="s">
        <v>944</v>
      </c>
      <c r="E5" s="5" t="s">
        <v>3580</v>
      </c>
      <c r="F5" s="5" t="s">
        <v>3578</v>
      </c>
      <c r="G5" s="5">
        <v>63500.0</v>
      </c>
      <c r="H5" s="5">
        <v>1.0</v>
      </c>
      <c r="I5" s="5" t="s">
        <v>3581</v>
      </c>
    </row>
    <row r="6">
      <c r="A6" s="5" t="s">
        <v>26</v>
      </c>
      <c r="B6" s="5" t="s">
        <v>71</v>
      </c>
      <c r="C6" s="5" t="s">
        <v>72</v>
      </c>
      <c r="D6" s="5" t="s">
        <v>1560</v>
      </c>
    </row>
    <row r="7">
      <c r="A7" s="5" t="s">
        <v>26</v>
      </c>
      <c r="B7" s="5" t="s">
        <v>80</v>
      </c>
      <c r="C7" s="5" t="s">
        <v>81</v>
      </c>
      <c r="D7" s="5" t="s">
        <v>944</v>
      </c>
      <c r="E7" s="5" t="s">
        <v>3582</v>
      </c>
      <c r="F7" s="5" t="s">
        <v>3578</v>
      </c>
      <c r="G7" s="5">
        <v>4500.0</v>
      </c>
      <c r="H7" s="5">
        <v>1.0</v>
      </c>
      <c r="I7" s="5" t="s">
        <v>3583</v>
      </c>
    </row>
    <row r="8">
      <c r="A8" s="5" t="s">
        <v>26</v>
      </c>
      <c r="B8" s="5" t="s">
        <v>80</v>
      </c>
      <c r="C8" s="5" t="s">
        <v>81</v>
      </c>
      <c r="D8" s="5" t="s">
        <v>944</v>
      </c>
      <c r="E8" s="5" t="s">
        <v>3584</v>
      </c>
      <c r="F8" s="5" t="s">
        <v>3578</v>
      </c>
      <c r="G8" s="5">
        <v>4400.0</v>
      </c>
      <c r="H8" s="5">
        <v>1.0</v>
      </c>
      <c r="I8" s="5" t="s">
        <v>3585</v>
      </c>
    </row>
    <row r="9">
      <c r="A9" s="5" t="s">
        <v>26</v>
      </c>
      <c r="B9" s="5" t="s">
        <v>91</v>
      </c>
      <c r="C9" s="5" t="s">
        <v>92</v>
      </c>
      <c r="D9" s="5" t="s">
        <v>944</v>
      </c>
      <c r="E9" s="5" t="s">
        <v>3586</v>
      </c>
      <c r="F9" s="5" t="s">
        <v>3587</v>
      </c>
      <c r="G9" s="5">
        <v>50.0</v>
      </c>
      <c r="H9" s="5">
        <v>1.0</v>
      </c>
      <c r="I9" s="5" t="s">
        <v>3588</v>
      </c>
    </row>
    <row r="10">
      <c r="A10" s="5" t="s">
        <v>26</v>
      </c>
      <c r="B10" s="5" t="s">
        <v>100</v>
      </c>
      <c r="C10" s="5" t="s">
        <v>101</v>
      </c>
      <c r="D10" s="5" t="s">
        <v>1560</v>
      </c>
    </row>
    <row r="11">
      <c r="A11" s="5" t="s">
        <v>26</v>
      </c>
      <c r="B11" s="5" t="s">
        <v>110</v>
      </c>
      <c r="C11" s="5" t="s">
        <v>111</v>
      </c>
      <c r="D11" s="5" t="s">
        <v>1560</v>
      </c>
    </row>
    <row r="12">
      <c r="A12" s="5" t="s">
        <v>121</v>
      </c>
      <c r="B12" s="5" t="s">
        <v>122</v>
      </c>
      <c r="C12" s="5" t="s">
        <v>123</v>
      </c>
      <c r="D12" s="5" t="s">
        <v>1560</v>
      </c>
    </row>
    <row r="13">
      <c r="A13" s="5" t="s">
        <v>121</v>
      </c>
      <c r="B13" s="5" t="s">
        <v>133</v>
      </c>
      <c r="C13" s="5" t="s">
        <v>134</v>
      </c>
      <c r="D13" s="5" t="s">
        <v>944</v>
      </c>
      <c r="E13" s="5" t="s">
        <v>3589</v>
      </c>
      <c r="F13" s="5" t="s">
        <v>3578</v>
      </c>
      <c r="G13" s="5">
        <v>2000.0</v>
      </c>
      <c r="H13" s="5">
        <v>1.0</v>
      </c>
      <c r="I13" s="5" t="s">
        <v>3590</v>
      </c>
    </row>
    <row r="14">
      <c r="A14" s="5" t="s">
        <v>121</v>
      </c>
      <c r="B14" s="5" t="s">
        <v>142</v>
      </c>
      <c r="C14" s="5" t="s">
        <v>143</v>
      </c>
      <c r="D14" s="5" t="s">
        <v>1560</v>
      </c>
    </row>
    <row r="15">
      <c r="A15" s="5" t="s">
        <v>121</v>
      </c>
      <c r="B15" s="5" t="s">
        <v>153</v>
      </c>
      <c r="C15" s="5" t="s">
        <v>154</v>
      </c>
      <c r="D15" s="5" t="s">
        <v>1560</v>
      </c>
    </row>
    <row r="16">
      <c r="A16" s="5" t="s">
        <v>121</v>
      </c>
      <c r="B16" s="5" t="s">
        <v>161</v>
      </c>
      <c r="C16" s="5" t="s">
        <v>162</v>
      </c>
      <c r="D16" s="5" t="s">
        <v>944</v>
      </c>
      <c r="E16" s="5" t="s">
        <v>3591</v>
      </c>
      <c r="F16" s="5" t="s">
        <v>3587</v>
      </c>
      <c r="G16" s="5">
        <v>120.0</v>
      </c>
      <c r="H16" s="5">
        <v>10.0</v>
      </c>
      <c r="I16" s="5" t="s">
        <v>3592</v>
      </c>
    </row>
    <row r="17">
      <c r="A17" s="5" t="s">
        <v>121</v>
      </c>
      <c r="B17" s="5" t="s">
        <v>170</v>
      </c>
      <c r="C17" s="5" t="s">
        <v>171</v>
      </c>
      <c r="D17" s="5" t="s">
        <v>944</v>
      </c>
      <c r="E17" s="5" t="s">
        <v>3593</v>
      </c>
      <c r="F17" s="5" t="s">
        <v>3578</v>
      </c>
      <c r="G17" s="5">
        <v>2500.0</v>
      </c>
      <c r="H17" s="5">
        <v>2500.0</v>
      </c>
      <c r="I17" s="5" t="s">
        <v>3594</v>
      </c>
    </row>
    <row r="18">
      <c r="A18" s="5" t="s">
        <v>121</v>
      </c>
      <c r="B18" s="5" t="s">
        <v>170</v>
      </c>
      <c r="C18" s="5" t="s">
        <v>171</v>
      </c>
      <c r="D18" s="5" t="s">
        <v>944</v>
      </c>
      <c r="E18" s="5" t="s">
        <v>3595</v>
      </c>
      <c r="F18" s="5" t="s">
        <v>3578</v>
      </c>
      <c r="G18" s="5">
        <v>90000.0</v>
      </c>
      <c r="H18" s="5">
        <v>90000.0</v>
      </c>
      <c r="I18" s="5" t="s">
        <v>3594</v>
      </c>
    </row>
    <row r="19">
      <c r="A19" s="5" t="s">
        <v>121</v>
      </c>
      <c r="B19" s="5" t="s">
        <v>180</v>
      </c>
      <c r="C19" s="5" t="s">
        <v>181</v>
      </c>
      <c r="D19" s="5" t="s">
        <v>1560</v>
      </c>
    </row>
    <row r="20">
      <c r="A20" s="5" t="s">
        <v>121</v>
      </c>
      <c r="B20" s="5" t="s">
        <v>190</v>
      </c>
      <c r="C20" s="5" t="s">
        <v>191</v>
      </c>
      <c r="D20" s="5" t="s">
        <v>944</v>
      </c>
      <c r="E20" s="5" t="s">
        <v>1179</v>
      </c>
      <c r="F20" s="5" t="s">
        <v>3578</v>
      </c>
      <c r="G20" s="5">
        <v>3300.0</v>
      </c>
      <c r="H20" s="5">
        <v>50.0</v>
      </c>
      <c r="I20" s="5" t="s">
        <v>3596</v>
      </c>
    </row>
    <row r="21" ht="15.75" customHeight="1">
      <c r="A21" s="5" t="s">
        <v>121</v>
      </c>
      <c r="B21" s="5" t="s">
        <v>201</v>
      </c>
      <c r="C21" s="5" t="s">
        <v>202</v>
      </c>
      <c r="D21" s="5" t="s">
        <v>944</v>
      </c>
      <c r="E21" s="5" t="s">
        <v>3597</v>
      </c>
      <c r="F21" s="5" t="s">
        <v>3578</v>
      </c>
      <c r="G21" s="5">
        <v>2000.0</v>
      </c>
      <c r="H21" s="5">
        <v>10.0</v>
      </c>
      <c r="I21" s="5" t="s">
        <v>3598</v>
      </c>
    </row>
    <row r="22" ht="15.75" customHeight="1">
      <c r="A22" s="5" t="s">
        <v>121</v>
      </c>
      <c r="B22" s="5" t="s">
        <v>201</v>
      </c>
      <c r="C22" s="5" t="s">
        <v>202</v>
      </c>
      <c r="D22" s="5" t="s">
        <v>944</v>
      </c>
      <c r="E22" s="5" t="s">
        <v>3599</v>
      </c>
      <c r="F22" s="5" t="s">
        <v>3587</v>
      </c>
      <c r="G22" s="5">
        <v>350.0</v>
      </c>
      <c r="H22" s="5">
        <v>10.0</v>
      </c>
      <c r="I22" s="5" t="s">
        <v>3600</v>
      </c>
    </row>
    <row r="23" ht="15.75" customHeight="1">
      <c r="A23" s="5" t="s">
        <v>121</v>
      </c>
      <c r="B23" s="5" t="s">
        <v>201</v>
      </c>
      <c r="C23" s="5" t="s">
        <v>202</v>
      </c>
      <c r="D23" s="5" t="s">
        <v>944</v>
      </c>
      <c r="E23" s="5" t="s">
        <v>3601</v>
      </c>
      <c r="F23" s="5" t="s">
        <v>3587</v>
      </c>
      <c r="G23" s="5">
        <v>0.0</v>
      </c>
      <c r="H23" s="5">
        <v>0.0</v>
      </c>
      <c r="I23" s="5" t="s">
        <v>3602</v>
      </c>
    </row>
    <row r="24" ht="15.75" customHeight="1">
      <c r="A24" s="5" t="s">
        <v>121</v>
      </c>
      <c r="B24" s="5" t="s">
        <v>211</v>
      </c>
      <c r="C24" s="5" t="s">
        <v>212</v>
      </c>
      <c r="D24" s="5" t="s">
        <v>1560</v>
      </c>
    </row>
    <row r="25" ht="15.75" customHeight="1">
      <c r="A25" s="5" t="s">
        <v>121</v>
      </c>
      <c r="B25" s="5" t="s">
        <v>219</v>
      </c>
      <c r="C25" s="5" t="s">
        <v>220</v>
      </c>
      <c r="D25" s="5" t="s">
        <v>944</v>
      </c>
      <c r="E25" s="5" t="s">
        <v>1210</v>
      </c>
      <c r="F25" s="5" t="s">
        <v>3578</v>
      </c>
      <c r="G25" s="5">
        <v>6700.0</v>
      </c>
      <c r="H25" s="5">
        <v>6700.0</v>
      </c>
    </row>
    <row r="26" ht="15.75" customHeight="1">
      <c r="A26" s="5" t="s">
        <v>121</v>
      </c>
      <c r="B26" s="5" t="s">
        <v>227</v>
      </c>
      <c r="C26" s="5" t="s">
        <v>228</v>
      </c>
      <c r="D26" s="5" t="s">
        <v>944</v>
      </c>
      <c r="E26" s="5" t="s">
        <v>3603</v>
      </c>
      <c r="F26" s="5" t="s">
        <v>3578</v>
      </c>
      <c r="G26" s="5">
        <v>73.0</v>
      </c>
      <c r="H26" s="5">
        <v>730.0</v>
      </c>
      <c r="I26" s="5" t="s">
        <v>3604</v>
      </c>
    </row>
    <row r="27" ht="15.75" customHeight="1">
      <c r="A27" s="5" t="s">
        <v>121</v>
      </c>
      <c r="B27" s="5" t="s">
        <v>236</v>
      </c>
      <c r="C27" s="5" t="s">
        <v>237</v>
      </c>
      <c r="D27" s="5" t="s">
        <v>1560</v>
      </c>
    </row>
    <row r="28" ht="15.75" customHeight="1">
      <c r="A28" s="5" t="s">
        <v>121</v>
      </c>
      <c r="B28" s="5" t="s">
        <v>244</v>
      </c>
      <c r="C28" s="5" t="s">
        <v>245</v>
      </c>
      <c r="D28" s="5" t="s">
        <v>1560</v>
      </c>
    </row>
    <row r="29" ht="15.75" customHeight="1">
      <c r="A29" s="5" t="s">
        <v>121</v>
      </c>
      <c r="B29" s="5" t="s">
        <v>253</v>
      </c>
      <c r="C29" s="5" t="s">
        <v>254</v>
      </c>
      <c r="D29" s="5" t="s">
        <v>944</v>
      </c>
      <c r="E29" s="5" t="s">
        <v>1250</v>
      </c>
      <c r="F29" s="5" t="s">
        <v>3578</v>
      </c>
      <c r="G29" s="5">
        <v>49000.0</v>
      </c>
      <c r="H29" s="5">
        <v>1.0</v>
      </c>
      <c r="I29" s="5" t="s">
        <v>3605</v>
      </c>
    </row>
    <row r="30" ht="15.75" customHeight="1">
      <c r="A30" s="5" t="s">
        <v>121</v>
      </c>
      <c r="B30" s="5" t="s">
        <v>261</v>
      </c>
      <c r="C30" s="5" t="s">
        <v>262</v>
      </c>
      <c r="D30" s="5" t="s">
        <v>1560</v>
      </c>
    </row>
    <row r="31" ht="15.75" customHeight="1">
      <c r="A31" s="5" t="s">
        <v>121</v>
      </c>
      <c r="B31" s="5" t="s">
        <v>270</v>
      </c>
      <c r="C31" s="5" t="s">
        <v>271</v>
      </c>
      <c r="D31" s="5" t="s">
        <v>1560</v>
      </c>
    </row>
    <row r="32" ht="15.75" customHeight="1">
      <c r="A32" s="5" t="s">
        <v>121</v>
      </c>
      <c r="B32" s="5" t="s">
        <v>279</v>
      </c>
      <c r="C32" s="5" t="s">
        <v>280</v>
      </c>
      <c r="D32" s="5" t="s">
        <v>944</v>
      </c>
      <c r="E32" s="5" t="s">
        <v>3606</v>
      </c>
      <c r="F32" s="5" t="s">
        <v>3578</v>
      </c>
      <c r="G32" s="5">
        <v>1.0</v>
      </c>
      <c r="H32" s="5">
        <v>197500.0</v>
      </c>
      <c r="I32" s="5" t="s">
        <v>3607</v>
      </c>
    </row>
    <row r="33" ht="15.75" customHeight="1">
      <c r="A33" s="5" t="s">
        <v>121</v>
      </c>
      <c r="B33" s="5" t="s">
        <v>288</v>
      </c>
      <c r="C33" s="5" t="s">
        <v>289</v>
      </c>
      <c r="D33" s="5" t="s">
        <v>1560</v>
      </c>
    </row>
    <row r="34" ht="15.75" customHeight="1">
      <c r="A34" s="5" t="s">
        <v>121</v>
      </c>
      <c r="B34" s="5" t="s">
        <v>296</v>
      </c>
      <c r="C34" s="5" t="s">
        <v>297</v>
      </c>
      <c r="D34" s="5" t="s">
        <v>1560</v>
      </c>
    </row>
    <row r="35" ht="15.75" customHeight="1">
      <c r="A35" s="5" t="s">
        <v>121</v>
      </c>
      <c r="B35" s="5" t="s">
        <v>304</v>
      </c>
      <c r="C35" s="5" t="s">
        <v>305</v>
      </c>
      <c r="D35" s="5" t="s">
        <v>1560</v>
      </c>
    </row>
    <row r="36" ht="15.75" customHeight="1">
      <c r="A36" s="5" t="s">
        <v>121</v>
      </c>
      <c r="B36" s="5" t="s">
        <v>313</v>
      </c>
      <c r="C36" s="5" t="s">
        <v>314</v>
      </c>
      <c r="D36" s="5" t="s">
        <v>944</v>
      </c>
      <c r="E36" s="5" t="s">
        <v>3608</v>
      </c>
      <c r="F36" s="5" t="s">
        <v>3578</v>
      </c>
      <c r="G36" s="5">
        <v>900.0</v>
      </c>
      <c r="H36" s="5">
        <v>1.0</v>
      </c>
      <c r="I36" s="5" t="s">
        <v>3609</v>
      </c>
    </row>
    <row r="37" ht="15.75" customHeight="1">
      <c r="A37" s="5" t="s">
        <v>121</v>
      </c>
      <c r="B37" s="5" t="s">
        <v>313</v>
      </c>
      <c r="C37" s="5" t="s">
        <v>314</v>
      </c>
      <c r="D37" s="5" t="s">
        <v>944</v>
      </c>
      <c r="E37" s="5" t="s">
        <v>1337</v>
      </c>
      <c r="F37" s="5" t="s">
        <v>3578</v>
      </c>
      <c r="G37" s="5">
        <v>2835339.0</v>
      </c>
      <c r="H37" s="5">
        <v>2.0</v>
      </c>
      <c r="I37" s="5" t="s">
        <v>3610</v>
      </c>
    </row>
    <row r="38" ht="15.75" customHeight="1">
      <c r="A38" s="5" t="s">
        <v>121</v>
      </c>
      <c r="B38" s="5" t="s">
        <v>321</v>
      </c>
      <c r="C38" s="5" t="s">
        <v>322</v>
      </c>
      <c r="D38" s="5" t="s">
        <v>1560</v>
      </c>
    </row>
    <row r="39" ht="15.75" customHeight="1">
      <c r="A39" s="5" t="s">
        <v>121</v>
      </c>
      <c r="B39" s="5" t="s">
        <v>330</v>
      </c>
      <c r="C39" s="5" t="s">
        <v>331</v>
      </c>
      <c r="D39" s="5" t="s">
        <v>1560</v>
      </c>
    </row>
    <row r="40" ht="15.75" customHeight="1">
      <c r="A40" s="5" t="s">
        <v>121</v>
      </c>
      <c r="B40" s="5" t="s">
        <v>338</v>
      </c>
      <c r="C40" s="5" t="s">
        <v>339</v>
      </c>
      <c r="D40" s="5" t="s">
        <v>944</v>
      </c>
      <c r="E40" s="5" t="s">
        <v>3611</v>
      </c>
      <c r="F40" s="5" t="s">
        <v>3578</v>
      </c>
      <c r="G40" s="5">
        <v>21560.0</v>
      </c>
      <c r="H40" s="5">
        <v>1.0</v>
      </c>
    </row>
    <row r="41" ht="15.75" customHeight="1">
      <c r="A41" s="5" t="s">
        <v>121</v>
      </c>
      <c r="B41" s="5" t="s">
        <v>338</v>
      </c>
      <c r="C41" s="5" t="s">
        <v>339</v>
      </c>
      <c r="D41" s="5" t="s">
        <v>944</v>
      </c>
      <c r="E41" s="5" t="s">
        <v>3612</v>
      </c>
      <c r="F41" s="5" t="s">
        <v>3578</v>
      </c>
      <c r="G41" s="5">
        <v>10000.0</v>
      </c>
      <c r="H41" s="5">
        <v>1.0</v>
      </c>
    </row>
    <row r="42" ht="15.75" customHeight="1">
      <c r="A42" s="5" t="s">
        <v>121</v>
      </c>
      <c r="B42" s="5" t="s">
        <v>348</v>
      </c>
      <c r="C42" s="5" t="s">
        <v>349</v>
      </c>
      <c r="D42" s="5" t="s">
        <v>1560</v>
      </c>
    </row>
    <row r="43" ht="15.75" customHeight="1">
      <c r="A43" s="5" t="s">
        <v>121</v>
      </c>
      <c r="B43" s="5" t="s">
        <v>355</v>
      </c>
      <c r="C43" s="5" t="s">
        <v>356</v>
      </c>
      <c r="D43" s="5" t="s">
        <v>1560</v>
      </c>
    </row>
    <row r="44" ht="15.75" customHeight="1">
      <c r="A44" s="5" t="s">
        <v>121</v>
      </c>
      <c r="B44" s="5" t="s">
        <v>365</v>
      </c>
      <c r="C44" s="5" t="s">
        <v>366</v>
      </c>
      <c r="D44" s="5" t="s">
        <v>1560</v>
      </c>
    </row>
    <row r="45" ht="15.75" customHeight="1">
      <c r="A45" s="5" t="s">
        <v>121</v>
      </c>
      <c r="B45" s="5" t="s">
        <v>375</v>
      </c>
      <c r="C45" s="5" t="s">
        <v>376</v>
      </c>
      <c r="D45" s="5" t="s">
        <v>1560</v>
      </c>
    </row>
    <row r="46" ht="15.75" customHeight="1">
      <c r="A46" s="5" t="s">
        <v>121</v>
      </c>
      <c r="B46" s="5" t="s">
        <v>375</v>
      </c>
      <c r="C46" s="5" t="s">
        <v>376</v>
      </c>
      <c r="D46" s="5" t="s">
        <v>1560</v>
      </c>
    </row>
    <row r="47" ht="15.75" customHeight="1">
      <c r="A47" s="5" t="s">
        <v>121</v>
      </c>
      <c r="B47" s="5" t="s">
        <v>387</v>
      </c>
      <c r="C47" s="5" t="s">
        <v>388</v>
      </c>
      <c r="D47" s="5" t="s">
        <v>944</v>
      </c>
      <c r="E47" s="5" t="s">
        <v>3613</v>
      </c>
      <c r="F47" s="5" t="s">
        <v>3578</v>
      </c>
      <c r="G47" s="5">
        <v>174420.0</v>
      </c>
      <c r="H47" s="5">
        <v>1.0</v>
      </c>
      <c r="I47" s="5" t="s">
        <v>3614</v>
      </c>
    </row>
    <row r="48" ht="15.75" customHeight="1">
      <c r="A48" s="5" t="s">
        <v>121</v>
      </c>
      <c r="B48" s="5" t="s">
        <v>387</v>
      </c>
      <c r="C48" s="5" t="s">
        <v>388</v>
      </c>
      <c r="D48" s="5" t="s">
        <v>944</v>
      </c>
      <c r="E48" s="5" t="s">
        <v>3615</v>
      </c>
      <c r="F48" s="5" t="s">
        <v>3587</v>
      </c>
      <c r="G48" s="5">
        <v>10720.0</v>
      </c>
      <c r="H48" s="5">
        <v>1.0</v>
      </c>
      <c r="I48" s="5" t="s">
        <v>3616</v>
      </c>
    </row>
    <row r="49" ht="15.75" customHeight="1">
      <c r="A49" s="5" t="s">
        <v>121</v>
      </c>
      <c r="B49" s="5" t="s">
        <v>395</v>
      </c>
      <c r="C49" s="5" t="s">
        <v>396</v>
      </c>
      <c r="D49" s="5" t="s">
        <v>1560</v>
      </c>
    </row>
    <row r="50" ht="15.75" customHeight="1">
      <c r="A50" s="5" t="s">
        <v>121</v>
      </c>
      <c r="B50" s="5" t="s">
        <v>405</v>
      </c>
      <c r="C50" s="5" t="s">
        <v>406</v>
      </c>
      <c r="D50" s="5" t="s">
        <v>1560</v>
      </c>
    </row>
    <row r="51" ht="15.75" customHeight="1">
      <c r="A51" s="5" t="s">
        <v>121</v>
      </c>
      <c r="B51" s="5" t="s">
        <v>412</v>
      </c>
      <c r="C51" s="5" t="s">
        <v>413</v>
      </c>
      <c r="D51" s="5" t="s">
        <v>944</v>
      </c>
      <c r="E51" s="5" t="s">
        <v>3617</v>
      </c>
      <c r="F51" s="5" t="s">
        <v>3578</v>
      </c>
      <c r="G51" s="5">
        <v>63.0</v>
      </c>
      <c r="H51" s="5">
        <v>100.0</v>
      </c>
      <c r="I51" s="5" t="s">
        <v>3618</v>
      </c>
    </row>
    <row r="52" ht="15.75" customHeight="1">
      <c r="A52" s="5" t="s">
        <v>419</v>
      </c>
      <c r="B52" s="5" t="s">
        <v>420</v>
      </c>
      <c r="C52" s="5" t="s">
        <v>421</v>
      </c>
      <c r="D52" s="5" t="s">
        <v>944</v>
      </c>
      <c r="E52" s="5" t="s">
        <v>1470</v>
      </c>
      <c r="F52" s="5" t="s">
        <v>3578</v>
      </c>
      <c r="G52" s="5">
        <v>125.0</v>
      </c>
      <c r="H52" s="5">
        <v>1250.0</v>
      </c>
      <c r="I52" s="5" t="s">
        <v>3619</v>
      </c>
    </row>
    <row r="53" ht="15.75" customHeight="1">
      <c r="A53" s="5" t="s">
        <v>419</v>
      </c>
      <c r="B53" s="5" t="s">
        <v>430</v>
      </c>
      <c r="C53" s="5" t="s">
        <v>431</v>
      </c>
      <c r="D53" s="5" t="s">
        <v>1560</v>
      </c>
    </row>
    <row r="54" ht="15.75" customHeight="1">
      <c r="A54" s="5" t="s">
        <v>419</v>
      </c>
      <c r="B54" s="5" t="s">
        <v>438</v>
      </c>
      <c r="C54" s="5" t="s">
        <v>439</v>
      </c>
      <c r="D54" s="5" t="s">
        <v>1560</v>
      </c>
    </row>
    <row r="55" ht="15.75" customHeight="1">
      <c r="A55" s="5" t="s">
        <v>419</v>
      </c>
      <c r="B55" s="5" t="s">
        <v>446</v>
      </c>
      <c r="C55" s="5" t="s">
        <v>447</v>
      </c>
      <c r="D55" s="5" t="s">
        <v>1560</v>
      </c>
    </row>
    <row r="56" ht="15.75" customHeight="1">
      <c r="A56" s="5" t="s">
        <v>419</v>
      </c>
      <c r="B56" s="5" t="s">
        <v>453</v>
      </c>
      <c r="C56" s="5" t="s">
        <v>454</v>
      </c>
      <c r="D56" s="5" t="s">
        <v>1560</v>
      </c>
    </row>
    <row r="57" ht="15.75" customHeight="1">
      <c r="A57" s="5" t="s">
        <v>419</v>
      </c>
      <c r="B57" s="5" t="s">
        <v>461</v>
      </c>
      <c r="C57" s="5" t="s">
        <v>462</v>
      </c>
      <c r="D57" s="5" t="s">
        <v>944</v>
      </c>
      <c r="E57" s="5" t="s">
        <v>3620</v>
      </c>
      <c r="F57" s="5" t="s">
        <v>3587</v>
      </c>
      <c r="G57" s="5">
        <v>200.0</v>
      </c>
      <c r="H57" s="5">
        <v>1.0</v>
      </c>
    </row>
    <row r="58" ht="15.75" customHeight="1">
      <c r="A58" s="5" t="s">
        <v>419</v>
      </c>
      <c r="B58" s="5" t="s">
        <v>461</v>
      </c>
      <c r="C58" s="5" t="s">
        <v>462</v>
      </c>
      <c r="D58" s="5" t="s">
        <v>944</v>
      </c>
      <c r="E58" s="5" t="s">
        <v>3621</v>
      </c>
      <c r="F58" s="5" t="s">
        <v>3587</v>
      </c>
      <c r="G58" s="5">
        <v>300.0</v>
      </c>
      <c r="H58" s="5">
        <v>300.0</v>
      </c>
    </row>
    <row r="59" ht="15.75" customHeight="1">
      <c r="A59" s="5" t="s">
        <v>419</v>
      </c>
      <c r="B59" s="5" t="s">
        <v>469</v>
      </c>
      <c r="C59" s="5" t="s">
        <v>470</v>
      </c>
      <c r="D59" s="5" t="s">
        <v>1560</v>
      </c>
    </row>
    <row r="60" ht="15.75" customHeight="1">
      <c r="A60" s="5" t="s">
        <v>419</v>
      </c>
      <c r="B60" s="5" t="s">
        <v>477</v>
      </c>
      <c r="C60" s="5" t="s">
        <v>478</v>
      </c>
      <c r="D60" s="5" t="s">
        <v>1560</v>
      </c>
    </row>
    <row r="61" ht="15.75" customHeight="1">
      <c r="A61" s="5" t="s">
        <v>419</v>
      </c>
      <c r="B61" s="5" t="s">
        <v>477</v>
      </c>
      <c r="C61" s="5" t="s">
        <v>478</v>
      </c>
      <c r="D61" s="5" t="s">
        <v>1560</v>
      </c>
    </row>
    <row r="62" ht="15.75" customHeight="1">
      <c r="A62" s="5" t="s">
        <v>419</v>
      </c>
      <c r="B62" s="5" t="s">
        <v>488</v>
      </c>
      <c r="C62" s="5" t="s">
        <v>489</v>
      </c>
      <c r="D62" s="5" t="s">
        <v>944</v>
      </c>
      <c r="E62" s="5" t="s">
        <v>3622</v>
      </c>
      <c r="F62" s="5" t="s">
        <v>3578</v>
      </c>
      <c r="G62" s="5">
        <v>33.33</v>
      </c>
      <c r="H62" s="5">
        <v>6690.0</v>
      </c>
    </row>
    <row r="63" ht="15.75" customHeight="1">
      <c r="A63" s="5" t="s">
        <v>419</v>
      </c>
      <c r="B63" s="5" t="s">
        <v>498</v>
      </c>
      <c r="C63" s="5" t="s">
        <v>499</v>
      </c>
      <c r="D63" s="5" t="s">
        <v>1560</v>
      </c>
    </row>
    <row r="64" ht="15.75" customHeight="1">
      <c r="A64" s="5" t="s">
        <v>419</v>
      </c>
      <c r="B64" s="5" t="s">
        <v>507</v>
      </c>
      <c r="C64" s="5" t="s">
        <v>508</v>
      </c>
      <c r="D64" s="5" t="s">
        <v>1560</v>
      </c>
    </row>
    <row r="65" ht="15.75" customHeight="1">
      <c r="A65" s="5" t="s">
        <v>419</v>
      </c>
      <c r="B65" s="5" t="s">
        <v>517</v>
      </c>
      <c r="C65" s="5" t="s">
        <v>518</v>
      </c>
      <c r="D65" s="5" t="s">
        <v>944</v>
      </c>
      <c r="E65" s="5" t="s">
        <v>3623</v>
      </c>
      <c r="F65" s="5" t="s">
        <v>3578</v>
      </c>
      <c r="G65" s="5">
        <v>100.0</v>
      </c>
      <c r="H65" s="5">
        <v>13000.0</v>
      </c>
      <c r="I65" s="5" t="s">
        <v>3624</v>
      </c>
    </row>
    <row r="66" ht="15.75" customHeight="1">
      <c r="A66" s="5" t="s">
        <v>419</v>
      </c>
      <c r="B66" s="5" t="s">
        <v>527</v>
      </c>
      <c r="C66" s="5" t="s">
        <v>528</v>
      </c>
      <c r="D66" s="5" t="s">
        <v>944</v>
      </c>
      <c r="E66" s="5" t="s">
        <v>3625</v>
      </c>
      <c r="F66" s="5" t="s">
        <v>3578</v>
      </c>
      <c r="G66" s="5">
        <v>2020.0</v>
      </c>
      <c r="H66" s="5">
        <v>20200.0</v>
      </c>
    </row>
    <row r="67" ht="15.75" customHeight="1">
      <c r="A67" s="5" t="s">
        <v>419</v>
      </c>
      <c r="B67" s="5" t="s">
        <v>527</v>
      </c>
      <c r="C67" s="5" t="s">
        <v>528</v>
      </c>
      <c r="D67" s="5" t="s">
        <v>944</v>
      </c>
      <c r="E67" s="5" t="s">
        <v>3626</v>
      </c>
      <c r="F67" s="5" t="s">
        <v>3578</v>
      </c>
      <c r="G67" s="5">
        <v>8000.0</v>
      </c>
      <c r="H67" s="5">
        <v>8000.0</v>
      </c>
    </row>
    <row r="68" ht="15.75" customHeight="1">
      <c r="A68" s="5" t="s">
        <v>419</v>
      </c>
      <c r="B68" s="5" t="s">
        <v>527</v>
      </c>
      <c r="C68" s="5" t="s">
        <v>528</v>
      </c>
      <c r="D68" s="5" t="s">
        <v>944</v>
      </c>
      <c r="E68" s="5" t="s">
        <v>3627</v>
      </c>
      <c r="F68" s="5" t="s">
        <v>3578</v>
      </c>
      <c r="G68" s="5">
        <v>15000.0</v>
      </c>
      <c r="H68" s="5">
        <v>15000.0</v>
      </c>
      <c r="I68" s="5" t="s">
        <v>3628</v>
      </c>
    </row>
    <row r="69" ht="15.75" customHeight="1">
      <c r="A69" s="5" t="s">
        <v>419</v>
      </c>
      <c r="B69" s="5" t="s">
        <v>533</v>
      </c>
      <c r="C69" s="5" t="s">
        <v>534</v>
      </c>
      <c r="D69" s="5" t="s">
        <v>1560</v>
      </c>
    </row>
    <row r="70" ht="15.75" customHeight="1">
      <c r="A70" s="5" t="s">
        <v>419</v>
      </c>
      <c r="B70" s="5" t="s">
        <v>541</v>
      </c>
      <c r="C70" s="5" t="s">
        <v>542</v>
      </c>
      <c r="D70" s="5" t="s">
        <v>1560</v>
      </c>
    </row>
    <row r="71" ht="15.75" customHeight="1">
      <c r="A71" s="5" t="s">
        <v>419</v>
      </c>
      <c r="B71" s="5" t="s">
        <v>550</v>
      </c>
      <c r="C71" s="5" t="s">
        <v>551</v>
      </c>
      <c r="D71" s="5" t="s">
        <v>1560</v>
      </c>
    </row>
    <row r="72" ht="15.75" customHeight="1">
      <c r="A72" s="5" t="s">
        <v>419</v>
      </c>
      <c r="B72" s="5" t="s">
        <v>559</v>
      </c>
      <c r="C72" s="5" t="s">
        <v>560</v>
      </c>
      <c r="D72" s="5" t="s">
        <v>1560</v>
      </c>
    </row>
    <row r="73" ht="15.75" customHeight="1">
      <c r="A73" s="5" t="s">
        <v>567</v>
      </c>
      <c r="B73" s="5" t="s">
        <v>568</v>
      </c>
      <c r="C73" s="5" t="s">
        <v>569</v>
      </c>
      <c r="D73" s="5" t="s">
        <v>1560</v>
      </c>
    </row>
    <row r="74" ht="15.75" customHeight="1">
      <c r="A74" s="5" t="s">
        <v>567</v>
      </c>
      <c r="B74" s="5" t="s">
        <v>577</v>
      </c>
      <c r="C74" s="5" t="s">
        <v>578</v>
      </c>
      <c r="D74" s="5" t="s">
        <v>1560</v>
      </c>
    </row>
    <row r="75" ht="15.75" customHeight="1">
      <c r="A75" s="5" t="s">
        <v>567</v>
      </c>
      <c r="B75" s="5" t="s">
        <v>586</v>
      </c>
      <c r="C75" s="5" t="s">
        <v>587</v>
      </c>
      <c r="D75" s="5" t="s">
        <v>944</v>
      </c>
      <c r="E75" s="5" t="s">
        <v>1589</v>
      </c>
      <c r="F75" s="5" t="s">
        <v>3587</v>
      </c>
      <c r="G75" s="5">
        <v>100.0</v>
      </c>
      <c r="H75" s="5">
        <v>3000.0</v>
      </c>
      <c r="I75" s="5" t="s">
        <v>3629</v>
      </c>
    </row>
    <row r="76" ht="15.75" customHeight="1">
      <c r="A76" s="5" t="s">
        <v>567</v>
      </c>
      <c r="B76" s="5" t="s">
        <v>597</v>
      </c>
      <c r="C76" s="5" t="s">
        <v>598</v>
      </c>
      <c r="D76" s="5" t="s">
        <v>1560</v>
      </c>
    </row>
    <row r="77" ht="15.75" customHeight="1">
      <c r="A77" s="5" t="s">
        <v>567</v>
      </c>
      <c r="B77" s="5" t="s">
        <v>606</v>
      </c>
      <c r="C77" s="5" t="s">
        <v>607</v>
      </c>
      <c r="D77" s="5" t="s">
        <v>1560</v>
      </c>
    </row>
    <row r="78" ht="15.75" customHeight="1">
      <c r="A78" s="5" t="s">
        <v>567</v>
      </c>
      <c r="B78" s="5" t="s">
        <v>606</v>
      </c>
      <c r="C78" s="5" t="s">
        <v>607</v>
      </c>
      <c r="D78" s="5" t="s">
        <v>1560</v>
      </c>
    </row>
    <row r="79" ht="15.75" customHeight="1">
      <c r="A79" s="5" t="s">
        <v>567</v>
      </c>
      <c r="B79" s="5" t="s">
        <v>614</v>
      </c>
      <c r="C79" s="5" t="s">
        <v>615</v>
      </c>
      <c r="D79" s="5" t="s">
        <v>1560</v>
      </c>
    </row>
    <row r="80" ht="15.75" customHeight="1">
      <c r="A80" s="5" t="s">
        <v>567</v>
      </c>
      <c r="B80" s="5" t="s">
        <v>624</v>
      </c>
      <c r="C80" s="5" t="s">
        <v>625</v>
      </c>
      <c r="D80" s="5" t="s">
        <v>944</v>
      </c>
      <c r="E80" s="5" t="s">
        <v>3630</v>
      </c>
      <c r="F80" s="5" t="s">
        <v>3578</v>
      </c>
      <c r="G80" s="5">
        <v>98.0</v>
      </c>
      <c r="H80" s="5">
        <v>0.0</v>
      </c>
    </row>
    <row r="81" ht="15.75" customHeight="1">
      <c r="A81" s="5" t="s">
        <v>567</v>
      </c>
      <c r="B81" s="5" t="s">
        <v>634</v>
      </c>
      <c r="C81" s="5" t="s">
        <v>635</v>
      </c>
      <c r="D81" s="5" t="s">
        <v>1560</v>
      </c>
    </row>
    <row r="82" ht="15.75" customHeight="1">
      <c r="A82" s="5" t="s">
        <v>567</v>
      </c>
      <c r="B82" s="5" t="s">
        <v>643</v>
      </c>
      <c r="C82" s="5" t="s">
        <v>644</v>
      </c>
      <c r="D82" s="5" t="s">
        <v>1560</v>
      </c>
    </row>
    <row r="83" ht="15.75" customHeight="1">
      <c r="A83" s="5" t="s">
        <v>567</v>
      </c>
      <c r="B83" s="5" t="s">
        <v>651</v>
      </c>
      <c r="C83" s="5" t="s">
        <v>652</v>
      </c>
      <c r="D83" s="5" t="s">
        <v>1560</v>
      </c>
    </row>
    <row r="84" ht="15.75" customHeight="1">
      <c r="A84" s="5" t="s">
        <v>567</v>
      </c>
      <c r="B84" s="5" t="s">
        <v>659</v>
      </c>
      <c r="C84" s="5" t="s">
        <v>660</v>
      </c>
      <c r="D84" s="5" t="s">
        <v>1560</v>
      </c>
    </row>
    <row r="85" ht="15.75" customHeight="1">
      <c r="A85" s="5" t="s">
        <v>567</v>
      </c>
      <c r="B85" s="5" t="s">
        <v>667</v>
      </c>
      <c r="C85" s="5" t="s">
        <v>668</v>
      </c>
      <c r="D85" s="5" t="s">
        <v>1560</v>
      </c>
    </row>
    <row r="86" ht="15.75" customHeight="1">
      <c r="A86" s="5" t="s">
        <v>567</v>
      </c>
      <c r="B86" s="5" t="s">
        <v>674</v>
      </c>
      <c r="C86" s="5" t="s">
        <v>675</v>
      </c>
      <c r="D86" s="5" t="s">
        <v>944</v>
      </c>
      <c r="E86" s="5" t="s">
        <v>3631</v>
      </c>
      <c r="F86" s="5" t="s">
        <v>3587</v>
      </c>
      <c r="G86" s="5">
        <v>1000.0</v>
      </c>
      <c r="H86" s="5">
        <v>1.0</v>
      </c>
    </row>
    <row r="87" ht="15.75" customHeight="1">
      <c r="A87" s="5" t="s">
        <v>682</v>
      </c>
      <c r="B87" s="5" t="s">
        <v>683</v>
      </c>
      <c r="C87" s="5" t="s">
        <v>684</v>
      </c>
      <c r="D87" s="5" t="s">
        <v>1560</v>
      </c>
    </row>
    <row r="88" ht="15.75" customHeight="1">
      <c r="A88" s="5" t="s">
        <v>682</v>
      </c>
      <c r="B88" s="5" t="s">
        <v>691</v>
      </c>
      <c r="C88" s="5" t="s">
        <v>692</v>
      </c>
      <c r="D88" s="5" t="s">
        <v>1560</v>
      </c>
    </row>
    <row r="89" ht="15.75" customHeight="1">
      <c r="A89" s="5" t="s">
        <v>682</v>
      </c>
      <c r="B89" s="5" t="s">
        <v>699</v>
      </c>
      <c r="C89" s="5" t="s">
        <v>700</v>
      </c>
      <c r="D89" s="5" t="s">
        <v>1560</v>
      </c>
    </row>
    <row r="90" ht="15.75" customHeight="1">
      <c r="A90" s="5" t="s">
        <v>682</v>
      </c>
      <c r="B90" s="5" t="s">
        <v>707</v>
      </c>
      <c r="C90" s="5" t="s">
        <v>708</v>
      </c>
      <c r="D90" s="5" t="s">
        <v>1560</v>
      </c>
    </row>
    <row r="91" ht="15.75" customHeight="1">
      <c r="A91" s="5" t="s">
        <v>682</v>
      </c>
      <c r="B91" s="5" t="s">
        <v>715</v>
      </c>
      <c r="C91" s="5" t="s">
        <v>716</v>
      </c>
      <c r="D91" s="5" t="s">
        <v>944</v>
      </c>
      <c r="E91" s="5" t="s">
        <v>3632</v>
      </c>
      <c r="F91" s="5" t="s">
        <v>3578</v>
      </c>
      <c r="G91" s="5">
        <v>50.0</v>
      </c>
      <c r="H91" s="5">
        <v>100000.0</v>
      </c>
      <c r="I91" s="5" t="s">
        <v>3633</v>
      </c>
    </row>
    <row r="92" ht="15.75" customHeight="1">
      <c r="A92" s="5" t="s">
        <v>682</v>
      </c>
      <c r="B92" s="5" t="s">
        <v>725</v>
      </c>
      <c r="C92" s="5" t="s">
        <v>726</v>
      </c>
      <c r="D92" s="5" t="s">
        <v>1560</v>
      </c>
    </row>
    <row r="93" ht="15.75" customHeight="1">
      <c r="A93" s="5" t="s">
        <v>682</v>
      </c>
      <c r="B93" s="5" t="s">
        <v>732</v>
      </c>
      <c r="C93" s="5" t="s">
        <v>733</v>
      </c>
      <c r="D93" s="5" t="s">
        <v>1560</v>
      </c>
    </row>
    <row r="94" ht="15.75" customHeight="1">
      <c r="A94" s="5" t="s">
        <v>682</v>
      </c>
      <c r="B94" s="5" t="s">
        <v>739</v>
      </c>
      <c r="C94" s="5" t="s">
        <v>740</v>
      </c>
      <c r="D94" s="5" t="s">
        <v>944</v>
      </c>
      <c r="E94" s="5" t="s">
        <v>3634</v>
      </c>
      <c r="F94" s="5" t="s">
        <v>3587</v>
      </c>
      <c r="G94" s="5">
        <v>100.0</v>
      </c>
      <c r="H94" s="5">
        <v>5000.0</v>
      </c>
    </row>
    <row r="95" ht="15.75" customHeight="1">
      <c r="A95" s="5" t="s">
        <v>682</v>
      </c>
      <c r="B95" s="5" t="s">
        <v>749</v>
      </c>
      <c r="C95" s="5" t="s">
        <v>750</v>
      </c>
      <c r="D95" s="5" t="s">
        <v>1560</v>
      </c>
    </row>
    <row r="96" ht="15.75" customHeight="1">
      <c r="A96" s="5" t="s">
        <v>682</v>
      </c>
      <c r="B96" s="5" t="s">
        <v>757</v>
      </c>
      <c r="C96" s="5" t="s">
        <v>758</v>
      </c>
      <c r="D96" s="5" t="s">
        <v>944</v>
      </c>
      <c r="E96" s="5" t="s">
        <v>3635</v>
      </c>
      <c r="F96" s="5" t="s">
        <v>3587</v>
      </c>
      <c r="G96" s="5">
        <v>1.0</v>
      </c>
      <c r="H96" s="5">
        <v>1000.0</v>
      </c>
    </row>
    <row r="97" ht="15.75" customHeight="1">
      <c r="A97" s="5" t="s">
        <v>682</v>
      </c>
      <c r="B97" s="5" t="s">
        <v>765</v>
      </c>
      <c r="C97" s="5" t="s">
        <v>766</v>
      </c>
      <c r="D97" s="5" t="s">
        <v>1560</v>
      </c>
    </row>
    <row r="98" ht="15.75" customHeight="1">
      <c r="A98" s="5" t="s">
        <v>682</v>
      </c>
      <c r="B98" s="5" t="s">
        <v>773</v>
      </c>
      <c r="C98" s="5" t="s">
        <v>774</v>
      </c>
      <c r="D98" s="5" t="s">
        <v>944</v>
      </c>
      <c r="E98" s="5" t="s">
        <v>3636</v>
      </c>
      <c r="F98" s="5" t="s">
        <v>3578</v>
      </c>
      <c r="G98" s="5">
        <v>10000.0</v>
      </c>
      <c r="H98" s="5">
        <v>1.0</v>
      </c>
    </row>
    <row r="99" ht="15.75" customHeight="1">
      <c r="A99" s="5" t="s">
        <v>682</v>
      </c>
      <c r="B99" s="5" t="s">
        <v>782</v>
      </c>
      <c r="C99" s="5" t="s">
        <v>783</v>
      </c>
      <c r="D99" s="5" t="s">
        <v>944</v>
      </c>
      <c r="E99" s="5" t="s">
        <v>3637</v>
      </c>
      <c r="F99" s="5" t="s">
        <v>3578</v>
      </c>
      <c r="G99" s="5">
        <v>80.0</v>
      </c>
      <c r="H99" s="5">
        <v>16000.0</v>
      </c>
    </row>
    <row r="100" ht="15.75" customHeight="1">
      <c r="A100" s="5" t="s">
        <v>682</v>
      </c>
      <c r="B100" s="5" t="s">
        <v>782</v>
      </c>
      <c r="C100" s="5" t="s">
        <v>783</v>
      </c>
      <c r="D100" s="5" t="s">
        <v>944</v>
      </c>
      <c r="E100" s="5" t="s">
        <v>3638</v>
      </c>
      <c r="F100" s="5" t="s">
        <v>3578</v>
      </c>
      <c r="G100" s="5">
        <v>40.0</v>
      </c>
      <c r="H100" s="5">
        <v>800.0</v>
      </c>
    </row>
    <row r="101" ht="15.75" customHeight="1">
      <c r="A101" s="5" t="s">
        <v>682</v>
      </c>
      <c r="B101" s="5" t="s">
        <v>791</v>
      </c>
      <c r="C101" s="5" t="s">
        <v>792</v>
      </c>
      <c r="D101" s="5" t="s">
        <v>1560</v>
      </c>
    </row>
    <row r="102" ht="15.75" customHeight="1">
      <c r="A102" s="5" t="s">
        <v>801</v>
      </c>
      <c r="B102" s="5" t="s">
        <v>802</v>
      </c>
      <c r="C102" s="5" t="s">
        <v>803</v>
      </c>
      <c r="D102" s="5" t="s">
        <v>944</v>
      </c>
      <c r="E102" s="5" t="s">
        <v>3639</v>
      </c>
      <c r="F102" s="5" t="s">
        <v>3578</v>
      </c>
      <c r="G102" s="5">
        <v>7035.0</v>
      </c>
      <c r="H102" s="5">
        <v>7035.0</v>
      </c>
    </row>
    <row r="103" ht="15.75" customHeight="1">
      <c r="A103" s="5" t="s">
        <v>801</v>
      </c>
      <c r="B103" s="5" t="s">
        <v>802</v>
      </c>
      <c r="C103" s="5" t="s">
        <v>803</v>
      </c>
      <c r="D103" s="5" t="s">
        <v>944</v>
      </c>
      <c r="E103" s="5" t="s">
        <v>3640</v>
      </c>
      <c r="F103" s="5" t="s">
        <v>3587</v>
      </c>
      <c r="G103" s="5">
        <v>50.0</v>
      </c>
      <c r="H103" s="5">
        <v>1500.0</v>
      </c>
      <c r="I103" s="5" t="s">
        <v>1778</v>
      </c>
    </row>
    <row r="104" ht="15.75" customHeight="1">
      <c r="A104" s="5" t="s">
        <v>801</v>
      </c>
      <c r="B104" s="5" t="s">
        <v>802</v>
      </c>
      <c r="C104" s="5" t="s">
        <v>803</v>
      </c>
      <c r="D104" s="5" t="s">
        <v>944</v>
      </c>
      <c r="E104" s="5" t="s">
        <v>1775</v>
      </c>
      <c r="F104" s="5" t="s">
        <v>3587</v>
      </c>
      <c r="G104" s="5">
        <v>25.0</v>
      </c>
      <c r="H104" s="5">
        <v>250.0</v>
      </c>
      <c r="I104" s="5" t="s">
        <v>1778</v>
      </c>
    </row>
    <row r="105" ht="15.75" customHeight="1">
      <c r="A105" s="5" t="s">
        <v>801</v>
      </c>
      <c r="B105" s="5" t="s">
        <v>802</v>
      </c>
      <c r="C105" s="5" t="s">
        <v>803</v>
      </c>
      <c r="D105" s="5" t="s">
        <v>944</v>
      </c>
      <c r="E105" s="5" t="s">
        <v>3641</v>
      </c>
      <c r="F105" s="5" t="s">
        <v>3587</v>
      </c>
      <c r="G105" s="5">
        <v>6.0</v>
      </c>
      <c r="H105" s="5">
        <v>2040.0</v>
      </c>
      <c r="I105" s="5" t="s">
        <v>3642</v>
      </c>
    </row>
    <row r="106" ht="15.75" customHeight="1">
      <c r="A106" s="5" t="s">
        <v>801</v>
      </c>
      <c r="B106" s="5" t="s">
        <v>810</v>
      </c>
      <c r="C106" s="5" t="s">
        <v>811</v>
      </c>
      <c r="D106" s="5" t="s">
        <v>1560</v>
      </c>
    </row>
    <row r="107" ht="15.75" customHeight="1">
      <c r="A107" s="5" t="s">
        <v>801</v>
      </c>
      <c r="B107" s="5" t="s">
        <v>818</v>
      </c>
      <c r="C107" s="5" t="s">
        <v>819</v>
      </c>
      <c r="D107" s="5" t="s">
        <v>944</v>
      </c>
      <c r="E107" s="5" t="s">
        <v>3643</v>
      </c>
      <c r="F107" s="5" t="s">
        <v>3578</v>
      </c>
      <c r="G107" s="5">
        <v>9800.0</v>
      </c>
      <c r="H107" s="5">
        <v>1.0</v>
      </c>
    </row>
    <row r="108" ht="15.75" customHeight="1">
      <c r="A108" s="5" t="s">
        <v>801</v>
      </c>
      <c r="B108" s="5" t="s">
        <v>818</v>
      </c>
      <c r="C108" s="5" t="s">
        <v>819</v>
      </c>
      <c r="D108" s="5" t="s">
        <v>944</v>
      </c>
      <c r="E108" s="5" t="s">
        <v>1801</v>
      </c>
      <c r="F108" s="5" t="s">
        <v>3578</v>
      </c>
      <c r="G108" s="5">
        <v>5100.0</v>
      </c>
      <c r="H108" s="5">
        <v>1.0</v>
      </c>
      <c r="I108" s="5" t="s">
        <v>3644</v>
      </c>
    </row>
    <row r="109" ht="15.75" customHeight="1">
      <c r="A109" s="5" t="s">
        <v>801</v>
      </c>
      <c r="B109" s="5" t="s">
        <v>818</v>
      </c>
      <c r="C109" s="5" t="s">
        <v>819</v>
      </c>
      <c r="D109" s="5" t="s">
        <v>944</v>
      </c>
      <c r="E109" s="5" t="s">
        <v>3645</v>
      </c>
      <c r="F109" s="5" t="s">
        <v>3578</v>
      </c>
      <c r="G109" s="5">
        <v>33725.0</v>
      </c>
      <c r="H109" s="5">
        <v>1.0</v>
      </c>
      <c r="I109" s="5" t="s">
        <v>3646</v>
      </c>
    </row>
    <row r="110" ht="15.75" customHeight="1">
      <c r="A110" s="5" t="s">
        <v>801</v>
      </c>
      <c r="B110" s="5" t="s">
        <v>818</v>
      </c>
      <c r="C110" s="5" t="s">
        <v>819</v>
      </c>
      <c r="D110" s="5" t="s">
        <v>944</v>
      </c>
      <c r="E110" s="5" t="s">
        <v>3647</v>
      </c>
      <c r="F110" s="5" t="s">
        <v>3578</v>
      </c>
      <c r="G110" s="5">
        <v>600.0</v>
      </c>
      <c r="H110" s="5">
        <v>10.0</v>
      </c>
    </row>
    <row r="111" ht="15.75" customHeight="1">
      <c r="A111" s="5" t="s">
        <v>801</v>
      </c>
      <c r="B111" s="5" t="s">
        <v>818</v>
      </c>
      <c r="C111" s="5" t="s">
        <v>819</v>
      </c>
      <c r="D111" s="5" t="s">
        <v>944</v>
      </c>
      <c r="E111" s="5" t="s">
        <v>3648</v>
      </c>
      <c r="F111" s="5" t="s">
        <v>3578</v>
      </c>
      <c r="G111" s="5">
        <v>5000.0</v>
      </c>
      <c r="H111" s="5">
        <v>1.0</v>
      </c>
    </row>
    <row r="112" ht="15.75" customHeight="1">
      <c r="A112" s="5" t="s">
        <v>801</v>
      </c>
      <c r="B112" s="5" t="s">
        <v>818</v>
      </c>
      <c r="C112" s="5" t="s">
        <v>819</v>
      </c>
      <c r="D112" s="5" t="s">
        <v>944</v>
      </c>
      <c r="E112" s="5" t="s">
        <v>3649</v>
      </c>
      <c r="F112" s="5" t="s">
        <v>3578</v>
      </c>
      <c r="G112" s="5">
        <v>6450.0</v>
      </c>
      <c r="H112" s="5">
        <v>10.0</v>
      </c>
    </row>
    <row r="113" ht="15.75" customHeight="1">
      <c r="A113" s="5" t="s">
        <v>801</v>
      </c>
      <c r="B113" s="5" t="s">
        <v>826</v>
      </c>
      <c r="C113" s="5" t="s">
        <v>827</v>
      </c>
      <c r="D113" s="5" t="s">
        <v>944</v>
      </c>
      <c r="E113" s="5" t="s">
        <v>3650</v>
      </c>
      <c r="F113" s="5" t="s">
        <v>3578</v>
      </c>
      <c r="G113" s="5">
        <v>107.0</v>
      </c>
      <c r="H113" s="5">
        <v>2460.0</v>
      </c>
    </row>
    <row r="114" ht="15.75" customHeight="1">
      <c r="A114" s="5" t="s">
        <v>801</v>
      </c>
      <c r="B114" s="5" t="s">
        <v>836</v>
      </c>
      <c r="C114" s="5" t="s">
        <v>837</v>
      </c>
      <c r="D114" s="5" t="s">
        <v>1560</v>
      </c>
    </row>
    <row r="115" ht="15.75" customHeight="1">
      <c r="A115" s="5" t="s">
        <v>801</v>
      </c>
      <c r="B115" s="5" t="s">
        <v>844</v>
      </c>
      <c r="C115" s="5" t="s">
        <v>845</v>
      </c>
      <c r="D115" s="5" t="s">
        <v>1560</v>
      </c>
    </row>
    <row r="116" ht="15.75" customHeight="1">
      <c r="A116" s="5" t="s">
        <v>801</v>
      </c>
      <c r="B116" s="5" t="s">
        <v>853</v>
      </c>
      <c r="C116" s="5" t="s">
        <v>854</v>
      </c>
      <c r="D116" s="5" t="s">
        <v>1560</v>
      </c>
    </row>
    <row r="117" ht="15.75" customHeight="1">
      <c r="A117" s="5" t="s">
        <v>801</v>
      </c>
      <c r="B117" s="5" t="s">
        <v>860</v>
      </c>
      <c r="C117" s="5" t="s">
        <v>861</v>
      </c>
      <c r="D117" s="5" t="s">
        <v>944</v>
      </c>
      <c r="E117" s="5" t="s">
        <v>3651</v>
      </c>
      <c r="F117" s="5" t="s">
        <v>3578</v>
      </c>
      <c r="G117" s="5">
        <v>1.0</v>
      </c>
      <c r="H117" s="5">
        <v>339000.0</v>
      </c>
    </row>
    <row r="118" ht="15.75" customHeight="1">
      <c r="A118" s="5" t="s">
        <v>801</v>
      </c>
      <c r="B118" s="5" t="s">
        <v>867</v>
      </c>
      <c r="C118" s="5" t="s">
        <v>868</v>
      </c>
      <c r="D118" s="5" t="s">
        <v>1560</v>
      </c>
    </row>
    <row r="119" ht="15.75" customHeight="1">
      <c r="A119" s="5" t="s">
        <v>801</v>
      </c>
      <c r="B119" s="5" t="s">
        <v>875</v>
      </c>
      <c r="C119" s="5" t="s">
        <v>876</v>
      </c>
      <c r="D119" s="5" t="s">
        <v>1560</v>
      </c>
    </row>
    <row r="120" ht="15.75" customHeight="1">
      <c r="A120" s="5" t="s">
        <v>801</v>
      </c>
      <c r="B120" s="5" t="s">
        <v>883</v>
      </c>
      <c r="C120" s="5" t="s">
        <v>884</v>
      </c>
      <c r="D120" s="5" t="s">
        <v>1560</v>
      </c>
    </row>
    <row r="121" ht="15.75" customHeight="1">
      <c r="A121" s="5" t="s">
        <v>801</v>
      </c>
      <c r="B121" s="5" t="s">
        <v>890</v>
      </c>
      <c r="C121" s="5" t="s">
        <v>891</v>
      </c>
      <c r="D121" s="5" t="s">
        <v>1560</v>
      </c>
    </row>
    <row r="122" ht="15.75" customHeight="1">
      <c r="A122" s="5" t="s">
        <v>801</v>
      </c>
      <c r="B122" s="5" t="s">
        <v>890</v>
      </c>
      <c r="C122" s="5" t="s">
        <v>891</v>
      </c>
      <c r="D122" s="5" t="s">
        <v>1560</v>
      </c>
    </row>
    <row r="123" ht="15.75" customHeight="1">
      <c r="A123" s="5" t="s">
        <v>801</v>
      </c>
      <c r="B123" s="5" t="s">
        <v>898</v>
      </c>
      <c r="C123" s="5" t="s">
        <v>899</v>
      </c>
      <c r="D123" s="5" t="s">
        <v>1560</v>
      </c>
    </row>
    <row r="124" ht="15.75" customHeight="1">
      <c r="A124" s="5" t="s">
        <v>801</v>
      </c>
      <c r="B124" s="5" t="s">
        <v>906</v>
      </c>
      <c r="C124" s="5" t="s">
        <v>907</v>
      </c>
      <c r="D124" s="5" t="s">
        <v>1560</v>
      </c>
    </row>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3652</v>
      </c>
      <c r="E1" s="1" t="s">
        <v>3653</v>
      </c>
      <c r="F1" s="1" t="s">
        <v>942</v>
      </c>
    </row>
    <row r="2">
      <c r="A2" s="5" t="s">
        <v>26</v>
      </c>
      <c r="B2" s="5" t="s">
        <v>27</v>
      </c>
      <c r="C2" s="5" t="s">
        <v>28</v>
      </c>
      <c r="D2" s="5" t="s">
        <v>1560</v>
      </c>
    </row>
    <row r="3">
      <c r="A3" s="5" t="s">
        <v>26</v>
      </c>
      <c r="B3" s="5" t="s">
        <v>39</v>
      </c>
      <c r="C3" s="5" t="s">
        <v>40</v>
      </c>
      <c r="D3" s="5" t="s">
        <v>944</v>
      </c>
      <c r="E3" s="5" t="s">
        <v>3654</v>
      </c>
      <c r="F3" s="5" t="s">
        <v>3655</v>
      </c>
    </row>
    <row r="4">
      <c r="A4" s="5" t="s">
        <v>26</v>
      </c>
      <c r="B4" s="5" t="s">
        <v>39</v>
      </c>
      <c r="C4" s="5" t="s">
        <v>40</v>
      </c>
      <c r="D4" s="5" t="s">
        <v>944</v>
      </c>
      <c r="E4" s="5" t="s">
        <v>3656</v>
      </c>
      <c r="F4" s="5" t="s">
        <v>3657</v>
      </c>
    </row>
    <row r="5">
      <c r="A5" s="5" t="s">
        <v>26</v>
      </c>
      <c r="B5" s="5" t="s">
        <v>39</v>
      </c>
      <c r="C5" s="5" t="s">
        <v>40</v>
      </c>
      <c r="D5" s="5" t="s">
        <v>944</v>
      </c>
      <c r="E5" s="5" t="s">
        <v>3658</v>
      </c>
      <c r="F5" s="5" t="s">
        <v>3659</v>
      </c>
    </row>
    <row r="6">
      <c r="A6" s="5" t="s">
        <v>26</v>
      </c>
      <c r="B6" s="5" t="s">
        <v>50</v>
      </c>
      <c r="C6" s="5" t="s">
        <v>51</v>
      </c>
      <c r="D6" s="5" t="s">
        <v>944</v>
      </c>
      <c r="E6" s="5" t="s">
        <v>3656</v>
      </c>
      <c r="F6" s="5" t="s">
        <v>3660</v>
      </c>
    </row>
    <row r="7">
      <c r="A7" s="5" t="s">
        <v>26</v>
      </c>
      <c r="B7" s="5" t="s">
        <v>60</v>
      </c>
      <c r="C7" s="5" t="s">
        <v>61</v>
      </c>
      <c r="D7" s="5" t="s">
        <v>944</v>
      </c>
      <c r="E7" s="5" t="s">
        <v>3656</v>
      </c>
      <c r="F7" s="5" t="s">
        <v>3661</v>
      </c>
    </row>
    <row r="8">
      <c r="A8" s="5" t="s">
        <v>26</v>
      </c>
      <c r="B8" s="5" t="s">
        <v>60</v>
      </c>
      <c r="C8" s="5" t="s">
        <v>61</v>
      </c>
      <c r="D8" s="5" t="s">
        <v>944</v>
      </c>
      <c r="E8" s="5" t="s">
        <v>3656</v>
      </c>
      <c r="F8" s="5" t="s">
        <v>3662</v>
      </c>
    </row>
    <row r="9">
      <c r="A9" s="5" t="s">
        <v>26</v>
      </c>
      <c r="B9" s="5" t="s">
        <v>60</v>
      </c>
      <c r="C9" s="5" t="s">
        <v>61</v>
      </c>
      <c r="D9" s="5" t="s">
        <v>944</v>
      </c>
      <c r="E9" s="5" t="s">
        <v>3663</v>
      </c>
      <c r="F9" s="5" t="s">
        <v>3664</v>
      </c>
    </row>
    <row r="10">
      <c r="A10" s="5" t="s">
        <v>26</v>
      </c>
      <c r="B10" s="5" t="s">
        <v>71</v>
      </c>
      <c r="C10" s="5" t="s">
        <v>72</v>
      </c>
      <c r="D10" s="5" t="s">
        <v>1560</v>
      </c>
    </row>
    <row r="11">
      <c r="A11" s="5" t="s">
        <v>26</v>
      </c>
      <c r="B11" s="5" t="s">
        <v>80</v>
      </c>
      <c r="C11" s="5" t="s">
        <v>81</v>
      </c>
      <c r="D11" s="5" t="s">
        <v>944</v>
      </c>
      <c r="E11" s="5" t="s">
        <v>3656</v>
      </c>
      <c r="F11" s="5" t="s">
        <v>3665</v>
      </c>
    </row>
    <row r="12">
      <c r="A12" s="5" t="s">
        <v>26</v>
      </c>
      <c r="B12" s="5" t="s">
        <v>91</v>
      </c>
      <c r="C12" s="5" t="s">
        <v>92</v>
      </c>
      <c r="D12" s="5" t="s">
        <v>944</v>
      </c>
      <c r="E12" s="5" t="s">
        <v>3666</v>
      </c>
      <c r="F12" s="5" t="s">
        <v>3667</v>
      </c>
    </row>
    <row r="13">
      <c r="A13" s="5" t="s">
        <v>26</v>
      </c>
      <c r="B13" s="5" t="s">
        <v>100</v>
      </c>
      <c r="C13" s="5" t="s">
        <v>101</v>
      </c>
      <c r="D13" s="5" t="s">
        <v>944</v>
      </c>
      <c r="E13" s="5" t="s">
        <v>3663</v>
      </c>
      <c r="F13" s="5" t="s">
        <v>3668</v>
      </c>
    </row>
    <row r="14">
      <c r="A14" s="5" t="s">
        <v>26</v>
      </c>
      <c r="B14" s="5" t="s">
        <v>110</v>
      </c>
      <c r="C14" s="5" t="s">
        <v>111</v>
      </c>
      <c r="D14" s="5" t="s">
        <v>944</v>
      </c>
      <c r="E14" s="5" t="s">
        <v>3656</v>
      </c>
      <c r="F14" s="5" t="s">
        <v>3669</v>
      </c>
    </row>
    <row r="15">
      <c r="A15" s="5" t="s">
        <v>121</v>
      </c>
      <c r="B15" s="5" t="s">
        <v>122</v>
      </c>
      <c r="C15" s="5" t="s">
        <v>123</v>
      </c>
      <c r="D15" s="5" t="s">
        <v>944</v>
      </c>
      <c r="E15" s="5" t="s">
        <v>3658</v>
      </c>
      <c r="F15" s="5" t="s">
        <v>3670</v>
      </c>
    </row>
    <row r="16">
      <c r="A16" s="5" t="s">
        <v>121</v>
      </c>
      <c r="B16" s="5" t="s">
        <v>122</v>
      </c>
      <c r="C16" s="5" t="s">
        <v>123</v>
      </c>
      <c r="D16" s="5" t="s">
        <v>944</v>
      </c>
      <c r="E16" s="5" t="s">
        <v>3658</v>
      </c>
      <c r="F16" s="5" t="s">
        <v>3671</v>
      </c>
    </row>
    <row r="17">
      <c r="A17" s="5" t="s">
        <v>121</v>
      </c>
      <c r="B17" s="5" t="s">
        <v>122</v>
      </c>
      <c r="C17" s="5" t="s">
        <v>123</v>
      </c>
      <c r="D17" s="5" t="s">
        <v>944</v>
      </c>
      <c r="E17" s="5" t="s">
        <v>3658</v>
      </c>
      <c r="F17" s="5" t="s">
        <v>3672</v>
      </c>
    </row>
    <row r="18">
      <c r="A18" s="5" t="s">
        <v>121</v>
      </c>
      <c r="B18" s="5" t="s">
        <v>133</v>
      </c>
      <c r="C18" s="5" t="s">
        <v>134</v>
      </c>
      <c r="D18" s="5" t="s">
        <v>944</v>
      </c>
      <c r="E18" s="5" t="s">
        <v>3656</v>
      </c>
      <c r="F18" s="5" t="s">
        <v>3673</v>
      </c>
    </row>
    <row r="19">
      <c r="A19" s="5" t="s">
        <v>121</v>
      </c>
      <c r="B19" s="5" t="s">
        <v>133</v>
      </c>
      <c r="C19" s="5" t="s">
        <v>134</v>
      </c>
      <c r="D19" s="5" t="s">
        <v>944</v>
      </c>
      <c r="E19" s="5" t="s">
        <v>3656</v>
      </c>
      <c r="F19" s="5" t="s">
        <v>3674</v>
      </c>
    </row>
    <row r="20">
      <c r="A20" s="5" t="s">
        <v>121</v>
      </c>
      <c r="B20" s="5" t="s">
        <v>142</v>
      </c>
      <c r="C20" s="5" t="s">
        <v>143</v>
      </c>
      <c r="D20" s="5" t="s">
        <v>944</v>
      </c>
      <c r="E20" s="5" t="s">
        <v>3654</v>
      </c>
      <c r="F20" s="5" t="s">
        <v>3675</v>
      </c>
    </row>
    <row r="21" ht="15.75" customHeight="1">
      <c r="A21" s="5" t="s">
        <v>121</v>
      </c>
      <c r="B21" s="5" t="s">
        <v>142</v>
      </c>
      <c r="C21" s="5" t="s">
        <v>143</v>
      </c>
      <c r="D21" s="5" t="s">
        <v>944</v>
      </c>
      <c r="E21" s="5" t="s">
        <v>3656</v>
      </c>
      <c r="F21" s="5" t="s">
        <v>3676</v>
      </c>
    </row>
    <row r="22" ht="15.75" customHeight="1">
      <c r="A22" s="5" t="s">
        <v>121</v>
      </c>
      <c r="B22" s="5" t="s">
        <v>153</v>
      </c>
      <c r="C22" s="5" t="s">
        <v>154</v>
      </c>
      <c r="D22" s="5" t="s">
        <v>944</v>
      </c>
      <c r="E22" s="5" t="s">
        <v>3656</v>
      </c>
      <c r="F22" s="5" t="s">
        <v>3677</v>
      </c>
    </row>
    <row r="23" ht="15.75" customHeight="1">
      <c r="A23" s="5" t="s">
        <v>121</v>
      </c>
      <c r="B23" s="5" t="s">
        <v>161</v>
      </c>
      <c r="C23" s="5" t="s">
        <v>162</v>
      </c>
      <c r="D23" s="5" t="s">
        <v>944</v>
      </c>
      <c r="E23" s="5" t="s">
        <v>3666</v>
      </c>
      <c r="F23" s="5" t="s">
        <v>3678</v>
      </c>
    </row>
    <row r="24" ht="15.75" customHeight="1">
      <c r="A24" s="5" t="s">
        <v>121</v>
      </c>
      <c r="B24" s="5" t="s">
        <v>161</v>
      </c>
      <c r="C24" s="5" t="s">
        <v>162</v>
      </c>
      <c r="D24" s="5" t="s">
        <v>944</v>
      </c>
      <c r="E24" s="5" t="s">
        <v>3663</v>
      </c>
      <c r="F24" s="5" t="s">
        <v>3679</v>
      </c>
    </row>
    <row r="25" ht="15.75" customHeight="1">
      <c r="A25" s="5" t="s">
        <v>121</v>
      </c>
      <c r="B25" s="5" t="s">
        <v>161</v>
      </c>
      <c r="C25" s="5" t="s">
        <v>162</v>
      </c>
      <c r="D25" s="5" t="s">
        <v>944</v>
      </c>
      <c r="E25" s="5" t="s">
        <v>3680</v>
      </c>
      <c r="F25" s="5" t="s">
        <v>3681</v>
      </c>
    </row>
    <row r="26" ht="15.75" customHeight="1">
      <c r="A26" s="5" t="s">
        <v>121</v>
      </c>
      <c r="B26" s="5" t="s">
        <v>161</v>
      </c>
      <c r="C26" s="5" t="s">
        <v>162</v>
      </c>
      <c r="D26" s="5" t="s">
        <v>944</v>
      </c>
      <c r="E26" s="5" t="s">
        <v>3663</v>
      </c>
      <c r="F26" s="5" t="s">
        <v>3682</v>
      </c>
    </row>
    <row r="27" ht="15.75" customHeight="1">
      <c r="A27" s="5" t="s">
        <v>121</v>
      </c>
      <c r="B27" s="5" t="s">
        <v>170</v>
      </c>
      <c r="C27" s="5" t="s">
        <v>171</v>
      </c>
      <c r="D27" s="5" t="s">
        <v>944</v>
      </c>
      <c r="E27" s="5" t="s">
        <v>3680</v>
      </c>
      <c r="F27" s="5" t="s">
        <v>3683</v>
      </c>
    </row>
    <row r="28" ht="15.75" customHeight="1">
      <c r="A28" s="5" t="s">
        <v>121</v>
      </c>
      <c r="B28" s="5" t="s">
        <v>180</v>
      </c>
      <c r="C28" s="5" t="s">
        <v>181</v>
      </c>
      <c r="D28" s="5" t="s">
        <v>1560</v>
      </c>
    </row>
    <row r="29" ht="15.75" customHeight="1">
      <c r="A29" s="5" t="s">
        <v>121</v>
      </c>
      <c r="B29" s="5" t="s">
        <v>190</v>
      </c>
      <c r="C29" s="5" t="s">
        <v>191</v>
      </c>
      <c r="D29" s="5" t="s">
        <v>944</v>
      </c>
      <c r="E29" s="5" t="s">
        <v>3684</v>
      </c>
      <c r="F29" s="5" t="s">
        <v>3685</v>
      </c>
    </row>
    <row r="30" ht="15.75" customHeight="1">
      <c r="A30" s="5" t="s">
        <v>121</v>
      </c>
      <c r="B30" s="5" t="s">
        <v>190</v>
      </c>
      <c r="C30" s="5" t="s">
        <v>191</v>
      </c>
      <c r="D30" s="5" t="s">
        <v>944</v>
      </c>
      <c r="E30" s="5" t="s">
        <v>3686</v>
      </c>
      <c r="F30" s="5" t="s">
        <v>3687</v>
      </c>
    </row>
    <row r="31" ht="15.75" customHeight="1">
      <c r="A31" s="5" t="s">
        <v>121</v>
      </c>
      <c r="B31" s="5" t="s">
        <v>201</v>
      </c>
      <c r="C31" s="5" t="s">
        <v>202</v>
      </c>
      <c r="D31" s="5" t="s">
        <v>944</v>
      </c>
      <c r="E31" s="5" t="s">
        <v>3686</v>
      </c>
      <c r="F31" s="5" t="s">
        <v>3688</v>
      </c>
    </row>
    <row r="32" ht="15.75" customHeight="1">
      <c r="A32" s="5" t="s">
        <v>121</v>
      </c>
      <c r="B32" s="5" t="s">
        <v>201</v>
      </c>
      <c r="C32" s="5" t="s">
        <v>202</v>
      </c>
      <c r="D32" s="5" t="s">
        <v>944</v>
      </c>
      <c r="E32" s="5" t="s">
        <v>3656</v>
      </c>
      <c r="F32" s="5" t="s">
        <v>3689</v>
      </c>
    </row>
    <row r="33" ht="15.75" customHeight="1">
      <c r="A33" s="5" t="s">
        <v>121</v>
      </c>
      <c r="B33" s="5" t="s">
        <v>211</v>
      </c>
      <c r="C33" s="5" t="s">
        <v>212</v>
      </c>
      <c r="D33" s="5" t="s">
        <v>1560</v>
      </c>
    </row>
    <row r="34" ht="15.75" customHeight="1">
      <c r="A34" s="5" t="s">
        <v>121</v>
      </c>
      <c r="B34" s="5" t="s">
        <v>219</v>
      </c>
      <c r="C34" s="5" t="s">
        <v>220</v>
      </c>
      <c r="D34" s="5" t="s">
        <v>944</v>
      </c>
      <c r="E34" s="5" t="s">
        <v>3680</v>
      </c>
      <c r="F34" s="5" t="s">
        <v>3690</v>
      </c>
    </row>
    <row r="35" ht="15.75" customHeight="1">
      <c r="A35" s="5" t="s">
        <v>121</v>
      </c>
      <c r="B35" s="5" t="s">
        <v>219</v>
      </c>
      <c r="C35" s="5" t="s">
        <v>220</v>
      </c>
      <c r="D35" s="5" t="s">
        <v>944</v>
      </c>
      <c r="E35" s="5" t="s">
        <v>3656</v>
      </c>
      <c r="F35" s="5" t="s">
        <v>3691</v>
      </c>
    </row>
    <row r="36" ht="15.75" customHeight="1">
      <c r="A36" s="5" t="s">
        <v>121</v>
      </c>
      <c r="B36" s="5" t="s">
        <v>219</v>
      </c>
      <c r="C36" s="5" t="s">
        <v>220</v>
      </c>
      <c r="D36" s="5" t="s">
        <v>944</v>
      </c>
      <c r="E36" s="5" t="s">
        <v>3680</v>
      </c>
      <c r="F36" s="5" t="s">
        <v>3692</v>
      </c>
    </row>
    <row r="37" ht="15.75" customHeight="1">
      <c r="A37" s="5" t="s">
        <v>121</v>
      </c>
      <c r="B37" s="5" t="s">
        <v>219</v>
      </c>
      <c r="C37" s="5" t="s">
        <v>220</v>
      </c>
      <c r="D37" s="5" t="s">
        <v>944</v>
      </c>
      <c r="E37" s="5" t="s">
        <v>3663</v>
      </c>
      <c r="F37" s="5" t="s">
        <v>3693</v>
      </c>
    </row>
    <row r="38" ht="15.75" customHeight="1">
      <c r="A38" s="5" t="s">
        <v>121</v>
      </c>
      <c r="B38" s="5" t="s">
        <v>227</v>
      </c>
      <c r="C38" s="5" t="s">
        <v>228</v>
      </c>
      <c r="D38" s="5" t="s">
        <v>944</v>
      </c>
      <c r="E38" s="5" t="s">
        <v>3680</v>
      </c>
      <c r="F38" s="5" t="s">
        <v>3694</v>
      </c>
    </row>
    <row r="39" ht="15.75" customHeight="1">
      <c r="A39" s="5" t="s">
        <v>121</v>
      </c>
      <c r="B39" s="5" t="s">
        <v>236</v>
      </c>
      <c r="C39" s="5" t="s">
        <v>237</v>
      </c>
      <c r="D39" s="5" t="s">
        <v>944</v>
      </c>
      <c r="E39" s="5" t="s">
        <v>3656</v>
      </c>
      <c r="F39" s="5" t="s">
        <v>3695</v>
      </c>
    </row>
    <row r="40" ht="15.75" customHeight="1">
      <c r="A40" s="5" t="s">
        <v>121</v>
      </c>
      <c r="B40" s="5" t="s">
        <v>236</v>
      </c>
      <c r="C40" s="5" t="s">
        <v>237</v>
      </c>
      <c r="D40" s="5" t="s">
        <v>944</v>
      </c>
      <c r="E40" s="5" t="s">
        <v>3658</v>
      </c>
      <c r="F40" s="5" t="s">
        <v>3696</v>
      </c>
    </row>
    <row r="41" ht="15.75" customHeight="1">
      <c r="A41" s="5" t="s">
        <v>121</v>
      </c>
      <c r="B41" s="5" t="s">
        <v>244</v>
      </c>
      <c r="C41" s="5" t="s">
        <v>245</v>
      </c>
      <c r="D41" s="5" t="s">
        <v>944</v>
      </c>
      <c r="E41" s="5" t="s">
        <v>3680</v>
      </c>
      <c r="F41" s="5" t="s">
        <v>3697</v>
      </c>
    </row>
    <row r="42" ht="15.75" customHeight="1">
      <c r="A42" s="5" t="s">
        <v>121</v>
      </c>
      <c r="B42" s="5" t="s">
        <v>253</v>
      </c>
      <c r="C42" s="5" t="s">
        <v>254</v>
      </c>
      <c r="D42" s="5" t="s">
        <v>944</v>
      </c>
      <c r="E42" s="5" t="s">
        <v>3698</v>
      </c>
      <c r="F42" s="5" t="s">
        <v>3699</v>
      </c>
    </row>
    <row r="43" ht="15.75" customHeight="1">
      <c r="A43" s="5" t="s">
        <v>121</v>
      </c>
      <c r="B43" s="5" t="s">
        <v>261</v>
      </c>
      <c r="C43" s="5" t="s">
        <v>262</v>
      </c>
      <c r="D43" s="5" t="s">
        <v>944</v>
      </c>
      <c r="E43" s="5" t="s">
        <v>3656</v>
      </c>
      <c r="F43" s="5" t="s">
        <v>3700</v>
      </c>
    </row>
    <row r="44" ht="15.75" customHeight="1">
      <c r="A44" s="5" t="s">
        <v>121</v>
      </c>
      <c r="B44" s="5" t="s">
        <v>270</v>
      </c>
      <c r="C44" s="5" t="s">
        <v>271</v>
      </c>
      <c r="D44" s="5" t="s">
        <v>1560</v>
      </c>
    </row>
    <row r="45" ht="15.75" customHeight="1">
      <c r="A45" s="5" t="s">
        <v>121</v>
      </c>
      <c r="B45" s="5" t="s">
        <v>279</v>
      </c>
      <c r="C45" s="5" t="s">
        <v>280</v>
      </c>
      <c r="D45" s="5" t="s">
        <v>944</v>
      </c>
      <c r="E45" s="5" t="s">
        <v>3656</v>
      </c>
      <c r="F45" s="5" t="s">
        <v>3701</v>
      </c>
    </row>
    <row r="46" ht="15.75" customHeight="1">
      <c r="A46" s="5" t="s">
        <v>121</v>
      </c>
      <c r="B46" s="5" t="s">
        <v>279</v>
      </c>
      <c r="C46" s="5" t="s">
        <v>280</v>
      </c>
      <c r="D46" s="5" t="s">
        <v>944</v>
      </c>
      <c r="E46" s="5" t="s">
        <v>3656</v>
      </c>
      <c r="F46" s="5" t="s">
        <v>3702</v>
      </c>
    </row>
    <row r="47" ht="15.75" customHeight="1">
      <c r="A47" s="5" t="s">
        <v>121</v>
      </c>
      <c r="B47" s="5" t="s">
        <v>279</v>
      </c>
      <c r="C47" s="5" t="s">
        <v>280</v>
      </c>
      <c r="D47" s="5" t="s">
        <v>944</v>
      </c>
      <c r="E47" s="5" t="s">
        <v>3658</v>
      </c>
      <c r="F47" s="5" t="s">
        <v>3703</v>
      </c>
    </row>
    <row r="48" ht="15.75" customHeight="1">
      <c r="A48" s="5" t="s">
        <v>121</v>
      </c>
      <c r="B48" s="5" t="s">
        <v>288</v>
      </c>
      <c r="C48" s="5" t="s">
        <v>289</v>
      </c>
      <c r="D48" s="5" t="s">
        <v>944</v>
      </c>
      <c r="E48" s="5" t="s">
        <v>3658</v>
      </c>
      <c r="F48" s="5" t="s">
        <v>3704</v>
      </c>
    </row>
    <row r="49" ht="15.75" customHeight="1">
      <c r="A49" s="5" t="s">
        <v>121</v>
      </c>
      <c r="B49" s="5" t="s">
        <v>288</v>
      </c>
      <c r="C49" s="5" t="s">
        <v>289</v>
      </c>
      <c r="D49" s="5" t="s">
        <v>944</v>
      </c>
      <c r="E49" s="5" t="s">
        <v>3658</v>
      </c>
      <c r="F49" s="5" t="s">
        <v>3705</v>
      </c>
    </row>
    <row r="50" ht="15.75" customHeight="1">
      <c r="A50" s="5" t="s">
        <v>121</v>
      </c>
      <c r="B50" s="5" t="s">
        <v>288</v>
      </c>
      <c r="C50" s="5" t="s">
        <v>289</v>
      </c>
      <c r="D50" s="5" t="s">
        <v>944</v>
      </c>
      <c r="E50" s="5" t="s">
        <v>3658</v>
      </c>
      <c r="F50" s="5" t="s">
        <v>3706</v>
      </c>
    </row>
    <row r="51" ht="15.75" customHeight="1">
      <c r="A51" s="5" t="s">
        <v>121</v>
      </c>
      <c r="B51" s="5" t="s">
        <v>288</v>
      </c>
      <c r="C51" s="5" t="s">
        <v>289</v>
      </c>
      <c r="D51" s="5" t="s">
        <v>944</v>
      </c>
      <c r="E51" s="5" t="s">
        <v>3658</v>
      </c>
      <c r="F51" s="5" t="s">
        <v>3707</v>
      </c>
    </row>
    <row r="52" ht="15.75" customHeight="1">
      <c r="A52" s="5" t="s">
        <v>121</v>
      </c>
      <c r="B52" s="5" t="s">
        <v>288</v>
      </c>
      <c r="C52" s="5" t="s">
        <v>289</v>
      </c>
      <c r="D52" s="5" t="s">
        <v>944</v>
      </c>
      <c r="E52" s="5" t="s">
        <v>3658</v>
      </c>
      <c r="F52" s="5" t="s">
        <v>3708</v>
      </c>
    </row>
    <row r="53" ht="15.75" customHeight="1">
      <c r="A53" s="5" t="s">
        <v>121</v>
      </c>
      <c r="B53" s="5" t="s">
        <v>288</v>
      </c>
      <c r="C53" s="5" t="s">
        <v>289</v>
      </c>
      <c r="D53" s="5" t="s">
        <v>944</v>
      </c>
      <c r="E53" s="5" t="s">
        <v>3658</v>
      </c>
      <c r="F53" s="5" t="s">
        <v>3709</v>
      </c>
    </row>
    <row r="54" ht="15.75" customHeight="1">
      <c r="A54" s="5" t="s">
        <v>121</v>
      </c>
      <c r="B54" s="5" t="s">
        <v>288</v>
      </c>
      <c r="C54" s="5" t="s">
        <v>289</v>
      </c>
      <c r="D54" s="5" t="s">
        <v>944</v>
      </c>
      <c r="E54" s="5" t="s">
        <v>3666</v>
      </c>
      <c r="F54" s="5" t="s">
        <v>3710</v>
      </c>
    </row>
    <row r="55" ht="15.75" customHeight="1">
      <c r="A55" s="5" t="s">
        <v>121</v>
      </c>
      <c r="B55" s="5" t="s">
        <v>288</v>
      </c>
      <c r="C55" s="5" t="s">
        <v>289</v>
      </c>
      <c r="D55" s="5" t="s">
        <v>944</v>
      </c>
      <c r="E55" s="5" t="s">
        <v>3658</v>
      </c>
      <c r="F55" s="5" t="s">
        <v>3711</v>
      </c>
    </row>
    <row r="56" ht="15.75" customHeight="1">
      <c r="A56" s="5" t="s">
        <v>121</v>
      </c>
      <c r="B56" s="5" t="s">
        <v>288</v>
      </c>
      <c r="C56" s="5" t="s">
        <v>289</v>
      </c>
      <c r="D56" s="5" t="s">
        <v>944</v>
      </c>
      <c r="E56" s="5" t="s">
        <v>3656</v>
      </c>
      <c r="F56" s="5" t="s">
        <v>3712</v>
      </c>
    </row>
    <row r="57" ht="15.75" customHeight="1">
      <c r="A57" s="5" t="s">
        <v>121</v>
      </c>
      <c r="B57" s="5" t="s">
        <v>288</v>
      </c>
      <c r="C57" s="5" t="s">
        <v>289</v>
      </c>
      <c r="D57" s="5" t="s">
        <v>944</v>
      </c>
      <c r="E57" s="5" t="s">
        <v>3658</v>
      </c>
      <c r="F57" s="5" t="s">
        <v>3713</v>
      </c>
    </row>
    <row r="58" ht="15.75" customHeight="1">
      <c r="A58" s="5" t="s">
        <v>121</v>
      </c>
      <c r="B58" s="5" t="s">
        <v>288</v>
      </c>
      <c r="C58" s="5" t="s">
        <v>289</v>
      </c>
      <c r="D58" s="5" t="s">
        <v>944</v>
      </c>
      <c r="E58" s="5" t="s">
        <v>3658</v>
      </c>
      <c r="F58" s="5" t="s">
        <v>3714</v>
      </c>
    </row>
    <row r="59" ht="15.75" customHeight="1">
      <c r="A59" s="5" t="s">
        <v>121</v>
      </c>
      <c r="B59" s="5" t="s">
        <v>296</v>
      </c>
      <c r="C59" s="5" t="s">
        <v>297</v>
      </c>
      <c r="D59" s="5" t="s">
        <v>944</v>
      </c>
      <c r="E59" s="5" t="s">
        <v>3698</v>
      </c>
      <c r="F59" s="5" t="s">
        <v>3715</v>
      </c>
    </row>
    <row r="60" ht="15.75" customHeight="1">
      <c r="A60" s="5" t="s">
        <v>121</v>
      </c>
      <c r="B60" s="5" t="s">
        <v>296</v>
      </c>
      <c r="C60" s="5" t="s">
        <v>297</v>
      </c>
      <c r="D60" s="5" t="s">
        <v>944</v>
      </c>
      <c r="E60" s="5" t="s">
        <v>3680</v>
      </c>
      <c r="F60" s="5" t="s">
        <v>3716</v>
      </c>
    </row>
    <row r="61" ht="15.75" customHeight="1">
      <c r="A61" s="5" t="s">
        <v>121</v>
      </c>
      <c r="B61" s="5" t="s">
        <v>296</v>
      </c>
      <c r="C61" s="5" t="s">
        <v>297</v>
      </c>
      <c r="D61" s="5" t="s">
        <v>944</v>
      </c>
      <c r="E61" s="5" t="s">
        <v>3666</v>
      </c>
      <c r="F61" s="5" t="s">
        <v>3717</v>
      </c>
    </row>
    <row r="62" ht="15.75" customHeight="1">
      <c r="A62" s="5" t="s">
        <v>121</v>
      </c>
      <c r="B62" s="5" t="s">
        <v>304</v>
      </c>
      <c r="C62" s="5" t="s">
        <v>305</v>
      </c>
      <c r="D62" s="5" t="s">
        <v>1560</v>
      </c>
    </row>
    <row r="63" ht="15.75" customHeight="1">
      <c r="A63" s="5" t="s">
        <v>121</v>
      </c>
      <c r="B63" s="5" t="s">
        <v>313</v>
      </c>
      <c r="C63" s="5" t="s">
        <v>314</v>
      </c>
      <c r="D63" s="5" t="s">
        <v>944</v>
      </c>
      <c r="E63" s="5" t="s">
        <v>3656</v>
      </c>
      <c r="F63" s="5" t="s">
        <v>3718</v>
      </c>
    </row>
    <row r="64" ht="15.75" customHeight="1">
      <c r="A64" s="5" t="s">
        <v>121</v>
      </c>
      <c r="B64" s="5" t="s">
        <v>313</v>
      </c>
      <c r="C64" s="5" t="s">
        <v>314</v>
      </c>
      <c r="D64" s="5" t="s">
        <v>944</v>
      </c>
      <c r="E64" s="5" t="s">
        <v>3656</v>
      </c>
      <c r="F64" s="5" t="s">
        <v>3719</v>
      </c>
    </row>
    <row r="65" ht="15.75" customHeight="1">
      <c r="A65" s="5" t="s">
        <v>121</v>
      </c>
      <c r="B65" s="5" t="s">
        <v>321</v>
      </c>
      <c r="C65" s="5" t="s">
        <v>322</v>
      </c>
      <c r="D65" s="5" t="s">
        <v>944</v>
      </c>
      <c r="E65" s="5" t="s">
        <v>3666</v>
      </c>
      <c r="F65" s="5" t="s">
        <v>3720</v>
      </c>
    </row>
    <row r="66" ht="15.75" customHeight="1">
      <c r="A66" s="5" t="s">
        <v>121</v>
      </c>
      <c r="B66" s="5" t="s">
        <v>321</v>
      </c>
      <c r="C66" s="5" t="s">
        <v>322</v>
      </c>
      <c r="D66" s="5" t="s">
        <v>944</v>
      </c>
      <c r="E66" s="5" t="s">
        <v>3656</v>
      </c>
      <c r="F66" s="5" t="s">
        <v>3721</v>
      </c>
    </row>
    <row r="67" ht="15.75" customHeight="1">
      <c r="A67" s="5" t="s">
        <v>121</v>
      </c>
      <c r="B67" s="5" t="s">
        <v>330</v>
      </c>
      <c r="C67" s="5" t="s">
        <v>331</v>
      </c>
      <c r="D67" s="5" t="s">
        <v>944</v>
      </c>
      <c r="E67" s="5" t="s">
        <v>3680</v>
      </c>
      <c r="F67" s="5" t="s">
        <v>3722</v>
      </c>
    </row>
    <row r="68" ht="15.75" customHeight="1">
      <c r="A68" s="5" t="s">
        <v>121</v>
      </c>
      <c r="B68" s="5" t="s">
        <v>338</v>
      </c>
      <c r="C68" s="5" t="s">
        <v>339</v>
      </c>
      <c r="D68" s="5" t="s">
        <v>944</v>
      </c>
      <c r="E68" s="5" t="s">
        <v>3658</v>
      </c>
      <c r="F68" s="5" t="s">
        <v>3723</v>
      </c>
    </row>
    <row r="69" ht="15.75" customHeight="1">
      <c r="A69" s="5" t="s">
        <v>121</v>
      </c>
      <c r="B69" s="5" t="s">
        <v>338</v>
      </c>
      <c r="C69" s="5" t="s">
        <v>339</v>
      </c>
      <c r="D69" s="5" t="s">
        <v>944</v>
      </c>
      <c r="E69" s="5" t="s">
        <v>3658</v>
      </c>
      <c r="F69" s="5" t="s">
        <v>3724</v>
      </c>
    </row>
    <row r="70" ht="15.75" customHeight="1">
      <c r="A70" s="5" t="s">
        <v>121</v>
      </c>
      <c r="B70" s="5" t="s">
        <v>348</v>
      </c>
      <c r="C70" s="5" t="s">
        <v>349</v>
      </c>
      <c r="D70" s="5" t="s">
        <v>1560</v>
      </c>
    </row>
    <row r="71" ht="15.75" customHeight="1">
      <c r="A71" s="5" t="s">
        <v>121</v>
      </c>
      <c r="B71" s="5" t="s">
        <v>355</v>
      </c>
      <c r="C71" s="5" t="s">
        <v>356</v>
      </c>
      <c r="D71" s="5" t="s">
        <v>944</v>
      </c>
      <c r="E71" s="5" t="s">
        <v>3656</v>
      </c>
      <c r="F71" s="5" t="s">
        <v>3725</v>
      </c>
    </row>
    <row r="72" ht="15.75" customHeight="1">
      <c r="A72" s="5" t="s">
        <v>121</v>
      </c>
      <c r="B72" s="5" t="s">
        <v>365</v>
      </c>
      <c r="C72" s="5" t="s">
        <v>366</v>
      </c>
      <c r="D72" s="5" t="s">
        <v>944</v>
      </c>
      <c r="E72" s="5" t="s">
        <v>3656</v>
      </c>
      <c r="F72" s="5" t="s">
        <v>3726</v>
      </c>
    </row>
    <row r="73" ht="15.75" customHeight="1">
      <c r="A73" s="5" t="s">
        <v>121</v>
      </c>
      <c r="B73" s="5" t="s">
        <v>375</v>
      </c>
      <c r="C73" s="5" t="s">
        <v>376</v>
      </c>
      <c r="D73" s="5" t="s">
        <v>944</v>
      </c>
      <c r="E73" s="5" t="s">
        <v>3658</v>
      </c>
      <c r="F73" s="5" t="s">
        <v>3727</v>
      </c>
    </row>
    <row r="74" ht="15.75" customHeight="1">
      <c r="A74" s="5" t="s">
        <v>121</v>
      </c>
      <c r="B74" s="5" t="s">
        <v>375</v>
      </c>
      <c r="C74" s="5" t="s">
        <v>376</v>
      </c>
      <c r="D74" s="5" t="s">
        <v>944</v>
      </c>
      <c r="E74" s="5" t="s">
        <v>3656</v>
      </c>
      <c r="F74" s="5" t="s">
        <v>3728</v>
      </c>
    </row>
    <row r="75" ht="15.75" customHeight="1">
      <c r="A75" s="5" t="s">
        <v>121</v>
      </c>
      <c r="B75" s="5" t="s">
        <v>375</v>
      </c>
      <c r="C75" s="5" t="s">
        <v>376</v>
      </c>
      <c r="D75" s="5" t="s">
        <v>944</v>
      </c>
      <c r="E75" s="5" t="s">
        <v>3656</v>
      </c>
      <c r="F75" s="5" t="s">
        <v>3728</v>
      </c>
    </row>
    <row r="76" ht="15.75" customHeight="1">
      <c r="A76" s="5" t="s">
        <v>121</v>
      </c>
      <c r="B76" s="5" t="s">
        <v>375</v>
      </c>
      <c r="C76" s="5" t="s">
        <v>376</v>
      </c>
      <c r="D76" s="5" t="s">
        <v>944</v>
      </c>
      <c r="E76" s="5" t="s">
        <v>3658</v>
      </c>
      <c r="F76" s="5" t="s">
        <v>3727</v>
      </c>
    </row>
    <row r="77" ht="15.75" customHeight="1">
      <c r="A77" s="5" t="s">
        <v>121</v>
      </c>
      <c r="B77" s="5" t="s">
        <v>387</v>
      </c>
      <c r="C77" s="5" t="s">
        <v>388</v>
      </c>
      <c r="D77" s="5" t="s">
        <v>1560</v>
      </c>
    </row>
    <row r="78" ht="15.75" customHeight="1">
      <c r="A78" s="5" t="s">
        <v>121</v>
      </c>
      <c r="B78" s="5" t="s">
        <v>395</v>
      </c>
      <c r="C78" s="5" t="s">
        <v>396</v>
      </c>
      <c r="D78" s="5" t="s">
        <v>1560</v>
      </c>
    </row>
    <row r="79" ht="15.75" customHeight="1">
      <c r="A79" s="5" t="s">
        <v>121</v>
      </c>
      <c r="B79" s="5" t="s">
        <v>405</v>
      </c>
      <c r="C79" s="5" t="s">
        <v>406</v>
      </c>
      <c r="D79" s="5" t="s">
        <v>944</v>
      </c>
      <c r="E79" s="5" t="s">
        <v>3658</v>
      </c>
      <c r="F79" s="5" t="s">
        <v>3729</v>
      </c>
    </row>
    <row r="80" ht="15.75" customHeight="1">
      <c r="A80" s="5" t="s">
        <v>121</v>
      </c>
      <c r="B80" s="5" t="s">
        <v>405</v>
      </c>
      <c r="C80" s="5" t="s">
        <v>406</v>
      </c>
      <c r="D80" s="5" t="s">
        <v>944</v>
      </c>
      <c r="E80" s="5" t="s">
        <v>3698</v>
      </c>
      <c r="F80" s="5" t="s">
        <v>3730</v>
      </c>
    </row>
    <row r="81" ht="15.75" customHeight="1">
      <c r="A81" s="5" t="s">
        <v>121</v>
      </c>
      <c r="B81" s="5" t="s">
        <v>405</v>
      </c>
      <c r="C81" s="5" t="s">
        <v>406</v>
      </c>
      <c r="D81" s="5" t="s">
        <v>944</v>
      </c>
      <c r="E81" s="5" t="s">
        <v>3658</v>
      </c>
      <c r="F81" s="5" t="s">
        <v>3731</v>
      </c>
    </row>
    <row r="82" ht="15.75" customHeight="1">
      <c r="A82" s="5" t="s">
        <v>121</v>
      </c>
      <c r="B82" s="5" t="s">
        <v>405</v>
      </c>
      <c r="C82" s="5" t="s">
        <v>406</v>
      </c>
      <c r="D82" s="5" t="s">
        <v>944</v>
      </c>
      <c r="E82" s="5" t="s">
        <v>3658</v>
      </c>
      <c r="F82" s="5" t="s">
        <v>3732</v>
      </c>
    </row>
    <row r="83" ht="15.75" customHeight="1">
      <c r="A83" s="5" t="s">
        <v>121</v>
      </c>
      <c r="B83" s="5" t="s">
        <v>405</v>
      </c>
      <c r="C83" s="5" t="s">
        <v>406</v>
      </c>
      <c r="D83" s="5" t="s">
        <v>944</v>
      </c>
      <c r="E83" s="5" t="s">
        <v>3658</v>
      </c>
      <c r="F83" s="5" t="s">
        <v>3733</v>
      </c>
    </row>
    <row r="84" ht="15.75" customHeight="1">
      <c r="A84" s="5" t="s">
        <v>121</v>
      </c>
      <c r="B84" s="5" t="s">
        <v>405</v>
      </c>
      <c r="C84" s="5" t="s">
        <v>406</v>
      </c>
      <c r="D84" s="5" t="s">
        <v>944</v>
      </c>
      <c r="E84" s="5" t="s">
        <v>3656</v>
      </c>
      <c r="F84" s="5" t="s">
        <v>3734</v>
      </c>
    </row>
    <row r="85" ht="15.75" customHeight="1">
      <c r="A85" s="5" t="s">
        <v>121</v>
      </c>
      <c r="B85" s="5" t="s">
        <v>412</v>
      </c>
      <c r="C85" s="5" t="s">
        <v>413</v>
      </c>
      <c r="D85" s="5" t="s">
        <v>944</v>
      </c>
      <c r="E85" s="5" t="s">
        <v>3656</v>
      </c>
      <c r="F85" s="5" t="s">
        <v>3735</v>
      </c>
    </row>
    <row r="86" ht="15.75" customHeight="1">
      <c r="A86" s="5" t="s">
        <v>419</v>
      </c>
      <c r="B86" s="5" t="s">
        <v>420</v>
      </c>
      <c r="C86" s="5" t="s">
        <v>421</v>
      </c>
      <c r="D86" s="5" t="s">
        <v>1560</v>
      </c>
    </row>
    <row r="87" ht="15.75" customHeight="1">
      <c r="A87" s="5" t="s">
        <v>419</v>
      </c>
      <c r="B87" s="5" t="s">
        <v>430</v>
      </c>
      <c r="C87" s="5" t="s">
        <v>431</v>
      </c>
      <c r="D87" s="5" t="s">
        <v>1560</v>
      </c>
    </row>
    <row r="88" ht="15.75" customHeight="1">
      <c r="A88" s="5" t="s">
        <v>419</v>
      </c>
      <c r="B88" s="5" t="s">
        <v>438</v>
      </c>
      <c r="C88" s="5" t="s">
        <v>439</v>
      </c>
      <c r="D88" s="5" t="s">
        <v>1560</v>
      </c>
    </row>
    <row r="89" ht="15.75" customHeight="1">
      <c r="A89" s="5" t="s">
        <v>419</v>
      </c>
      <c r="B89" s="5" t="s">
        <v>446</v>
      </c>
      <c r="C89" s="5" t="s">
        <v>447</v>
      </c>
      <c r="D89" s="5" t="s">
        <v>944</v>
      </c>
      <c r="E89" s="5" t="s">
        <v>3654</v>
      </c>
      <c r="F89" s="5" t="s">
        <v>3736</v>
      </c>
    </row>
    <row r="90" ht="15.75" customHeight="1">
      <c r="A90" s="5" t="s">
        <v>419</v>
      </c>
      <c r="B90" s="5" t="s">
        <v>446</v>
      </c>
      <c r="C90" s="5" t="s">
        <v>447</v>
      </c>
      <c r="D90" s="5" t="s">
        <v>944</v>
      </c>
      <c r="E90" s="5" t="s">
        <v>3686</v>
      </c>
      <c r="F90" s="5" t="s">
        <v>3737</v>
      </c>
    </row>
    <row r="91" ht="15.75" customHeight="1">
      <c r="A91" s="5" t="s">
        <v>419</v>
      </c>
      <c r="B91" s="5" t="s">
        <v>446</v>
      </c>
      <c r="C91" s="5" t="s">
        <v>447</v>
      </c>
      <c r="D91" s="5" t="s">
        <v>944</v>
      </c>
      <c r="E91" s="5" t="s">
        <v>3654</v>
      </c>
      <c r="F91" s="5" t="s">
        <v>3738</v>
      </c>
    </row>
    <row r="92" ht="15.75" customHeight="1">
      <c r="A92" s="5" t="s">
        <v>419</v>
      </c>
      <c r="B92" s="5" t="s">
        <v>446</v>
      </c>
      <c r="C92" s="5" t="s">
        <v>447</v>
      </c>
      <c r="D92" s="5" t="s">
        <v>944</v>
      </c>
      <c r="E92" s="5" t="s">
        <v>3654</v>
      </c>
      <c r="F92" s="5" t="s">
        <v>3739</v>
      </c>
    </row>
    <row r="93" ht="15.75" customHeight="1">
      <c r="A93" s="5" t="s">
        <v>419</v>
      </c>
      <c r="B93" s="5" t="s">
        <v>446</v>
      </c>
      <c r="C93" s="5" t="s">
        <v>447</v>
      </c>
      <c r="D93" s="5" t="s">
        <v>944</v>
      </c>
      <c r="E93" s="5" t="s">
        <v>3654</v>
      </c>
      <c r="F93" s="5" t="s">
        <v>3740</v>
      </c>
    </row>
    <row r="94" ht="15.75" customHeight="1">
      <c r="A94" s="5" t="s">
        <v>419</v>
      </c>
      <c r="B94" s="5" t="s">
        <v>446</v>
      </c>
      <c r="C94" s="5" t="s">
        <v>447</v>
      </c>
      <c r="D94" s="5" t="s">
        <v>944</v>
      </c>
      <c r="E94" s="5" t="s">
        <v>3686</v>
      </c>
      <c r="F94" s="5" t="s">
        <v>3741</v>
      </c>
    </row>
    <row r="95" ht="15.75" customHeight="1">
      <c r="A95" s="5" t="s">
        <v>419</v>
      </c>
      <c r="B95" s="5" t="s">
        <v>446</v>
      </c>
      <c r="C95" s="5" t="s">
        <v>447</v>
      </c>
      <c r="D95" s="5" t="s">
        <v>944</v>
      </c>
      <c r="E95" s="5" t="s">
        <v>3654</v>
      </c>
      <c r="F95" s="5" t="s">
        <v>3742</v>
      </c>
    </row>
    <row r="96" ht="15.75" customHeight="1">
      <c r="A96" s="5" t="s">
        <v>419</v>
      </c>
      <c r="B96" s="5" t="s">
        <v>446</v>
      </c>
      <c r="C96" s="5" t="s">
        <v>447</v>
      </c>
      <c r="D96" s="5" t="s">
        <v>944</v>
      </c>
      <c r="E96" s="5" t="s">
        <v>3686</v>
      </c>
      <c r="F96" s="5" t="s">
        <v>3743</v>
      </c>
    </row>
    <row r="97" ht="15.75" customHeight="1">
      <c r="A97" s="5" t="s">
        <v>419</v>
      </c>
      <c r="B97" s="5" t="s">
        <v>453</v>
      </c>
      <c r="C97" s="5" t="s">
        <v>454</v>
      </c>
      <c r="D97" s="5" t="s">
        <v>1560</v>
      </c>
    </row>
    <row r="98" ht="15.75" customHeight="1">
      <c r="A98" s="5" t="s">
        <v>419</v>
      </c>
      <c r="B98" s="5" t="s">
        <v>461</v>
      </c>
      <c r="C98" s="5" t="s">
        <v>462</v>
      </c>
      <c r="D98" s="5" t="s">
        <v>1560</v>
      </c>
    </row>
    <row r="99" ht="15.75" customHeight="1">
      <c r="A99" s="5" t="s">
        <v>419</v>
      </c>
      <c r="B99" s="5" t="s">
        <v>469</v>
      </c>
      <c r="C99" s="5" t="s">
        <v>470</v>
      </c>
      <c r="D99" s="5" t="s">
        <v>944</v>
      </c>
      <c r="E99" s="5" t="s">
        <v>3680</v>
      </c>
      <c r="F99" s="5" t="s">
        <v>3744</v>
      </c>
    </row>
    <row r="100" ht="15.75" customHeight="1">
      <c r="A100" s="5" t="s">
        <v>419</v>
      </c>
      <c r="B100" s="5" t="s">
        <v>477</v>
      </c>
      <c r="C100" s="5" t="s">
        <v>478</v>
      </c>
      <c r="D100" s="5" t="s">
        <v>1560</v>
      </c>
    </row>
    <row r="101" ht="15.75" customHeight="1">
      <c r="A101" s="5" t="s">
        <v>419</v>
      </c>
      <c r="B101" s="5" t="s">
        <v>477</v>
      </c>
      <c r="C101" s="5" t="s">
        <v>478</v>
      </c>
      <c r="D101" s="5" t="s">
        <v>1560</v>
      </c>
    </row>
    <row r="102" ht="15.75" customHeight="1">
      <c r="A102" s="5" t="s">
        <v>419</v>
      </c>
      <c r="B102" s="5" t="s">
        <v>488</v>
      </c>
      <c r="C102" s="5" t="s">
        <v>489</v>
      </c>
      <c r="D102" s="5" t="s">
        <v>944</v>
      </c>
      <c r="E102" s="5" t="s">
        <v>3658</v>
      </c>
      <c r="F102" s="5" t="s">
        <v>3745</v>
      </c>
    </row>
    <row r="103" ht="15.75" customHeight="1">
      <c r="A103" s="5" t="s">
        <v>419</v>
      </c>
      <c r="B103" s="5" t="s">
        <v>498</v>
      </c>
      <c r="C103" s="5" t="s">
        <v>499</v>
      </c>
      <c r="D103" s="5" t="s">
        <v>944</v>
      </c>
      <c r="E103" s="5" t="s">
        <v>3656</v>
      </c>
      <c r="F103" s="5" t="s">
        <v>3746</v>
      </c>
    </row>
    <row r="104" ht="15.75" customHeight="1">
      <c r="A104" s="5" t="s">
        <v>419</v>
      </c>
      <c r="B104" s="5" t="s">
        <v>498</v>
      </c>
      <c r="C104" s="5" t="s">
        <v>499</v>
      </c>
      <c r="D104" s="5" t="s">
        <v>944</v>
      </c>
      <c r="E104" s="5" t="s">
        <v>3658</v>
      </c>
      <c r="F104" s="5" t="s">
        <v>3747</v>
      </c>
    </row>
    <row r="105" ht="15.75" customHeight="1">
      <c r="A105" s="5" t="s">
        <v>419</v>
      </c>
      <c r="B105" s="5" t="s">
        <v>507</v>
      </c>
      <c r="C105" s="5" t="s">
        <v>508</v>
      </c>
      <c r="D105" s="5" t="s">
        <v>1560</v>
      </c>
    </row>
    <row r="106" ht="15.75" customHeight="1">
      <c r="A106" s="5" t="s">
        <v>419</v>
      </c>
      <c r="B106" s="5" t="s">
        <v>517</v>
      </c>
      <c r="C106" s="5" t="s">
        <v>518</v>
      </c>
      <c r="D106" s="5" t="s">
        <v>1560</v>
      </c>
    </row>
    <row r="107" ht="15.75" customHeight="1">
      <c r="A107" s="5" t="s">
        <v>419</v>
      </c>
      <c r="B107" s="5" t="s">
        <v>527</v>
      </c>
      <c r="C107" s="5" t="s">
        <v>528</v>
      </c>
      <c r="D107" s="5" t="s">
        <v>944</v>
      </c>
      <c r="E107" s="5" t="s">
        <v>3656</v>
      </c>
      <c r="F107" s="5" t="s">
        <v>3748</v>
      </c>
    </row>
    <row r="108" ht="15.75" customHeight="1">
      <c r="A108" s="5" t="s">
        <v>419</v>
      </c>
      <c r="B108" s="5" t="s">
        <v>527</v>
      </c>
      <c r="C108" s="5" t="s">
        <v>528</v>
      </c>
      <c r="D108" s="5" t="s">
        <v>944</v>
      </c>
      <c r="E108" s="5" t="s">
        <v>3656</v>
      </c>
      <c r="F108" s="5" t="s">
        <v>3749</v>
      </c>
    </row>
    <row r="109" ht="15.75" customHeight="1">
      <c r="A109" s="5" t="s">
        <v>419</v>
      </c>
      <c r="B109" s="5" t="s">
        <v>527</v>
      </c>
      <c r="C109" s="5" t="s">
        <v>528</v>
      </c>
      <c r="D109" s="5" t="s">
        <v>944</v>
      </c>
      <c r="E109" s="5" t="s">
        <v>3656</v>
      </c>
      <c r="F109" s="5" t="s">
        <v>3750</v>
      </c>
    </row>
    <row r="110" ht="15.75" customHeight="1">
      <c r="A110" s="5" t="s">
        <v>419</v>
      </c>
      <c r="B110" s="5" t="s">
        <v>527</v>
      </c>
      <c r="C110" s="5" t="s">
        <v>528</v>
      </c>
      <c r="D110" s="5" t="s">
        <v>944</v>
      </c>
      <c r="E110" s="5" t="s">
        <v>3656</v>
      </c>
      <c r="F110" s="5" t="s">
        <v>3751</v>
      </c>
    </row>
    <row r="111" ht="15.75" customHeight="1">
      <c r="A111" s="5" t="s">
        <v>419</v>
      </c>
      <c r="B111" s="5" t="s">
        <v>527</v>
      </c>
      <c r="C111" s="5" t="s">
        <v>528</v>
      </c>
      <c r="D111" s="5" t="s">
        <v>944</v>
      </c>
      <c r="E111" s="5" t="s">
        <v>3656</v>
      </c>
      <c r="F111" s="5" t="s">
        <v>3752</v>
      </c>
    </row>
    <row r="112" ht="15.75" customHeight="1">
      <c r="A112" s="5" t="s">
        <v>419</v>
      </c>
      <c r="B112" s="5" t="s">
        <v>527</v>
      </c>
      <c r="C112" s="5" t="s">
        <v>528</v>
      </c>
      <c r="D112" s="5" t="s">
        <v>944</v>
      </c>
      <c r="E112" s="5" t="s">
        <v>3656</v>
      </c>
      <c r="F112" s="5" t="s">
        <v>3753</v>
      </c>
    </row>
    <row r="113" ht="15.75" customHeight="1">
      <c r="A113" s="5" t="s">
        <v>419</v>
      </c>
      <c r="B113" s="5" t="s">
        <v>533</v>
      </c>
      <c r="C113" s="5" t="s">
        <v>534</v>
      </c>
      <c r="D113" s="5" t="s">
        <v>1560</v>
      </c>
    </row>
    <row r="114" ht="15.75" customHeight="1">
      <c r="A114" s="5" t="s">
        <v>419</v>
      </c>
      <c r="B114" s="5" t="s">
        <v>541</v>
      </c>
      <c r="C114" s="5" t="s">
        <v>542</v>
      </c>
      <c r="D114" s="5" t="s">
        <v>1560</v>
      </c>
    </row>
    <row r="115" ht="15.75" customHeight="1">
      <c r="A115" s="5" t="s">
        <v>419</v>
      </c>
      <c r="B115" s="5" t="s">
        <v>550</v>
      </c>
      <c r="C115" s="5" t="s">
        <v>551</v>
      </c>
      <c r="D115" s="5" t="s">
        <v>944</v>
      </c>
      <c r="E115" s="5" t="s">
        <v>3656</v>
      </c>
      <c r="F115" s="5" t="s">
        <v>3754</v>
      </c>
    </row>
    <row r="116" ht="15.75" customHeight="1">
      <c r="A116" s="5" t="s">
        <v>419</v>
      </c>
      <c r="B116" s="5" t="s">
        <v>559</v>
      </c>
      <c r="C116" s="5" t="s">
        <v>560</v>
      </c>
      <c r="D116" s="5" t="s">
        <v>1560</v>
      </c>
    </row>
    <row r="117" ht="15.75" customHeight="1">
      <c r="A117" s="5" t="s">
        <v>567</v>
      </c>
      <c r="B117" s="5" t="s">
        <v>568</v>
      </c>
      <c r="C117" s="5" t="s">
        <v>569</v>
      </c>
      <c r="D117" s="5" t="s">
        <v>1560</v>
      </c>
    </row>
    <row r="118" ht="15.75" customHeight="1">
      <c r="A118" s="5" t="s">
        <v>567</v>
      </c>
      <c r="B118" s="5" t="s">
        <v>577</v>
      </c>
      <c r="C118" s="5" t="s">
        <v>578</v>
      </c>
      <c r="D118" s="5" t="s">
        <v>1560</v>
      </c>
    </row>
    <row r="119" ht="15.75" customHeight="1">
      <c r="A119" s="5" t="s">
        <v>567</v>
      </c>
      <c r="B119" s="5" t="s">
        <v>586</v>
      </c>
      <c r="C119" s="5" t="s">
        <v>587</v>
      </c>
      <c r="D119" s="5" t="s">
        <v>1560</v>
      </c>
    </row>
    <row r="120" ht="15.75" customHeight="1">
      <c r="A120" s="5" t="s">
        <v>567</v>
      </c>
      <c r="B120" s="5" t="s">
        <v>597</v>
      </c>
      <c r="C120" s="5" t="s">
        <v>598</v>
      </c>
      <c r="D120" s="5" t="s">
        <v>944</v>
      </c>
      <c r="E120" s="5" t="s">
        <v>3663</v>
      </c>
      <c r="F120" s="5" t="s">
        <v>3755</v>
      </c>
    </row>
    <row r="121" ht="15.75" customHeight="1">
      <c r="A121" s="5" t="s">
        <v>567</v>
      </c>
      <c r="B121" s="5" t="s">
        <v>606</v>
      </c>
      <c r="C121" s="5" t="s">
        <v>607</v>
      </c>
      <c r="D121" s="5" t="s">
        <v>1560</v>
      </c>
    </row>
    <row r="122" ht="15.75" customHeight="1">
      <c r="A122" s="5" t="s">
        <v>567</v>
      </c>
      <c r="B122" s="5" t="s">
        <v>606</v>
      </c>
      <c r="C122" s="5" t="s">
        <v>607</v>
      </c>
      <c r="D122" s="5" t="s">
        <v>1560</v>
      </c>
    </row>
    <row r="123" ht="15.75" customHeight="1">
      <c r="A123" s="5" t="s">
        <v>567</v>
      </c>
      <c r="B123" s="5" t="s">
        <v>614</v>
      </c>
      <c r="C123" s="5" t="s">
        <v>615</v>
      </c>
      <c r="D123" s="5" t="s">
        <v>1560</v>
      </c>
    </row>
    <row r="124" ht="15.75" customHeight="1">
      <c r="A124" s="5" t="s">
        <v>567</v>
      </c>
      <c r="B124" s="5" t="s">
        <v>624</v>
      </c>
      <c r="C124" s="5" t="s">
        <v>625</v>
      </c>
      <c r="D124" s="5" t="s">
        <v>1560</v>
      </c>
    </row>
    <row r="125" ht="15.75" customHeight="1">
      <c r="A125" s="5" t="s">
        <v>567</v>
      </c>
      <c r="B125" s="5" t="s">
        <v>634</v>
      </c>
      <c r="C125" s="5" t="s">
        <v>635</v>
      </c>
      <c r="D125" s="5" t="s">
        <v>1560</v>
      </c>
    </row>
    <row r="126" ht="15.75" customHeight="1">
      <c r="A126" s="5" t="s">
        <v>567</v>
      </c>
      <c r="B126" s="5" t="s">
        <v>643</v>
      </c>
      <c r="C126" s="5" t="s">
        <v>644</v>
      </c>
      <c r="D126" s="5" t="s">
        <v>1560</v>
      </c>
    </row>
    <row r="127" ht="15.75" customHeight="1">
      <c r="A127" s="5" t="s">
        <v>567</v>
      </c>
      <c r="B127" s="5" t="s">
        <v>651</v>
      </c>
      <c r="C127" s="5" t="s">
        <v>652</v>
      </c>
      <c r="D127" s="5" t="s">
        <v>944</v>
      </c>
      <c r="E127" s="5" t="s">
        <v>3663</v>
      </c>
      <c r="F127" s="5" t="s">
        <v>3756</v>
      </c>
    </row>
    <row r="128" ht="15.75" customHeight="1">
      <c r="A128" s="5" t="s">
        <v>567</v>
      </c>
      <c r="B128" s="5" t="s">
        <v>651</v>
      </c>
      <c r="C128" s="5" t="s">
        <v>652</v>
      </c>
      <c r="D128" s="5" t="s">
        <v>944</v>
      </c>
      <c r="E128" s="5" t="s">
        <v>3663</v>
      </c>
      <c r="F128" s="5" t="s">
        <v>3757</v>
      </c>
    </row>
    <row r="129" ht="15.75" customHeight="1">
      <c r="A129" s="5" t="s">
        <v>567</v>
      </c>
      <c r="B129" s="5" t="s">
        <v>659</v>
      </c>
      <c r="C129" s="5" t="s">
        <v>660</v>
      </c>
      <c r="D129" s="5" t="s">
        <v>944</v>
      </c>
      <c r="E129" s="5" t="s">
        <v>3658</v>
      </c>
      <c r="F129" s="5" t="s">
        <v>3758</v>
      </c>
    </row>
    <row r="130" ht="15.75" customHeight="1">
      <c r="A130" s="5" t="s">
        <v>567</v>
      </c>
      <c r="B130" s="5" t="s">
        <v>659</v>
      </c>
      <c r="C130" s="5" t="s">
        <v>660</v>
      </c>
      <c r="D130" s="5" t="s">
        <v>944</v>
      </c>
      <c r="E130" s="5" t="s">
        <v>3656</v>
      </c>
      <c r="F130" s="5" t="s">
        <v>3759</v>
      </c>
    </row>
    <row r="131" ht="15.75" customHeight="1">
      <c r="A131" s="5" t="s">
        <v>567</v>
      </c>
      <c r="B131" s="5" t="s">
        <v>667</v>
      </c>
      <c r="C131" s="5" t="s">
        <v>668</v>
      </c>
      <c r="D131" s="5" t="s">
        <v>944</v>
      </c>
      <c r="E131" s="5" t="s">
        <v>3658</v>
      </c>
      <c r="F131" s="5" t="s">
        <v>3760</v>
      </c>
    </row>
    <row r="132" ht="15.75" customHeight="1">
      <c r="A132" s="5" t="s">
        <v>567</v>
      </c>
      <c r="B132" s="5" t="s">
        <v>674</v>
      </c>
      <c r="C132" s="5" t="s">
        <v>675</v>
      </c>
      <c r="D132" s="5" t="s">
        <v>944</v>
      </c>
      <c r="E132" s="5" t="s">
        <v>3666</v>
      </c>
      <c r="F132" s="5" t="s">
        <v>3761</v>
      </c>
    </row>
    <row r="133" ht="15.75" customHeight="1">
      <c r="A133" s="5" t="s">
        <v>682</v>
      </c>
      <c r="B133" s="5" t="s">
        <v>683</v>
      </c>
      <c r="C133" s="5" t="s">
        <v>684</v>
      </c>
      <c r="D133" s="5" t="s">
        <v>1560</v>
      </c>
    </row>
    <row r="134" ht="15.75" customHeight="1">
      <c r="A134" s="5" t="s">
        <v>682</v>
      </c>
      <c r="B134" s="5" t="s">
        <v>691</v>
      </c>
      <c r="C134" s="5" t="s">
        <v>692</v>
      </c>
      <c r="D134" s="5" t="s">
        <v>1560</v>
      </c>
    </row>
    <row r="135" ht="15.75" customHeight="1">
      <c r="A135" s="5" t="s">
        <v>682</v>
      </c>
      <c r="B135" s="5" t="s">
        <v>699</v>
      </c>
      <c r="C135" s="5" t="s">
        <v>700</v>
      </c>
      <c r="D135" s="5" t="s">
        <v>944</v>
      </c>
      <c r="E135" s="5" t="s">
        <v>3663</v>
      </c>
      <c r="F135" s="5" t="s">
        <v>3762</v>
      </c>
    </row>
    <row r="136" ht="15.75" customHeight="1">
      <c r="A136" s="5" t="s">
        <v>682</v>
      </c>
      <c r="B136" s="5" t="s">
        <v>707</v>
      </c>
      <c r="C136" s="5" t="s">
        <v>708</v>
      </c>
      <c r="D136" s="5" t="s">
        <v>1560</v>
      </c>
    </row>
    <row r="137" ht="15.75" customHeight="1">
      <c r="A137" s="5" t="s">
        <v>682</v>
      </c>
      <c r="B137" s="5" t="s">
        <v>715</v>
      </c>
      <c r="C137" s="5" t="s">
        <v>716</v>
      </c>
      <c r="D137" s="5" t="s">
        <v>944</v>
      </c>
      <c r="E137" s="5" t="s">
        <v>3656</v>
      </c>
      <c r="F137" s="5" t="s">
        <v>3763</v>
      </c>
    </row>
    <row r="138" ht="15.75" customHeight="1">
      <c r="A138" s="5" t="s">
        <v>682</v>
      </c>
      <c r="B138" s="5" t="s">
        <v>725</v>
      </c>
      <c r="C138" s="5" t="s">
        <v>726</v>
      </c>
      <c r="D138" s="5" t="s">
        <v>1560</v>
      </c>
    </row>
    <row r="139" ht="15.75" customHeight="1">
      <c r="A139" s="5" t="s">
        <v>682</v>
      </c>
      <c r="B139" s="5" t="s">
        <v>732</v>
      </c>
      <c r="C139" s="5" t="s">
        <v>733</v>
      </c>
      <c r="D139" s="5" t="s">
        <v>1560</v>
      </c>
    </row>
    <row r="140" ht="15.75" customHeight="1">
      <c r="A140" s="5" t="s">
        <v>682</v>
      </c>
      <c r="B140" s="5" t="s">
        <v>739</v>
      </c>
      <c r="C140" s="5" t="s">
        <v>740</v>
      </c>
      <c r="D140" s="5" t="s">
        <v>1560</v>
      </c>
    </row>
    <row r="141" ht="15.75" customHeight="1">
      <c r="A141" s="5" t="s">
        <v>682</v>
      </c>
      <c r="B141" s="5" t="s">
        <v>749</v>
      </c>
      <c r="C141" s="5" t="s">
        <v>750</v>
      </c>
      <c r="D141" s="5" t="s">
        <v>1560</v>
      </c>
    </row>
    <row r="142" ht="15.75" customHeight="1">
      <c r="A142" s="5" t="s">
        <v>682</v>
      </c>
      <c r="B142" s="5" t="s">
        <v>757</v>
      </c>
      <c r="C142" s="5" t="s">
        <v>758</v>
      </c>
      <c r="D142" s="5" t="s">
        <v>1560</v>
      </c>
    </row>
    <row r="143" ht="15.75" customHeight="1">
      <c r="A143" s="5" t="s">
        <v>682</v>
      </c>
      <c r="B143" s="5" t="s">
        <v>765</v>
      </c>
      <c r="C143" s="5" t="s">
        <v>766</v>
      </c>
      <c r="D143" s="5" t="s">
        <v>1560</v>
      </c>
    </row>
    <row r="144" ht="15.75" customHeight="1">
      <c r="A144" s="5" t="s">
        <v>682</v>
      </c>
      <c r="B144" s="5" t="s">
        <v>773</v>
      </c>
      <c r="C144" s="5" t="s">
        <v>774</v>
      </c>
      <c r="D144" s="5" t="s">
        <v>1560</v>
      </c>
    </row>
    <row r="145" ht="15.75" customHeight="1">
      <c r="A145" s="5" t="s">
        <v>682</v>
      </c>
      <c r="B145" s="5" t="s">
        <v>782</v>
      </c>
      <c r="C145" s="5" t="s">
        <v>783</v>
      </c>
      <c r="D145" s="5" t="s">
        <v>944</v>
      </c>
      <c r="E145" s="5" t="s">
        <v>3656</v>
      </c>
      <c r="F145" s="5" t="s">
        <v>3764</v>
      </c>
    </row>
    <row r="146" ht="15.75" customHeight="1">
      <c r="A146" s="5" t="s">
        <v>682</v>
      </c>
      <c r="B146" s="5" t="s">
        <v>791</v>
      </c>
      <c r="C146" s="5" t="s">
        <v>792</v>
      </c>
      <c r="D146" s="5" t="s">
        <v>1560</v>
      </c>
    </row>
    <row r="147" ht="15.75" customHeight="1">
      <c r="A147" s="5" t="s">
        <v>801</v>
      </c>
      <c r="B147" s="5" t="s">
        <v>802</v>
      </c>
      <c r="C147" s="5" t="s">
        <v>803</v>
      </c>
      <c r="D147" s="5" t="s">
        <v>944</v>
      </c>
      <c r="E147" s="5" t="s">
        <v>3658</v>
      </c>
      <c r="F147" s="5" t="s">
        <v>3765</v>
      </c>
    </row>
    <row r="148" ht="15.75" customHeight="1">
      <c r="A148" s="5" t="s">
        <v>801</v>
      </c>
      <c r="B148" s="5" t="s">
        <v>810</v>
      </c>
      <c r="C148" s="5" t="s">
        <v>811</v>
      </c>
      <c r="D148" s="5" t="s">
        <v>944</v>
      </c>
      <c r="E148" s="5" t="s">
        <v>3656</v>
      </c>
      <c r="F148" s="5" t="s">
        <v>3766</v>
      </c>
    </row>
    <row r="149" ht="15.75" customHeight="1">
      <c r="A149" s="5" t="s">
        <v>801</v>
      </c>
      <c r="B149" s="5" t="s">
        <v>818</v>
      </c>
      <c r="C149" s="5" t="s">
        <v>819</v>
      </c>
      <c r="D149" s="5" t="s">
        <v>944</v>
      </c>
      <c r="E149" s="5" t="s">
        <v>3658</v>
      </c>
      <c r="F149" s="5" t="s">
        <v>3767</v>
      </c>
    </row>
    <row r="150" ht="15.75" customHeight="1">
      <c r="A150" s="5" t="s">
        <v>801</v>
      </c>
      <c r="B150" s="5" t="s">
        <v>826</v>
      </c>
      <c r="C150" s="5" t="s">
        <v>827</v>
      </c>
      <c r="D150" s="5" t="s">
        <v>944</v>
      </c>
      <c r="E150" s="5" t="s">
        <v>3654</v>
      </c>
      <c r="F150" s="5" t="s">
        <v>3768</v>
      </c>
    </row>
    <row r="151" ht="15.75" customHeight="1">
      <c r="A151" s="5" t="s">
        <v>801</v>
      </c>
      <c r="B151" s="5" t="s">
        <v>826</v>
      </c>
      <c r="C151" s="5" t="s">
        <v>827</v>
      </c>
      <c r="D151" s="5" t="s">
        <v>944</v>
      </c>
      <c r="E151" s="5" t="s">
        <v>3654</v>
      </c>
      <c r="F151" s="5" t="s">
        <v>3769</v>
      </c>
    </row>
    <row r="152" ht="15.75" customHeight="1">
      <c r="A152" s="5" t="s">
        <v>801</v>
      </c>
      <c r="B152" s="5" t="s">
        <v>826</v>
      </c>
      <c r="C152" s="5" t="s">
        <v>827</v>
      </c>
      <c r="D152" s="5" t="s">
        <v>944</v>
      </c>
      <c r="E152" s="5" t="s">
        <v>3654</v>
      </c>
      <c r="F152" s="5" t="s">
        <v>3770</v>
      </c>
    </row>
    <row r="153" ht="15.75" customHeight="1">
      <c r="A153" s="5" t="s">
        <v>801</v>
      </c>
      <c r="B153" s="5" t="s">
        <v>826</v>
      </c>
      <c r="C153" s="5" t="s">
        <v>827</v>
      </c>
      <c r="D153" s="5" t="s">
        <v>944</v>
      </c>
      <c r="E153" s="5" t="s">
        <v>3656</v>
      </c>
      <c r="F153" s="5" t="s">
        <v>3771</v>
      </c>
    </row>
    <row r="154" ht="15.75" customHeight="1">
      <c r="A154" s="5" t="s">
        <v>801</v>
      </c>
      <c r="B154" s="5" t="s">
        <v>826</v>
      </c>
      <c r="C154" s="5" t="s">
        <v>827</v>
      </c>
      <c r="D154" s="5" t="s">
        <v>944</v>
      </c>
      <c r="E154" s="5" t="s">
        <v>3654</v>
      </c>
      <c r="F154" s="5" t="s">
        <v>3772</v>
      </c>
    </row>
    <row r="155" ht="15.75" customHeight="1">
      <c r="A155" s="5" t="s">
        <v>801</v>
      </c>
      <c r="B155" s="5" t="s">
        <v>826</v>
      </c>
      <c r="C155" s="5" t="s">
        <v>827</v>
      </c>
      <c r="D155" s="5" t="s">
        <v>944</v>
      </c>
      <c r="E155" s="5" t="s">
        <v>3654</v>
      </c>
      <c r="F155" s="5" t="s">
        <v>3773</v>
      </c>
    </row>
    <row r="156" ht="15.75" customHeight="1">
      <c r="A156" s="5" t="s">
        <v>801</v>
      </c>
      <c r="B156" s="5" t="s">
        <v>826</v>
      </c>
      <c r="C156" s="5" t="s">
        <v>827</v>
      </c>
      <c r="D156" s="5" t="s">
        <v>944</v>
      </c>
      <c r="E156" s="5" t="s">
        <v>3654</v>
      </c>
      <c r="F156" s="5" t="s">
        <v>3774</v>
      </c>
    </row>
    <row r="157" ht="15.75" customHeight="1">
      <c r="A157" s="5" t="s">
        <v>801</v>
      </c>
      <c r="B157" s="5" t="s">
        <v>836</v>
      </c>
      <c r="C157" s="5" t="s">
        <v>837</v>
      </c>
      <c r="D157" s="5" t="s">
        <v>1560</v>
      </c>
    </row>
    <row r="158" ht="15.75" customHeight="1">
      <c r="A158" s="5" t="s">
        <v>801</v>
      </c>
      <c r="B158" s="5" t="s">
        <v>844</v>
      </c>
      <c r="C158" s="5" t="s">
        <v>845</v>
      </c>
      <c r="D158" s="5" t="s">
        <v>1560</v>
      </c>
    </row>
    <row r="159" ht="15.75" customHeight="1">
      <c r="A159" s="5" t="s">
        <v>801</v>
      </c>
      <c r="B159" s="5" t="s">
        <v>853</v>
      </c>
      <c r="C159" s="5" t="s">
        <v>854</v>
      </c>
      <c r="D159" s="5" t="s">
        <v>944</v>
      </c>
      <c r="E159" s="5" t="s">
        <v>3656</v>
      </c>
      <c r="F159" s="5" t="s">
        <v>3775</v>
      </c>
    </row>
    <row r="160" ht="15.75" customHeight="1">
      <c r="A160" s="5" t="s">
        <v>801</v>
      </c>
      <c r="B160" s="5" t="s">
        <v>860</v>
      </c>
      <c r="C160" s="5" t="s">
        <v>861</v>
      </c>
      <c r="D160" s="5" t="s">
        <v>1560</v>
      </c>
    </row>
    <row r="161" ht="15.75" customHeight="1">
      <c r="A161" s="5" t="s">
        <v>801</v>
      </c>
      <c r="B161" s="5" t="s">
        <v>867</v>
      </c>
      <c r="C161" s="5" t="s">
        <v>868</v>
      </c>
      <c r="D161" s="5" t="s">
        <v>1560</v>
      </c>
    </row>
    <row r="162" ht="15.75" customHeight="1">
      <c r="A162" s="5" t="s">
        <v>801</v>
      </c>
      <c r="B162" s="5" t="s">
        <v>875</v>
      </c>
      <c r="C162" s="5" t="s">
        <v>876</v>
      </c>
      <c r="D162" s="5" t="s">
        <v>1560</v>
      </c>
    </row>
    <row r="163" ht="15.75" customHeight="1">
      <c r="A163" s="5" t="s">
        <v>801</v>
      </c>
      <c r="B163" s="5" t="s">
        <v>883</v>
      </c>
      <c r="C163" s="5" t="s">
        <v>884</v>
      </c>
      <c r="D163" s="5" t="s">
        <v>1560</v>
      </c>
    </row>
    <row r="164" ht="15.75" customHeight="1">
      <c r="A164" s="5" t="s">
        <v>801</v>
      </c>
      <c r="B164" s="5" t="s">
        <v>890</v>
      </c>
      <c r="C164" s="5" t="s">
        <v>891</v>
      </c>
      <c r="D164" s="5" t="s">
        <v>944</v>
      </c>
      <c r="E164" s="5" t="s">
        <v>3680</v>
      </c>
      <c r="F164" s="5" t="s">
        <v>3776</v>
      </c>
    </row>
    <row r="165" ht="15.75" customHeight="1">
      <c r="A165" s="5" t="s">
        <v>801</v>
      </c>
      <c r="B165" s="5" t="s">
        <v>890</v>
      </c>
      <c r="C165" s="5" t="s">
        <v>891</v>
      </c>
      <c r="D165" s="5" t="s">
        <v>944</v>
      </c>
      <c r="E165" s="5" t="s">
        <v>3656</v>
      </c>
      <c r="F165" s="5" t="s">
        <v>3777</v>
      </c>
    </row>
    <row r="166" ht="15.75" customHeight="1">
      <c r="A166" s="5" t="s">
        <v>801</v>
      </c>
      <c r="B166" s="5" t="s">
        <v>890</v>
      </c>
      <c r="C166" s="5" t="s">
        <v>891</v>
      </c>
      <c r="D166" s="5" t="s">
        <v>944</v>
      </c>
      <c r="E166" s="5" t="s">
        <v>3680</v>
      </c>
      <c r="F166" s="5" t="s">
        <v>3776</v>
      </c>
    </row>
    <row r="167" ht="15.75" customHeight="1">
      <c r="A167" s="5" t="s">
        <v>801</v>
      </c>
      <c r="B167" s="5" t="s">
        <v>890</v>
      </c>
      <c r="C167" s="5" t="s">
        <v>891</v>
      </c>
      <c r="D167" s="5" t="s">
        <v>944</v>
      </c>
      <c r="E167" s="5" t="s">
        <v>3680</v>
      </c>
      <c r="F167" s="5" t="s">
        <v>3778</v>
      </c>
    </row>
    <row r="168" ht="15.75" customHeight="1">
      <c r="A168" s="5" t="s">
        <v>801</v>
      </c>
      <c r="B168" s="5" t="s">
        <v>890</v>
      </c>
      <c r="C168" s="5" t="s">
        <v>891</v>
      </c>
      <c r="D168" s="5" t="s">
        <v>944</v>
      </c>
      <c r="E168" s="5" t="s">
        <v>3656</v>
      </c>
      <c r="F168" s="5" t="s">
        <v>3777</v>
      </c>
    </row>
    <row r="169" ht="15.75" customHeight="1">
      <c r="A169" s="5" t="s">
        <v>801</v>
      </c>
      <c r="B169" s="5" t="s">
        <v>890</v>
      </c>
      <c r="C169" s="5" t="s">
        <v>891</v>
      </c>
      <c r="D169" s="5" t="s">
        <v>944</v>
      </c>
      <c r="E169" s="5" t="s">
        <v>3680</v>
      </c>
      <c r="F169" s="5" t="s">
        <v>3778</v>
      </c>
    </row>
    <row r="170" ht="15.75" customHeight="1">
      <c r="A170" s="5" t="s">
        <v>801</v>
      </c>
      <c r="B170" s="5" t="s">
        <v>898</v>
      </c>
      <c r="C170" s="5" t="s">
        <v>899</v>
      </c>
      <c r="D170" s="5" t="s">
        <v>1560</v>
      </c>
    </row>
    <row r="171" ht="15.75" customHeight="1">
      <c r="A171" s="5" t="s">
        <v>801</v>
      </c>
      <c r="B171" s="5" t="s">
        <v>906</v>
      </c>
      <c r="C171" s="5" t="s">
        <v>907</v>
      </c>
      <c r="D171" s="5" t="s">
        <v>944</v>
      </c>
      <c r="E171" s="5" t="s">
        <v>3656</v>
      </c>
      <c r="F171" s="5" t="s">
        <v>3779</v>
      </c>
    </row>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3780</v>
      </c>
      <c r="E1" s="1" t="s">
        <v>3781</v>
      </c>
      <c r="F1" s="1"/>
    </row>
    <row r="2">
      <c r="A2" s="5" t="s">
        <v>26</v>
      </c>
      <c r="B2" s="5" t="s">
        <v>27</v>
      </c>
      <c r="C2" s="5" t="s">
        <v>28</v>
      </c>
      <c r="D2" s="5" t="s">
        <v>3782</v>
      </c>
      <c r="E2" s="5" t="s">
        <v>3783</v>
      </c>
    </row>
    <row r="3">
      <c r="A3" s="5" t="s">
        <v>26</v>
      </c>
      <c r="B3" s="5" t="s">
        <v>27</v>
      </c>
      <c r="C3" s="5" t="s">
        <v>28</v>
      </c>
      <c r="D3" s="5" t="s">
        <v>3784</v>
      </c>
      <c r="E3" s="5" t="s">
        <v>3785</v>
      </c>
    </row>
    <row r="4">
      <c r="A4" s="5" t="s">
        <v>26</v>
      </c>
      <c r="B4" s="5" t="s">
        <v>39</v>
      </c>
      <c r="C4" s="5" t="s">
        <v>40</v>
      </c>
      <c r="D4" s="5" t="s">
        <v>3782</v>
      </c>
      <c r="E4" s="5" t="s">
        <v>3786</v>
      </c>
    </row>
    <row r="5">
      <c r="A5" s="5" t="s">
        <v>26</v>
      </c>
      <c r="B5" s="5" t="s">
        <v>50</v>
      </c>
      <c r="C5" s="5" t="s">
        <v>51</v>
      </c>
      <c r="D5" s="5" t="s">
        <v>3782</v>
      </c>
      <c r="E5" s="5" t="s">
        <v>3787</v>
      </c>
    </row>
    <row r="6">
      <c r="A6" s="5" t="s">
        <v>26</v>
      </c>
      <c r="B6" s="5" t="s">
        <v>60</v>
      </c>
      <c r="C6" s="5" t="s">
        <v>61</v>
      </c>
      <c r="D6" s="5" t="s">
        <v>3782</v>
      </c>
      <c r="E6" s="5" t="s">
        <v>3788</v>
      </c>
    </row>
    <row r="7">
      <c r="A7" s="5" t="s">
        <v>26</v>
      </c>
      <c r="B7" s="5" t="s">
        <v>71</v>
      </c>
      <c r="C7" s="5" t="s">
        <v>72</v>
      </c>
      <c r="D7" s="5" t="s">
        <v>3782</v>
      </c>
      <c r="E7" s="5" t="s">
        <v>3789</v>
      </c>
    </row>
    <row r="8">
      <c r="A8" s="5" t="s">
        <v>26</v>
      </c>
      <c r="B8" s="5" t="s">
        <v>80</v>
      </c>
      <c r="C8" s="5" t="s">
        <v>81</v>
      </c>
      <c r="D8" s="5" t="s">
        <v>3782</v>
      </c>
      <c r="E8" s="5" t="s">
        <v>3790</v>
      </c>
    </row>
    <row r="9">
      <c r="A9" s="5" t="s">
        <v>26</v>
      </c>
      <c r="B9" s="5" t="s">
        <v>91</v>
      </c>
      <c r="C9" s="5" t="s">
        <v>92</v>
      </c>
      <c r="D9" s="5" t="s">
        <v>3782</v>
      </c>
      <c r="E9" s="5" t="s">
        <v>3791</v>
      </c>
    </row>
    <row r="10">
      <c r="A10" s="5" t="s">
        <v>26</v>
      </c>
      <c r="B10" s="5" t="s">
        <v>100</v>
      </c>
      <c r="C10" s="5" t="s">
        <v>101</v>
      </c>
      <c r="D10" s="5" t="s">
        <v>3782</v>
      </c>
      <c r="E10" s="5" t="s">
        <v>3792</v>
      </c>
    </row>
    <row r="11">
      <c r="A11" s="5" t="s">
        <v>26</v>
      </c>
      <c r="B11" s="5" t="s">
        <v>110</v>
      </c>
      <c r="C11" s="5" t="s">
        <v>111</v>
      </c>
      <c r="D11" s="5" t="s">
        <v>3782</v>
      </c>
      <c r="E11" s="5" t="s">
        <v>3793</v>
      </c>
    </row>
    <row r="12">
      <c r="A12" s="5" t="s">
        <v>121</v>
      </c>
      <c r="B12" s="5" t="s">
        <v>122</v>
      </c>
      <c r="C12" s="5" t="s">
        <v>123</v>
      </c>
      <c r="D12" s="5" t="s">
        <v>3782</v>
      </c>
      <c r="E12" s="5" t="s">
        <v>3794</v>
      </c>
    </row>
    <row r="13">
      <c r="A13" s="5" t="s">
        <v>121</v>
      </c>
      <c r="B13" s="5" t="s">
        <v>122</v>
      </c>
      <c r="C13" s="5" t="s">
        <v>123</v>
      </c>
      <c r="D13" s="5" t="s">
        <v>3784</v>
      </c>
      <c r="E13" s="5" t="s">
        <v>3795</v>
      </c>
    </row>
    <row r="14">
      <c r="A14" s="5" t="s">
        <v>121</v>
      </c>
      <c r="B14" s="5" t="s">
        <v>133</v>
      </c>
      <c r="C14" s="5" t="s">
        <v>134</v>
      </c>
      <c r="D14" s="5" t="s">
        <v>3782</v>
      </c>
      <c r="E14" s="5" t="s">
        <v>3796</v>
      </c>
    </row>
    <row r="15">
      <c r="A15" s="5" t="s">
        <v>121</v>
      </c>
      <c r="B15" s="5" t="s">
        <v>142</v>
      </c>
      <c r="C15" s="5" t="s">
        <v>143</v>
      </c>
      <c r="D15" s="5" t="s">
        <v>3782</v>
      </c>
      <c r="E15" s="5" t="s">
        <v>3797</v>
      </c>
    </row>
    <row r="16">
      <c r="A16" s="5" t="s">
        <v>121</v>
      </c>
      <c r="B16" s="5" t="s">
        <v>153</v>
      </c>
      <c r="C16" s="5" t="s">
        <v>154</v>
      </c>
      <c r="D16" s="5" t="s">
        <v>3782</v>
      </c>
      <c r="E16" s="5" t="s">
        <v>3798</v>
      </c>
    </row>
    <row r="17">
      <c r="A17" s="5" t="s">
        <v>121</v>
      </c>
      <c r="B17" s="5" t="s">
        <v>161</v>
      </c>
      <c r="C17" s="5" t="s">
        <v>162</v>
      </c>
      <c r="D17" s="5" t="s">
        <v>3782</v>
      </c>
      <c r="E17" s="5" t="s">
        <v>3799</v>
      </c>
    </row>
    <row r="18">
      <c r="A18" s="5" t="s">
        <v>121</v>
      </c>
      <c r="B18" s="5" t="s">
        <v>161</v>
      </c>
      <c r="C18" s="5" t="s">
        <v>162</v>
      </c>
      <c r="D18" s="5" t="s">
        <v>3784</v>
      </c>
      <c r="E18" s="5" t="s">
        <v>3800</v>
      </c>
    </row>
    <row r="19">
      <c r="A19" s="5" t="s">
        <v>121</v>
      </c>
      <c r="B19" s="5" t="s">
        <v>170</v>
      </c>
      <c r="C19" s="5" t="s">
        <v>171</v>
      </c>
      <c r="D19" s="5" t="s">
        <v>3782</v>
      </c>
      <c r="E19" s="5" t="s">
        <v>3801</v>
      </c>
    </row>
    <row r="20">
      <c r="A20" s="5" t="s">
        <v>121</v>
      </c>
      <c r="B20" s="5" t="s">
        <v>180</v>
      </c>
      <c r="C20" s="5" t="s">
        <v>181</v>
      </c>
      <c r="D20" s="5" t="s">
        <v>3782</v>
      </c>
      <c r="E20" s="5" t="s">
        <v>3802</v>
      </c>
    </row>
    <row r="21" ht="15.75" customHeight="1">
      <c r="A21" s="5" t="s">
        <v>121</v>
      </c>
      <c r="B21" s="5" t="s">
        <v>190</v>
      </c>
      <c r="C21" s="5" t="s">
        <v>191</v>
      </c>
      <c r="D21" s="5" t="s">
        <v>3782</v>
      </c>
      <c r="E21" s="5" t="s">
        <v>3803</v>
      </c>
    </row>
    <row r="22" ht="15.75" customHeight="1">
      <c r="A22" s="5" t="s">
        <v>121</v>
      </c>
      <c r="B22" s="5" t="s">
        <v>201</v>
      </c>
      <c r="C22" s="5" t="s">
        <v>202</v>
      </c>
      <c r="D22" s="5" t="s">
        <v>3782</v>
      </c>
      <c r="E22" s="5" t="s">
        <v>3804</v>
      </c>
    </row>
    <row r="23" ht="15.75" customHeight="1">
      <c r="A23" s="5" t="s">
        <v>121</v>
      </c>
      <c r="B23" s="5" t="s">
        <v>211</v>
      </c>
      <c r="C23" s="5" t="s">
        <v>212</v>
      </c>
      <c r="D23" s="5" t="s">
        <v>3782</v>
      </c>
      <c r="E23" s="5" t="s">
        <v>3805</v>
      </c>
    </row>
    <row r="24" ht="15.75" customHeight="1">
      <c r="A24" s="5" t="s">
        <v>121</v>
      </c>
      <c r="B24" s="5" t="s">
        <v>211</v>
      </c>
      <c r="C24" s="5" t="s">
        <v>212</v>
      </c>
      <c r="D24" s="5" t="s">
        <v>3784</v>
      </c>
      <c r="E24" s="5" t="s">
        <v>3806</v>
      </c>
    </row>
    <row r="25" ht="15.75" customHeight="1">
      <c r="A25" s="5" t="s">
        <v>121</v>
      </c>
      <c r="B25" s="5" t="s">
        <v>219</v>
      </c>
      <c r="C25" s="5" t="s">
        <v>220</v>
      </c>
      <c r="D25" s="5" t="s">
        <v>3782</v>
      </c>
      <c r="E25" s="5" t="s">
        <v>3807</v>
      </c>
    </row>
    <row r="26" ht="15.75" customHeight="1">
      <c r="A26" s="5" t="s">
        <v>121</v>
      </c>
      <c r="B26" s="5" t="s">
        <v>219</v>
      </c>
      <c r="C26" s="5" t="s">
        <v>220</v>
      </c>
      <c r="D26" s="5" t="s">
        <v>3808</v>
      </c>
      <c r="E26" s="5" t="s">
        <v>3809</v>
      </c>
    </row>
    <row r="27" ht="15.75" customHeight="1">
      <c r="A27" s="5" t="s">
        <v>121</v>
      </c>
      <c r="B27" s="5" t="s">
        <v>227</v>
      </c>
      <c r="C27" s="5" t="s">
        <v>228</v>
      </c>
    </row>
    <row r="28" ht="15.75" customHeight="1">
      <c r="A28" s="5" t="s">
        <v>121</v>
      </c>
      <c r="B28" s="5" t="s">
        <v>236</v>
      </c>
      <c r="C28" s="5" t="s">
        <v>237</v>
      </c>
      <c r="D28" s="5" t="s">
        <v>3782</v>
      </c>
      <c r="E28" s="5" t="s">
        <v>3810</v>
      </c>
    </row>
    <row r="29" ht="15.75" customHeight="1">
      <c r="A29" s="5" t="s">
        <v>121</v>
      </c>
      <c r="B29" s="5" t="s">
        <v>244</v>
      </c>
      <c r="C29" s="5" t="s">
        <v>245</v>
      </c>
      <c r="D29" s="5" t="s">
        <v>3782</v>
      </c>
      <c r="E29" s="5" t="s">
        <v>3811</v>
      </c>
    </row>
    <row r="30" ht="15.75" customHeight="1">
      <c r="A30" s="5" t="s">
        <v>121</v>
      </c>
      <c r="B30" s="5" t="s">
        <v>253</v>
      </c>
      <c r="C30" s="5" t="s">
        <v>254</v>
      </c>
      <c r="D30" s="5" t="s">
        <v>3782</v>
      </c>
      <c r="E30" s="5" t="s">
        <v>3812</v>
      </c>
    </row>
    <row r="31" ht="15.75" customHeight="1">
      <c r="A31" s="5" t="s">
        <v>121</v>
      </c>
      <c r="B31" s="5" t="s">
        <v>261</v>
      </c>
      <c r="C31" s="5" t="s">
        <v>262</v>
      </c>
      <c r="D31" s="5" t="s">
        <v>3782</v>
      </c>
      <c r="E31" s="5" t="s">
        <v>3813</v>
      </c>
    </row>
    <row r="32" ht="15.75" customHeight="1">
      <c r="A32" s="5" t="s">
        <v>121</v>
      </c>
      <c r="B32" s="5" t="s">
        <v>270</v>
      </c>
      <c r="C32" s="5" t="s">
        <v>271</v>
      </c>
      <c r="D32" s="5" t="s">
        <v>3782</v>
      </c>
      <c r="E32" s="5" t="s">
        <v>3814</v>
      </c>
    </row>
    <row r="33" ht="15.75" customHeight="1">
      <c r="A33" s="5" t="s">
        <v>121</v>
      </c>
      <c r="B33" s="5" t="s">
        <v>270</v>
      </c>
      <c r="C33" s="5" t="s">
        <v>271</v>
      </c>
      <c r="D33" s="5" t="s">
        <v>3784</v>
      </c>
      <c r="E33" s="5" t="s">
        <v>3815</v>
      </c>
    </row>
    <row r="34" ht="15.75" customHeight="1">
      <c r="A34" s="5" t="s">
        <v>121</v>
      </c>
      <c r="B34" s="5" t="s">
        <v>279</v>
      </c>
      <c r="C34" s="5" t="s">
        <v>280</v>
      </c>
      <c r="D34" s="5" t="s">
        <v>3782</v>
      </c>
      <c r="E34" s="5" t="s">
        <v>3816</v>
      </c>
    </row>
    <row r="35" ht="15.75" customHeight="1">
      <c r="A35" s="5" t="s">
        <v>121</v>
      </c>
      <c r="B35" s="5" t="s">
        <v>288</v>
      </c>
      <c r="C35" s="5" t="s">
        <v>289</v>
      </c>
      <c r="D35" s="5" t="s">
        <v>3782</v>
      </c>
      <c r="E35" s="5" t="s">
        <v>3817</v>
      </c>
    </row>
    <row r="36" ht="15.75" customHeight="1">
      <c r="A36" s="5" t="s">
        <v>121</v>
      </c>
      <c r="B36" s="5" t="s">
        <v>296</v>
      </c>
      <c r="C36" s="5" t="s">
        <v>297</v>
      </c>
      <c r="D36" s="5" t="s">
        <v>3782</v>
      </c>
      <c r="E36" s="5" t="s">
        <v>3818</v>
      </c>
    </row>
    <row r="37" ht="15.75" customHeight="1">
      <c r="A37" s="5" t="s">
        <v>121</v>
      </c>
      <c r="B37" s="5" t="s">
        <v>304</v>
      </c>
      <c r="C37" s="5" t="s">
        <v>305</v>
      </c>
      <c r="D37" s="5" t="s">
        <v>3782</v>
      </c>
      <c r="E37" s="5" t="s">
        <v>3819</v>
      </c>
    </row>
    <row r="38" ht="15.75" customHeight="1">
      <c r="A38" s="5" t="s">
        <v>121</v>
      </c>
      <c r="B38" s="5" t="s">
        <v>304</v>
      </c>
      <c r="C38" s="5" t="s">
        <v>305</v>
      </c>
      <c r="D38" s="5" t="s">
        <v>3784</v>
      </c>
      <c r="E38" s="5" t="s">
        <v>3820</v>
      </c>
    </row>
    <row r="39" ht="15.75" customHeight="1">
      <c r="A39" s="5" t="s">
        <v>121</v>
      </c>
      <c r="B39" s="5" t="s">
        <v>313</v>
      </c>
      <c r="C39" s="5" t="s">
        <v>314</v>
      </c>
      <c r="D39" s="5" t="s">
        <v>3782</v>
      </c>
      <c r="E39" s="5" t="s">
        <v>3821</v>
      </c>
    </row>
    <row r="40" ht="15.75" customHeight="1">
      <c r="A40" s="5" t="s">
        <v>121</v>
      </c>
      <c r="B40" s="5" t="s">
        <v>321</v>
      </c>
      <c r="C40" s="5" t="s">
        <v>322</v>
      </c>
      <c r="D40" s="5" t="s">
        <v>3782</v>
      </c>
      <c r="E40" s="5" t="s">
        <v>3822</v>
      </c>
    </row>
    <row r="41" ht="15.75" customHeight="1">
      <c r="A41" s="5" t="s">
        <v>121</v>
      </c>
      <c r="B41" s="5" t="s">
        <v>321</v>
      </c>
      <c r="C41" s="5" t="s">
        <v>322</v>
      </c>
      <c r="D41" s="5" t="s">
        <v>3784</v>
      </c>
      <c r="E41" s="5" t="s">
        <v>3823</v>
      </c>
    </row>
    <row r="42" ht="15.75" customHeight="1">
      <c r="A42" s="5" t="s">
        <v>121</v>
      </c>
      <c r="B42" s="5" t="s">
        <v>330</v>
      </c>
      <c r="C42" s="5" t="s">
        <v>331</v>
      </c>
      <c r="D42" s="5" t="s">
        <v>3782</v>
      </c>
      <c r="E42" s="5" t="s">
        <v>3824</v>
      </c>
    </row>
    <row r="43" ht="15.75" customHeight="1">
      <c r="A43" s="5" t="s">
        <v>121</v>
      </c>
      <c r="B43" s="5" t="s">
        <v>330</v>
      </c>
      <c r="C43" s="5" t="s">
        <v>331</v>
      </c>
      <c r="D43" s="5" t="s">
        <v>3784</v>
      </c>
      <c r="E43" s="5" t="s">
        <v>3825</v>
      </c>
    </row>
    <row r="44" ht="15.75" customHeight="1">
      <c r="A44" s="5" t="s">
        <v>121</v>
      </c>
      <c r="B44" s="5" t="s">
        <v>338</v>
      </c>
      <c r="C44" s="5" t="s">
        <v>339</v>
      </c>
      <c r="D44" s="5" t="s">
        <v>3782</v>
      </c>
      <c r="E44" s="5" t="s">
        <v>3826</v>
      </c>
    </row>
    <row r="45" ht="15.75" customHeight="1">
      <c r="A45" s="5" t="s">
        <v>121</v>
      </c>
      <c r="B45" s="5" t="s">
        <v>348</v>
      </c>
      <c r="C45" s="5" t="s">
        <v>349</v>
      </c>
      <c r="D45" s="5" t="s">
        <v>3782</v>
      </c>
      <c r="E45" s="5" t="s">
        <v>3827</v>
      </c>
    </row>
    <row r="46" ht="15.75" customHeight="1">
      <c r="A46" s="5" t="s">
        <v>121</v>
      </c>
      <c r="B46" s="5" t="s">
        <v>355</v>
      </c>
      <c r="C46" s="5" t="s">
        <v>356</v>
      </c>
      <c r="D46" s="5" t="s">
        <v>3782</v>
      </c>
      <c r="E46" s="5" t="s">
        <v>3828</v>
      </c>
    </row>
    <row r="47" ht="15.75" customHeight="1">
      <c r="A47" s="5" t="s">
        <v>121</v>
      </c>
      <c r="B47" s="5" t="s">
        <v>365</v>
      </c>
      <c r="C47" s="5" t="s">
        <v>366</v>
      </c>
      <c r="D47" s="5" t="s">
        <v>3782</v>
      </c>
      <c r="E47" s="5" t="s">
        <v>3829</v>
      </c>
    </row>
    <row r="48" ht="15.75" customHeight="1">
      <c r="A48" s="5" t="s">
        <v>121</v>
      </c>
      <c r="B48" s="5" t="s">
        <v>375</v>
      </c>
      <c r="C48" s="5" t="s">
        <v>376</v>
      </c>
      <c r="D48" s="5" t="s">
        <v>3782</v>
      </c>
      <c r="E48" s="5" t="s">
        <v>3830</v>
      </c>
    </row>
    <row r="49" ht="15.75" customHeight="1">
      <c r="A49" s="5" t="s">
        <v>121</v>
      </c>
      <c r="B49" s="5" t="s">
        <v>375</v>
      </c>
      <c r="C49" s="5" t="s">
        <v>376</v>
      </c>
      <c r="D49" s="5" t="s">
        <v>3784</v>
      </c>
      <c r="E49" s="5" t="s">
        <v>3831</v>
      </c>
    </row>
    <row r="50" ht="15.75" customHeight="1">
      <c r="A50" s="5" t="s">
        <v>121</v>
      </c>
      <c r="B50" s="5" t="s">
        <v>387</v>
      </c>
      <c r="C50" s="5" t="s">
        <v>388</v>
      </c>
      <c r="D50" s="5" t="s">
        <v>3782</v>
      </c>
      <c r="E50" s="5" t="s">
        <v>3832</v>
      </c>
    </row>
    <row r="51" ht="15.75" customHeight="1">
      <c r="A51" s="5" t="s">
        <v>121</v>
      </c>
      <c r="B51" s="5" t="s">
        <v>387</v>
      </c>
      <c r="C51" s="5" t="s">
        <v>388</v>
      </c>
      <c r="D51" s="5" t="s">
        <v>3784</v>
      </c>
      <c r="E51" s="5" t="s">
        <v>3833</v>
      </c>
    </row>
    <row r="52" ht="15.75" customHeight="1">
      <c r="A52" s="5" t="s">
        <v>121</v>
      </c>
      <c r="B52" s="5" t="s">
        <v>395</v>
      </c>
      <c r="C52" s="5" t="s">
        <v>396</v>
      </c>
      <c r="D52" s="5" t="s">
        <v>3782</v>
      </c>
      <c r="E52" s="5" t="s">
        <v>3834</v>
      </c>
    </row>
    <row r="53" ht="15.75" customHeight="1">
      <c r="A53" s="5" t="s">
        <v>121</v>
      </c>
      <c r="B53" s="5" t="s">
        <v>405</v>
      </c>
      <c r="C53" s="5" t="s">
        <v>406</v>
      </c>
      <c r="D53" s="5" t="s">
        <v>3782</v>
      </c>
      <c r="E53" s="5" t="s">
        <v>3835</v>
      </c>
    </row>
    <row r="54" ht="15.75" customHeight="1">
      <c r="A54" s="5" t="s">
        <v>121</v>
      </c>
      <c r="B54" s="5" t="s">
        <v>405</v>
      </c>
      <c r="C54" s="5" t="s">
        <v>406</v>
      </c>
      <c r="D54" s="5" t="s">
        <v>3784</v>
      </c>
      <c r="E54" s="5" t="s">
        <v>3836</v>
      </c>
    </row>
    <row r="55" ht="15.75" customHeight="1">
      <c r="A55" s="5" t="s">
        <v>121</v>
      </c>
      <c r="B55" s="5" t="s">
        <v>412</v>
      </c>
      <c r="C55" s="5" t="s">
        <v>413</v>
      </c>
      <c r="D55" s="5" t="s">
        <v>3782</v>
      </c>
      <c r="E55" s="5" t="s">
        <v>3837</v>
      </c>
    </row>
    <row r="56" ht="15.75" customHeight="1">
      <c r="A56" s="5" t="s">
        <v>121</v>
      </c>
      <c r="B56" s="5" t="s">
        <v>412</v>
      </c>
      <c r="C56" s="5" t="s">
        <v>413</v>
      </c>
      <c r="D56" s="5" t="s">
        <v>3784</v>
      </c>
      <c r="E56" s="5" t="s">
        <v>3838</v>
      </c>
    </row>
    <row r="57" ht="15.75" customHeight="1">
      <c r="A57" s="5" t="s">
        <v>121</v>
      </c>
      <c r="B57" s="5" t="s">
        <v>412</v>
      </c>
      <c r="C57" s="5" t="s">
        <v>413</v>
      </c>
      <c r="D57" s="5" t="s">
        <v>3808</v>
      </c>
      <c r="E57" s="5" t="s">
        <v>3839</v>
      </c>
    </row>
    <row r="58" ht="15.75" customHeight="1">
      <c r="A58" s="5" t="s">
        <v>121</v>
      </c>
      <c r="B58" s="5" t="s">
        <v>412</v>
      </c>
      <c r="C58" s="5" t="s">
        <v>413</v>
      </c>
      <c r="D58" s="5" t="s">
        <v>3808</v>
      </c>
      <c r="E58" s="5" t="s">
        <v>3840</v>
      </c>
    </row>
    <row r="59" ht="15.75" customHeight="1">
      <c r="A59" s="5" t="s">
        <v>419</v>
      </c>
      <c r="B59" s="5" t="s">
        <v>420</v>
      </c>
      <c r="C59" s="5" t="s">
        <v>421</v>
      </c>
      <c r="D59" s="5" t="s">
        <v>3782</v>
      </c>
      <c r="E59" s="5" t="s">
        <v>3841</v>
      </c>
    </row>
    <row r="60" ht="15.75" customHeight="1">
      <c r="A60" s="5" t="s">
        <v>419</v>
      </c>
      <c r="B60" s="5" t="s">
        <v>430</v>
      </c>
      <c r="C60" s="5" t="s">
        <v>431</v>
      </c>
      <c r="D60" s="5" t="s">
        <v>3782</v>
      </c>
      <c r="E60" s="5" t="s">
        <v>3842</v>
      </c>
    </row>
    <row r="61" ht="15.75" customHeight="1">
      <c r="A61" s="5" t="s">
        <v>419</v>
      </c>
      <c r="B61" s="5" t="s">
        <v>438</v>
      </c>
      <c r="C61" s="5" t="s">
        <v>439</v>
      </c>
      <c r="D61" s="5" t="s">
        <v>3782</v>
      </c>
      <c r="E61" s="5" t="s">
        <v>3843</v>
      </c>
    </row>
    <row r="62" ht="15.75" customHeight="1">
      <c r="A62" s="5" t="s">
        <v>419</v>
      </c>
      <c r="B62" s="5" t="s">
        <v>438</v>
      </c>
      <c r="C62" s="5" t="s">
        <v>439</v>
      </c>
      <c r="D62" s="5" t="s">
        <v>3784</v>
      </c>
      <c r="E62" s="5" t="s">
        <v>3844</v>
      </c>
    </row>
    <row r="63" ht="15.75" customHeight="1">
      <c r="A63" s="5" t="s">
        <v>419</v>
      </c>
      <c r="B63" s="5" t="s">
        <v>446</v>
      </c>
      <c r="C63" s="5" t="s">
        <v>447</v>
      </c>
      <c r="D63" s="5" t="s">
        <v>3782</v>
      </c>
      <c r="E63" s="5" t="s">
        <v>3845</v>
      </c>
    </row>
    <row r="64" ht="15.75" customHeight="1">
      <c r="A64" s="5" t="s">
        <v>419</v>
      </c>
      <c r="B64" s="5" t="s">
        <v>453</v>
      </c>
      <c r="C64" s="5" t="s">
        <v>454</v>
      </c>
      <c r="D64" s="5" t="s">
        <v>3782</v>
      </c>
      <c r="E64" s="5" t="s">
        <v>3846</v>
      </c>
    </row>
    <row r="65" ht="15.75" customHeight="1">
      <c r="A65" s="5" t="s">
        <v>419</v>
      </c>
      <c r="B65" s="5" t="s">
        <v>461</v>
      </c>
      <c r="C65" s="5" t="s">
        <v>462</v>
      </c>
      <c r="D65" s="5" t="s">
        <v>3782</v>
      </c>
      <c r="E65" s="5" t="s">
        <v>3847</v>
      </c>
    </row>
    <row r="66" ht="15.75" customHeight="1">
      <c r="A66" s="5" t="s">
        <v>419</v>
      </c>
      <c r="B66" s="5" t="s">
        <v>469</v>
      </c>
      <c r="C66" s="5" t="s">
        <v>470</v>
      </c>
      <c r="D66" s="5" t="s">
        <v>3782</v>
      </c>
      <c r="E66" s="5" t="s">
        <v>3848</v>
      </c>
    </row>
    <row r="67" ht="15.75" customHeight="1">
      <c r="A67" s="5" t="s">
        <v>419</v>
      </c>
      <c r="B67" s="5" t="s">
        <v>469</v>
      </c>
      <c r="C67" s="5" t="s">
        <v>470</v>
      </c>
      <c r="D67" s="5" t="s">
        <v>3849</v>
      </c>
      <c r="E67" s="5" t="s">
        <v>3850</v>
      </c>
    </row>
    <row r="68" ht="15.75" customHeight="1">
      <c r="A68" s="5" t="s">
        <v>419</v>
      </c>
      <c r="B68" s="5" t="s">
        <v>477</v>
      </c>
      <c r="C68" s="5" t="s">
        <v>478</v>
      </c>
      <c r="D68" s="5" t="s">
        <v>3782</v>
      </c>
      <c r="E68" s="5" t="s">
        <v>3851</v>
      </c>
    </row>
    <row r="69" ht="15.75" customHeight="1">
      <c r="A69" s="5" t="s">
        <v>419</v>
      </c>
      <c r="B69" s="5" t="s">
        <v>488</v>
      </c>
      <c r="C69" s="5" t="s">
        <v>489</v>
      </c>
      <c r="D69" s="5" t="s">
        <v>3782</v>
      </c>
      <c r="E69" s="5" t="s">
        <v>3852</v>
      </c>
    </row>
    <row r="70" ht="15.75" customHeight="1">
      <c r="A70" s="5" t="s">
        <v>419</v>
      </c>
      <c r="B70" s="5" t="s">
        <v>498</v>
      </c>
      <c r="C70" s="5" t="s">
        <v>499</v>
      </c>
      <c r="D70" s="5" t="s">
        <v>3782</v>
      </c>
      <c r="E70" s="5" t="s">
        <v>3853</v>
      </c>
    </row>
    <row r="71" ht="15.75" customHeight="1">
      <c r="A71" s="5" t="s">
        <v>419</v>
      </c>
      <c r="B71" s="5" t="s">
        <v>498</v>
      </c>
      <c r="C71" s="5" t="s">
        <v>499</v>
      </c>
      <c r="D71" s="5" t="s">
        <v>3849</v>
      </c>
      <c r="E71" s="5" t="s">
        <v>3854</v>
      </c>
    </row>
    <row r="72" ht="15.75" customHeight="1">
      <c r="A72" s="5" t="s">
        <v>419</v>
      </c>
      <c r="B72" s="5" t="s">
        <v>507</v>
      </c>
      <c r="C72" s="5" t="s">
        <v>508</v>
      </c>
      <c r="D72" s="5" t="s">
        <v>3782</v>
      </c>
      <c r="E72" s="5" t="s">
        <v>3855</v>
      </c>
    </row>
    <row r="73" ht="15.75" customHeight="1">
      <c r="A73" s="5" t="s">
        <v>419</v>
      </c>
      <c r="B73" s="5" t="s">
        <v>507</v>
      </c>
      <c r="C73" s="5" t="s">
        <v>508</v>
      </c>
      <c r="D73" s="5" t="s">
        <v>3784</v>
      </c>
      <c r="E73" s="5" t="s">
        <v>3856</v>
      </c>
    </row>
    <row r="74" ht="15.75" customHeight="1">
      <c r="A74" s="5" t="s">
        <v>419</v>
      </c>
      <c r="B74" s="5" t="s">
        <v>507</v>
      </c>
      <c r="C74" s="5" t="s">
        <v>508</v>
      </c>
      <c r="D74" s="5" t="s">
        <v>3849</v>
      </c>
      <c r="E74" s="5" t="s">
        <v>3857</v>
      </c>
    </row>
    <row r="75" ht="15.75" customHeight="1">
      <c r="A75" s="5" t="s">
        <v>419</v>
      </c>
      <c r="B75" s="5" t="s">
        <v>517</v>
      </c>
      <c r="C75" s="5" t="s">
        <v>518</v>
      </c>
      <c r="D75" s="5" t="s">
        <v>3782</v>
      </c>
      <c r="E75" s="5" t="s">
        <v>3858</v>
      </c>
    </row>
    <row r="76" ht="15.75" customHeight="1">
      <c r="A76" s="5" t="s">
        <v>419</v>
      </c>
      <c r="B76" s="5" t="s">
        <v>527</v>
      </c>
      <c r="C76" s="5" t="s">
        <v>528</v>
      </c>
      <c r="D76" s="5" t="s">
        <v>3782</v>
      </c>
      <c r="E76" s="5" t="s">
        <v>3859</v>
      </c>
    </row>
    <row r="77" ht="15.75" customHeight="1">
      <c r="A77" s="5" t="s">
        <v>419</v>
      </c>
      <c r="B77" s="5" t="s">
        <v>533</v>
      </c>
      <c r="C77" s="5" t="s">
        <v>534</v>
      </c>
      <c r="D77" s="5" t="s">
        <v>3782</v>
      </c>
      <c r="E77" s="5" t="s">
        <v>3860</v>
      </c>
    </row>
    <row r="78" ht="15.75" customHeight="1">
      <c r="A78" s="5" t="s">
        <v>419</v>
      </c>
      <c r="B78" s="5" t="s">
        <v>541</v>
      </c>
      <c r="C78" s="5" t="s">
        <v>542</v>
      </c>
      <c r="D78" s="5" t="s">
        <v>3782</v>
      </c>
      <c r="E78" s="5" t="s">
        <v>3861</v>
      </c>
    </row>
    <row r="79" ht="15.75" customHeight="1">
      <c r="A79" s="5" t="s">
        <v>419</v>
      </c>
      <c r="B79" s="5" t="s">
        <v>550</v>
      </c>
      <c r="C79" s="5" t="s">
        <v>551</v>
      </c>
      <c r="D79" s="5" t="s">
        <v>3782</v>
      </c>
      <c r="E79" s="5" t="s">
        <v>3862</v>
      </c>
    </row>
    <row r="80" ht="15.75" customHeight="1">
      <c r="A80" s="5" t="s">
        <v>419</v>
      </c>
      <c r="B80" s="5" t="s">
        <v>550</v>
      </c>
      <c r="C80" s="5" t="s">
        <v>551</v>
      </c>
      <c r="D80" s="5" t="s">
        <v>3784</v>
      </c>
      <c r="E80" s="5" t="s">
        <v>3863</v>
      </c>
    </row>
    <row r="81" ht="15.75" customHeight="1">
      <c r="A81" s="5" t="s">
        <v>419</v>
      </c>
      <c r="B81" s="5" t="s">
        <v>550</v>
      </c>
      <c r="C81" s="5" t="s">
        <v>551</v>
      </c>
      <c r="D81" s="5" t="s">
        <v>3849</v>
      </c>
      <c r="E81" s="5" t="s">
        <v>3864</v>
      </c>
    </row>
    <row r="82" ht="15.75" customHeight="1">
      <c r="A82" s="5" t="s">
        <v>419</v>
      </c>
      <c r="B82" s="5" t="s">
        <v>559</v>
      </c>
      <c r="C82" s="5" t="s">
        <v>560</v>
      </c>
      <c r="D82" s="5" t="s">
        <v>3782</v>
      </c>
      <c r="E82" s="5" t="s">
        <v>3865</v>
      </c>
    </row>
    <row r="83" ht="15.75" customHeight="1">
      <c r="A83" s="5" t="s">
        <v>419</v>
      </c>
      <c r="B83" s="5" t="s">
        <v>559</v>
      </c>
      <c r="C83" s="5" t="s">
        <v>560</v>
      </c>
      <c r="D83" s="5" t="s">
        <v>3784</v>
      </c>
      <c r="E83" s="5" t="s">
        <v>3866</v>
      </c>
    </row>
    <row r="84" ht="15.75" customHeight="1">
      <c r="A84" s="5" t="s">
        <v>567</v>
      </c>
      <c r="B84" s="5" t="s">
        <v>568</v>
      </c>
      <c r="C84" s="5" t="s">
        <v>569</v>
      </c>
      <c r="D84" s="5" t="s">
        <v>3782</v>
      </c>
      <c r="E84" s="5" t="s">
        <v>3867</v>
      </c>
    </row>
    <row r="85" ht="15.75" customHeight="1">
      <c r="A85" s="5" t="s">
        <v>567</v>
      </c>
      <c r="B85" s="5" t="s">
        <v>577</v>
      </c>
      <c r="C85" s="5" t="s">
        <v>578</v>
      </c>
      <c r="D85" s="5" t="s">
        <v>3782</v>
      </c>
      <c r="E85" s="5" t="s">
        <v>3868</v>
      </c>
    </row>
    <row r="86" ht="15.75" customHeight="1">
      <c r="A86" s="5" t="s">
        <v>567</v>
      </c>
      <c r="B86" s="5" t="s">
        <v>577</v>
      </c>
      <c r="C86" s="5" t="s">
        <v>578</v>
      </c>
      <c r="D86" s="5" t="s">
        <v>3808</v>
      </c>
      <c r="E86" s="5" t="s">
        <v>3869</v>
      </c>
    </row>
    <row r="87" ht="15.75" customHeight="1">
      <c r="A87" s="5" t="s">
        <v>567</v>
      </c>
      <c r="B87" s="5" t="s">
        <v>586</v>
      </c>
      <c r="C87" s="5" t="s">
        <v>587</v>
      </c>
      <c r="D87" s="5" t="s">
        <v>3782</v>
      </c>
      <c r="E87" s="5" t="s">
        <v>3870</v>
      </c>
    </row>
    <row r="88" ht="15.75" customHeight="1">
      <c r="A88" s="5" t="s">
        <v>567</v>
      </c>
      <c r="B88" s="5" t="s">
        <v>597</v>
      </c>
      <c r="C88" s="5" t="s">
        <v>598</v>
      </c>
      <c r="D88" s="5" t="s">
        <v>3782</v>
      </c>
      <c r="E88" s="5" t="s">
        <v>3871</v>
      </c>
    </row>
    <row r="89" ht="15.75" customHeight="1">
      <c r="A89" s="5" t="s">
        <v>567</v>
      </c>
      <c r="B89" s="5" t="s">
        <v>606</v>
      </c>
      <c r="C89" s="5" t="s">
        <v>607</v>
      </c>
      <c r="D89" s="5" t="s">
        <v>3782</v>
      </c>
      <c r="E89" s="5" t="s">
        <v>3872</v>
      </c>
    </row>
    <row r="90" ht="15.75" customHeight="1">
      <c r="A90" s="5" t="s">
        <v>567</v>
      </c>
      <c r="B90" s="5" t="s">
        <v>606</v>
      </c>
      <c r="C90" s="5" t="s">
        <v>607</v>
      </c>
      <c r="D90" s="5" t="s">
        <v>3784</v>
      </c>
      <c r="E90" s="5" t="s">
        <v>3873</v>
      </c>
    </row>
    <row r="91" ht="15.75" customHeight="1">
      <c r="A91" s="5" t="s">
        <v>567</v>
      </c>
      <c r="B91" s="5" t="s">
        <v>614</v>
      </c>
      <c r="C91" s="5" t="s">
        <v>615</v>
      </c>
      <c r="D91" s="5" t="s">
        <v>3782</v>
      </c>
      <c r="E91" s="5" t="s">
        <v>3874</v>
      </c>
    </row>
    <row r="92" ht="15.75" customHeight="1">
      <c r="A92" s="5" t="s">
        <v>567</v>
      </c>
      <c r="B92" s="5" t="s">
        <v>624</v>
      </c>
      <c r="C92" s="5" t="s">
        <v>625</v>
      </c>
      <c r="D92" s="5" t="s">
        <v>3782</v>
      </c>
      <c r="E92" s="5" t="s">
        <v>3875</v>
      </c>
    </row>
    <row r="93" ht="15.75" customHeight="1">
      <c r="A93" s="5" t="s">
        <v>567</v>
      </c>
      <c r="B93" s="5" t="s">
        <v>634</v>
      </c>
      <c r="C93" s="5" t="s">
        <v>635</v>
      </c>
      <c r="D93" s="5" t="s">
        <v>3782</v>
      </c>
      <c r="E93" s="5" t="s">
        <v>3876</v>
      </c>
    </row>
    <row r="94" ht="15.75" customHeight="1">
      <c r="A94" s="5" t="s">
        <v>567</v>
      </c>
      <c r="B94" s="5" t="s">
        <v>643</v>
      </c>
      <c r="C94" s="5" t="s">
        <v>644</v>
      </c>
    </row>
    <row r="95" ht="15.75" customHeight="1">
      <c r="A95" s="5" t="s">
        <v>567</v>
      </c>
      <c r="B95" s="5" t="s">
        <v>651</v>
      </c>
      <c r="C95" s="5" t="s">
        <v>652</v>
      </c>
      <c r="D95" s="5" t="s">
        <v>3782</v>
      </c>
      <c r="E95" s="5" t="s">
        <v>3877</v>
      </c>
    </row>
    <row r="96" ht="15.75" customHeight="1">
      <c r="A96" s="5" t="s">
        <v>567</v>
      </c>
      <c r="B96" s="5" t="s">
        <v>659</v>
      </c>
      <c r="C96" s="5" t="s">
        <v>660</v>
      </c>
      <c r="D96" s="5" t="s">
        <v>3782</v>
      </c>
      <c r="E96" s="5" t="s">
        <v>3878</v>
      </c>
    </row>
    <row r="97" ht="15.75" customHeight="1">
      <c r="A97" s="5" t="s">
        <v>567</v>
      </c>
      <c r="B97" s="5" t="s">
        <v>667</v>
      </c>
      <c r="C97" s="5" t="s">
        <v>668</v>
      </c>
      <c r="D97" s="5" t="s">
        <v>3782</v>
      </c>
      <c r="E97" s="5" t="s">
        <v>3879</v>
      </c>
    </row>
    <row r="98" ht="15.75" customHeight="1">
      <c r="A98" s="5" t="s">
        <v>567</v>
      </c>
      <c r="B98" s="5" t="s">
        <v>674</v>
      </c>
      <c r="C98" s="5" t="s">
        <v>675</v>
      </c>
      <c r="D98" s="5" t="s">
        <v>3782</v>
      </c>
      <c r="E98" s="5" t="s">
        <v>3880</v>
      </c>
    </row>
    <row r="99" ht="15.75" customHeight="1">
      <c r="A99" s="5" t="s">
        <v>682</v>
      </c>
      <c r="B99" s="5" t="s">
        <v>683</v>
      </c>
      <c r="C99" s="5" t="s">
        <v>684</v>
      </c>
      <c r="D99" s="5" t="s">
        <v>3782</v>
      </c>
      <c r="E99" s="5" t="s">
        <v>3881</v>
      </c>
    </row>
    <row r="100" ht="15.75" customHeight="1">
      <c r="A100" s="5" t="s">
        <v>682</v>
      </c>
      <c r="B100" s="5" t="s">
        <v>691</v>
      </c>
      <c r="C100" s="5" t="s">
        <v>692</v>
      </c>
      <c r="D100" s="5" t="s">
        <v>3782</v>
      </c>
      <c r="E100" s="5" t="s">
        <v>3882</v>
      </c>
    </row>
    <row r="101" ht="15.75" customHeight="1">
      <c r="A101" s="5" t="s">
        <v>682</v>
      </c>
      <c r="B101" s="5" t="s">
        <v>691</v>
      </c>
      <c r="C101" s="5" t="s">
        <v>692</v>
      </c>
      <c r="D101" s="5" t="s">
        <v>3784</v>
      </c>
      <c r="E101" s="5" t="s">
        <v>3883</v>
      </c>
    </row>
    <row r="102" ht="15.75" customHeight="1">
      <c r="A102" s="5" t="s">
        <v>682</v>
      </c>
      <c r="B102" s="5" t="s">
        <v>699</v>
      </c>
      <c r="C102" s="5" t="s">
        <v>700</v>
      </c>
      <c r="D102" s="5" t="s">
        <v>3782</v>
      </c>
      <c r="E102" s="5" t="s">
        <v>3884</v>
      </c>
    </row>
    <row r="103" ht="15.75" customHeight="1">
      <c r="A103" s="5" t="s">
        <v>682</v>
      </c>
      <c r="B103" s="5" t="s">
        <v>699</v>
      </c>
      <c r="C103" s="5" t="s">
        <v>700</v>
      </c>
      <c r="D103" s="5" t="s">
        <v>3784</v>
      </c>
      <c r="E103" s="5" t="s">
        <v>3885</v>
      </c>
    </row>
    <row r="104" ht="15.75" customHeight="1">
      <c r="A104" s="5" t="s">
        <v>682</v>
      </c>
      <c r="B104" s="5" t="s">
        <v>707</v>
      </c>
      <c r="C104" s="5" t="s">
        <v>708</v>
      </c>
      <c r="D104" s="5" t="s">
        <v>3782</v>
      </c>
      <c r="E104" s="5" t="s">
        <v>3886</v>
      </c>
    </row>
    <row r="105" ht="15.75" customHeight="1">
      <c r="A105" s="5" t="s">
        <v>682</v>
      </c>
      <c r="B105" s="5" t="s">
        <v>715</v>
      </c>
      <c r="C105" s="5" t="s">
        <v>716</v>
      </c>
      <c r="D105" s="5" t="s">
        <v>3782</v>
      </c>
      <c r="E105" s="5" t="s">
        <v>3887</v>
      </c>
    </row>
    <row r="106" ht="15.75" customHeight="1">
      <c r="A106" s="5" t="s">
        <v>682</v>
      </c>
      <c r="B106" s="5" t="s">
        <v>725</v>
      </c>
      <c r="C106" s="5" t="s">
        <v>726</v>
      </c>
      <c r="D106" s="5" t="s">
        <v>3782</v>
      </c>
      <c r="E106" s="5" t="s">
        <v>3888</v>
      </c>
    </row>
    <row r="107" ht="15.75" customHeight="1">
      <c r="A107" s="5" t="s">
        <v>682</v>
      </c>
      <c r="B107" s="5" t="s">
        <v>732</v>
      </c>
      <c r="C107" s="5" t="s">
        <v>733</v>
      </c>
      <c r="D107" s="5" t="s">
        <v>3782</v>
      </c>
      <c r="E107" s="5" t="s">
        <v>3889</v>
      </c>
    </row>
    <row r="108" ht="15.75" customHeight="1">
      <c r="A108" s="5" t="s">
        <v>682</v>
      </c>
      <c r="B108" s="5" t="s">
        <v>739</v>
      </c>
      <c r="C108" s="5" t="s">
        <v>740</v>
      </c>
      <c r="D108" s="5" t="s">
        <v>3782</v>
      </c>
      <c r="E108" s="5" t="s">
        <v>3890</v>
      </c>
    </row>
    <row r="109" ht="15.75" customHeight="1">
      <c r="A109" s="5" t="s">
        <v>682</v>
      </c>
      <c r="B109" s="5" t="s">
        <v>749</v>
      </c>
      <c r="C109" s="5" t="s">
        <v>750</v>
      </c>
      <c r="D109" s="5" t="s">
        <v>3782</v>
      </c>
      <c r="E109" s="5" t="s">
        <v>3891</v>
      </c>
    </row>
    <row r="110" ht="15.75" customHeight="1">
      <c r="A110" s="5" t="s">
        <v>682</v>
      </c>
      <c r="B110" s="5" t="s">
        <v>757</v>
      </c>
      <c r="C110" s="5" t="s">
        <v>758</v>
      </c>
      <c r="D110" s="5" t="s">
        <v>3782</v>
      </c>
      <c r="E110" s="5" t="s">
        <v>3892</v>
      </c>
    </row>
    <row r="111" ht="15.75" customHeight="1">
      <c r="A111" s="5" t="s">
        <v>682</v>
      </c>
      <c r="B111" s="5" t="s">
        <v>765</v>
      </c>
      <c r="C111" s="5" t="s">
        <v>766</v>
      </c>
      <c r="D111" s="5" t="s">
        <v>3782</v>
      </c>
      <c r="E111" s="5" t="s">
        <v>3893</v>
      </c>
    </row>
    <row r="112" ht="15.75" customHeight="1">
      <c r="A112" s="5" t="s">
        <v>682</v>
      </c>
      <c r="B112" s="5" t="s">
        <v>773</v>
      </c>
      <c r="C112" s="5" t="s">
        <v>774</v>
      </c>
      <c r="D112" s="5" t="s">
        <v>3782</v>
      </c>
      <c r="E112" s="5" t="s">
        <v>3894</v>
      </c>
    </row>
    <row r="113" ht="15.75" customHeight="1">
      <c r="A113" s="5" t="s">
        <v>682</v>
      </c>
      <c r="B113" s="5" t="s">
        <v>782</v>
      </c>
      <c r="C113" s="5" t="s">
        <v>783</v>
      </c>
      <c r="D113" s="5" t="s">
        <v>3782</v>
      </c>
      <c r="E113" s="5" t="s">
        <v>3895</v>
      </c>
    </row>
    <row r="114" ht="15.75" customHeight="1">
      <c r="A114" s="5" t="s">
        <v>682</v>
      </c>
      <c r="B114" s="5" t="s">
        <v>791</v>
      </c>
      <c r="C114" s="5" t="s">
        <v>792</v>
      </c>
      <c r="D114" s="5" t="s">
        <v>3782</v>
      </c>
      <c r="E114" s="5" t="s">
        <v>3896</v>
      </c>
    </row>
    <row r="115" ht="15.75" customHeight="1">
      <c r="A115" s="5" t="s">
        <v>801</v>
      </c>
      <c r="B115" s="5" t="s">
        <v>802</v>
      </c>
      <c r="C115" s="5" t="s">
        <v>803</v>
      </c>
      <c r="D115" s="5" t="s">
        <v>3782</v>
      </c>
      <c r="E115" s="5" t="s">
        <v>3897</v>
      </c>
    </row>
    <row r="116" ht="15.75" customHeight="1">
      <c r="A116" s="5" t="s">
        <v>801</v>
      </c>
      <c r="B116" s="5" t="s">
        <v>810</v>
      </c>
      <c r="C116" s="5" t="s">
        <v>811</v>
      </c>
      <c r="D116" s="5" t="s">
        <v>3782</v>
      </c>
      <c r="E116" s="5" t="s">
        <v>3898</v>
      </c>
    </row>
    <row r="117" ht="15.75" customHeight="1">
      <c r="A117" s="5" t="s">
        <v>801</v>
      </c>
      <c r="B117" s="5" t="s">
        <v>818</v>
      </c>
      <c r="C117" s="5" t="s">
        <v>819</v>
      </c>
      <c r="D117" s="5" t="s">
        <v>3782</v>
      </c>
      <c r="E117" s="5" t="s">
        <v>3899</v>
      </c>
    </row>
    <row r="118" ht="15.75" customHeight="1">
      <c r="A118" s="5" t="s">
        <v>801</v>
      </c>
      <c r="B118" s="5" t="s">
        <v>826</v>
      </c>
      <c r="C118" s="5" t="s">
        <v>827</v>
      </c>
      <c r="D118" s="5" t="s">
        <v>3782</v>
      </c>
      <c r="E118" s="5" t="s">
        <v>3900</v>
      </c>
    </row>
    <row r="119" ht="15.75" customHeight="1">
      <c r="A119" s="5" t="s">
        <v>801</v>
      </c>
      <c r="B119" s="5" t="s">
        <v>836</v>
      </c>
      <c r="C119" s="5" t="s">
        <v>837</v>
      </c>
      <c r="D119" s="5" t="s">
        <v>3782</v>
      </c>
      <c r="E119" s="5" t="s">
        <v>3901</v>
      </c>
    </row>
    <row r="120" ht="15.75" customHeight="1">
      <c r="A120" s="5" t="s">
        <v>801</v>
      </c>
      <c r="B120" s="5" t="s">
        <v>836</v>
      </c>
      <c r="C120" s="5" t="s">
        <v>837</v>
      </c>
      <c r="D120" s="5" t="s">
        <v>3902</v>
      </c>
      <c r="E120" s="5" t="s">
        <v>3903</v>
      </c>
    </row>
    <row r="121" ht="15.75" customHeight="1">
      <c r="A121" s="5" t="s">
        <v>801</v>
      </c>
      <c r="B121" s="5" t="s">
        <v>844</v>
      </c>
      <c r="C121" s="5" t="s">
        <v>845</v>
      </c>
      <c r="D121" s="5" t="s">
        <v>3782</v>
      </c>
      <c r="E121" s="5" t="s">
        <v>3904</v>
      </c>
    </row>
    <row r="122" ht="15.75" customHeight="1">
      <c r="A122" s="5" t="s">
        <v>801</v>
      </c>
      <c r="B122" s="5" t="s">
        <v>844</v>
      </c>
      <c r="C122" s="5" t="s">
        <v>845</v>
      </c>
      <c r="D122" s="5" t="s">
        <v>3784</v>
      </c>
      <c r="E122" s="5" t="s">
        <v>3905</v>
      </c>
    </row>
    <row r="123" ht="15.75" customHeight="1">
      <c r="A123" s="5" t="s">
        <v>801</v>
      </c>
      <c r="B123" s="5" t="s">
        <v>853</v>
      </c>
      <c r="C123" s="5" t="s">
        <v>854</v>
      </c>
      <c r="D123" s="5" t="s">
        <v>3782</v>
      </c>
      <c r="E123" s="5" t="s">
        <v>3906</v>
      </c>
    </row>
    <row r="124" ht="15.75" customHeight="1">
      <c r="A124" s="5" t="s">
        <v>801</v>
      </c>
      <c r="B124" s="5" t="s">
        <v>853</v>
      </c>
      <c r="C124" s="5" t="s">
        <v>854</v>
      </c>
      <c r="D124" s="5" t="s">
        <v>3784</v>
      </c>
      <c r="E124" s="5" t="s">
        <v>3907</v>
      </c>
    </row>
    <row r="125" ht="15.75" customHeight="1">
      <c r="A125" s="5" t="s">
        <v>801</v>
      </c>
      <c r="B125" s="5" t="s">
        <v>860</v>
      </c>
      <c r="C125" s="5" t="s">
        <v>861</v>
      </c>
      <c r="D125" s="5" t="s">
        <v>3782</v>
      </c>
      <c r="E125" s="5" t="s">
        <v>3908</v>
      </c>
    </row>
    <row r="126" ht="15.75" customHeight="1">
      <c r="A126" s="5" t="s">
        <v>801</v>
      </c>
      <c r="B126" s="5" t="s">
        <v>860</v>
      </c>
      <c r="C126" s="5" t="s">
        <v>861</v>
      </c>
      <c r="D126" s="5" t="s">
        <v>3784</v>
      </c>
      <c r="E126" s="5" t="s">
        <v>3909</v>
      </c>
    </row>
    <row r="127" ht="15.75" customHeight="1">
      <c r="A127" s="5" t="s">
        <v>801</v>
      </c>
      <c r="B127" s="5" t="s">
        <v>867</v>
      </c>
      <c r="C127" s="5" t="s">
        <v>868</v>
      </c>
      <c r="D127" s="5" t="s">
        <v>3782</v>
      </c>
      <c r="E127" s="5" t="s">
        <v>3910</v>
      </c>
    </row>
    <row r="128" ht="15.75" customHeight="1">
      <c r="A128" s="5" t="s">
        <v>801</v>
      </c>
      <c r="B128" s="5" t="s">
        <v>867</v>
      </c>
      <c r="C128" s="5" t="s">
        <v>868</v>
      </c>
      <c r="D128" s="5" t="s">
        <v>3784</v>
      </c>
      <c r="E128" s="5" t="s">
        <v>3911</v>
      </c>
    </row>
    <row r="129" ht="15.75" customHeight="1">
      <c r="A129" s="5" t="s">
        <v>801</v>
      </c>
      <c r="B129" s="5" t="s">
        <v>875</v>
      </c>
      <c r="C129" s="5" t="s">
        <v>876</v>
      </c>
      <c r="D129" s="5" t="s">
        <v>3782</v>
      </c>
      <c r="E129" s="5" t="s">
        <v>3912</v>
      </c>
    </row>
    <row r="130" ht="15.75" customHeight="1">
      <c r="A130" s="5" t="s">
        <v>801</v>
      </c>
      <c r="B130" s="5" t="s">
        <v>883</v>
      </c>
      <c r="C130" s="5" t="s">
        <v>884</v>
      </c>
      <c r="D130" s="5" t="s">
        <v>3782</v>
      </c>
      <c r="E130" s="5" t="s">
        <v>3913</v>
      </c>
    </row>
    <row r="131" ht="15.75" customHeight="1">
      <c r="A131" s="5" t="s">
        <v>801</v>
      </c>
      <c r="B131" s="5" t="s">
        <v>883</v>
      </c>
      <c r="C131" s="5" t="s">
        <v>884</v>
      </c>
      <c r="D131" s="5" t="s">
        <v>3784</v>
      </c>
      <c r="E131" s="5" t="s">
        <v>3914</v>
      </c>
    </row>
    <row r="132" ht="15.75" customHeight="1">
      <c r="A132" s="5" t="s">
        <v>801</v>
      </c>
      <c r="B132" s="5" t="s">
        <v>883</v>
      </c>
      <c r="C132" s="5" t="s">
        <v>884</v>
      </c>
      <c r="D132" s="5" t="s">
        <v>3808</v>
      </c>
      <c r="E132" s="5" t="s">
        <v>3915</v>
      </c>
    </row>
    <row r="133" ht="15.75" customHeight="1">
      <c r="A133" s="5" t="s">
        <v>801</v>
      </c>
      <c r="B133" s="5" t="s">
        <v>890</v>
      </c>
      <c r="C133" s="5" t="s">
        <v>891</v>
      </c>
      <c r="D133" s="5" t="s">
        <v>3782</v>
      </c>
      <c r="E133" s="5" t="s">
        <v>3916</v>
      </c>
    </row>
    <row r="134" ht="15.75" customHeight="1">
      <c r="A134" s="5" t="s">
        <v>801</v>
      </c>
      <c r="B134" s="5" t="s">
        <v>898</v>
      </c>
      <c r="C134" s="5" t="s">
        <v>899</v>
      </c>
      <c r="D134" s="5" t="s">
        <v>3782</v>
      </c>
      <c r="E134" s="5" t="s">
        <v>3917</v>
      </c>
    </row>
    <row r="135" ht="15.75" customHeight="1">
      <c r="A135" s="5" t="s">
        <v>801</v>
      </c>
      <c r="B135" s="5" t="s">
        <v>906</v>
      </c>
      <c r="C135" s="5" t="s">
        <v>907</v>
      </c>
      <c r="D135" s="5" t="s">
        <v>3782</v>
      </c>
      <c r="E135" s="5" t="s">
        <v>3918</v>
      </c>
    </row>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2026-06-05T18:37:58Z</dcterms:created>
  <dc:creator>openpyxl</dc:creator>
</cp:coreProperties>
</file>